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FF4891F-06E0-4C2F-AFCF-C9CD556DA3C6}" xr6:coauthVersionLast="45" xr6:coauthVersionMax="45" xr10:uidLastSave="{00000000-0000-0000-0000-000000000000}"/>
  <bookViews>
    <workbookView xWindow="-28920" yWindow="-8580" windowWidth="29040" windowHeight="15840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19" i="12" l="1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B10" i="8"/>
  <c r="AB11" i="8"/>
  <c r="AH11" i="8"/>
  <c r="AD9" i="8"/>
  <c r="AC9" i="8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F11" i="9"/>
  <c r="AE11" i="9"/>
  <c r="AA8" i="9"/>
  <c r="AI6" i="9"/>
  <c r="AI7" i="9"/>
  <c r="AJ6" i="9"/>
  <c r="AJ7" i="9"/>
  <c r="AK6" i="9"/>
  <c r="Y22" i="14"/>
  <c r="Y8" i="14"/>
  <c r="AF11" i="8"/>
  <c r="AE11" i="8"/>
  <c r="AA8" i="8"/>
  <c r="AJ8" i="9"/>
  <c r="AI8" i="9"/>
  <c r="X11" i="11"/>
  <c r="X8" i="11"/>
  <c r="AK7" i="9"/>
  <c r="AL6" i="9"/>
  <c r="AK8" i="9"/>
  <c r="Z8" i="9"/>
  <c r="Y17" i="10"/>
  <c r="Y11" i="10"/>
  <c r="Y11" i="12"/>
  <c r="Y8" i="10"/>
  <c r="Y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X22" i="14"/>
  <c r="AL7" i="9"/>
  <c r="AM6" i="9"/>
  <c r="AL8" i="9"/>
  <c r="Y8" i="9"/>
  <c r="X8" i="14"/>
  <c r="AJ8" i="1"/>
  <c r="W11" i="11"/>
  <c r="W8" i="11"/>
  <c r="AM7" i="9"/>
  <c r="AN6" i="9"/>
  <c r="AM8" i="9"/>
  <c r="X8" i="9"/>
  <c r="X17" i="10"/>
  <c r="X11" i="10"/>
  <c r="X11" i="12"/>
  <c r="X8" i="10"/>
  <c r="X8" i="12"/>
  <c r="Z8" i="8"/>
  <c r="AA8" i="1"/>
  <c r="AA26" i="1"/>
  <c r="AK8" i="1"/>
  <c r="W22" i="14"/>
  <c r="AN8" i="9"/>
  <c r="AN7" i="9"/>
  <c r="AO6" i="9"/>
  <c r="W8" i="9"/>
  <c r="W8" i="14"/>
  <c r="AL8" i="1"/>
  <c r="V11" i="11"/>
  <c r="V8" i="11"/>
  <c r="V8" i="9"/>
  <c r="AO8" i="9"/>
  <c r="AO7" i="9"/>
  <c r="AP6" i="9"/>
  <c r="W17" i="10"/>
  <c r="W11" i="10"/>
  <c r="W11" i="12"/>
  <c r="W8" i="10"/>
  <c r="W8" i="12"/>
  <c r="Y8" i="8"/>
  <c r="Z26" i="1"/>
  <c r="Z8" i="1"/>
  <c r="AM8" i="1"/>
  <c r="V22" i="14"/>
  <c r="AP8" i="9"/>
  <c r="AP7" i="9"/>
  <c r="AQ6" i="9"/>
  <c r="U8" i="9"/>
  <c r="V8" i="14"/>
  <c r="AN8" i="1"/>
  <c r="AN7" i="1"/>
  <c r="AO6" i="1"/>
  <c r="U11" i="11"/>
  <c r="U8" i="11"/>
  <c r="T8" i="9"/>
  <c r="AQ8" i="9"/>
  <c r="AQ7" i="9"/>
  <c r="AR6" i="9"/>
  <c r="V11" i="10"/>
  <c r="V17" i="10"/>
  <c r="V11" i="12"/>
  <c r="V8" i="10"/>
  <c r="V8" i="12"/>
  <c r="X8" i="8"/>
  <c r="Y26" i="1"/>
  <c r="Y8" i="1"/>
  <c r="AO7" i="1"/>
  <c r="AP6" i="1"/>
  <c r="AO8" i="1"/>
  <c r="U22" i="14"/>
  <c r="S8" i="9"/>
  <c r="AR7" i="9"/>
  <c r="AS6" i="9"/>
  <c r="AR8" i="9"/>
  <c r="U8" i="14"/>
  <c r="AP8" i="1"/>
  <c r="AP7" i="1"/>
  <c r="AQ6" i="1"/>
  <c r="T11" i="11"/>
  <c r="T8" i="11"/>
  <c r="AS7" i="9"/>
  <c r="AT6" i="9"/>
  <c r="AS8" i="9"/>
  <c r="R8" i="9"/>
  <c r="U11" i="10"/>
  <c r="U17" i="10"/>
  <c r="U11" i="12"/>
  <c r="U8" i="10"/>
  <c r="U8" i="12"/>
  <c r="W8" i="8"/>
  <c r="X26" i="1"/>
  <c r="X8" i="1"/>
  <c r="AQ7" i="1"/>
  <c r="AR6" i="1"/>
  <c r="AQ8" i="1"/>
  <c r="T22" i="14"/>
  <c r="Q8" i="9"/>
  <c r="AT7" i="9"/>
  <c r="AT8" i="9"/>
  <c r="T8" i="14"/>
  <c r="AR8" i="1"/>
  <c r="AR7" i="1"/>
  <c r="AS6" i="1"/>
  <c r="S11" i="11"/>
  <c r="S8" i="11"/>
  <c r="P8" i="9"/>
  <c r="T11" i="10"/>
  <c r="T17" i="10"/>
  <c r="T11" i="12"/>
  <c r="T8" i="10"/>
  <c r="T8" i="12"/>
  <c r="V8" i="8"/>
  <c r="W26" i="1"/>
  <c r="W8" i="1"/>
  <c r="AS7" i="1"/>
  <c r="AT6" i="1"/>
  <c r="AS8" i="1"/>
  <c r="S22" i="14"/>
  <c r="O8" i="9"/>
  <c r="S8" i="14"/>
  <c r="AT8" i="1"/>
  <c r="AT7" i="1"/>
  <c r="R11" i="11"/>
  <c r="R8" i="11"/>
  <c r="N8" i="9"/>
  <c r="S11" i="10"/>
  <c r="S17" i="10"/>
  <c r="S11" i="12"/>
  <c r="S8" i="10"/>
  <c r="S8" i="12"/>
  <c r="U8" i="8"/>
  <c r="V26" i="1"/>
  <c r="V8" i="1"/>
  <c r="R22" i="14"/>
  <c r="M8" i="9"/>
  <c r="R8" i="14"/>
  <c r="Q11" i="11"/>
  <c r="Q8" i="11"/>
  <c r="L8" i="9"/>
  <c r="R17" i="10"/>
  <c r="R11" i="10"/>
  <c r="R11" i="12"/>
  <c r="R8" i="10"/>
  <c r="R8" i="12"/>
  <c r="T8" i="8"/>
  <c r="U26" i="1"/>
  <c r="U8" i="1"/>
  <c r="Q22" i="14"/>
  <c r="K8" i="9"/>
  <c r="Q8" i="14"/>
  <c r="P11" i="11"/>
  <c r="P8" i="11"/>
  <c r="J8" i="9"/>
  <c r="Q17" i="10"/>
  <c r="Q11" i="10"/>
  <c r="Q11" i="12"/>
  <c r="Q8" i="10"/>
  <c r="Q8" i="12"/>
  <c r="S8" i="8"/>
  <c r="T26" i="1"/>
  <c r="T8" i="1"/>
  <c r="P22" i="14"/>
  <c r="I8" i="9"/>
  <c r="P8" i="14"/>
  <c r="O11" i="11"/>
  <c r="O8" i="11"/>
  <c r="H8" i="9"/>
  <c r="P17" i="10"/>
  <c r="P11" i="10"/>
  <c r="P11" i="12"/>
  <c r="P8" i="10"/>
  <c r="P8" i="12"/>
  <c r="R8" i="8"/>
  <c r="S26" i="1"/>
  <c r="S8" i="1"/>
  <c r="O22" i="14"/>
  <c r="G8" i="9"/>
  <c r="O8" i="14"/>
  <c r="N11" i="11"/>
  <c r="N8" i="11"/>
  <c r="F8" i="9"/>
  <c r="O17" i="10"/>
  <c r="O11" i="10"/>
  <c r="O11" i="12"/>
  <c r="O8" i="10"/>
  <c r="O8" i="12"/>
  <c r="Q8" i="8"/>
  <c r="R26" i="1"/>
  <c r="R8" i="1"/>
  <c r="N22" i="14"/>
  <c r="E8" i="9"/>
  <c r="N8" i="14"/>
  <c r="M11" i="11"/>
  <c r="M8" i="11"/>
  <c r="D8" i="9"/>
  <c r="N17" i="10"/>
  <c r="N11" i="10"/>
  <c r="N11" i="12"/>
  <c r="N8" i="10"/>
  <c r="N8" i="12"/>
  <c r="P8" i="8"/>
  <c r="Q26" i="1"/>
  <c r="Q8" i="1"/>
  <c r="M22" i="14"/>
  <c r="D11" i="9"/>
  <c r="M8" i="14"/>
  <c r="L11" i="11"/>
  <c r="L8" i="11"/>
  <c r="E11" i="9"/>
  <c r="M17" i="10"/>
  <c r="M11" i="10"/>
  <c r="M11" i="12"/>
  <c r="M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L22" i="14"/>
  <c r="F11" i="9"/>
  <c r="L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K11" i="11"/>
  <c r="K8" i="11"/>
  <c r="G11" i="9"/>
  <c r="L17" i="10"/>
  <c r="L11" i="10"/>
  <c r="L11" i="12"/>
  <c r="L8" i="10"/>
  <c r="L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K22" i="14"/>
  <c r="H11" i="9"/>
  <c r="K8" i="14"/>
  <c r="J11" i="11"/>
  <c r="J8" i="11"/>
  <c r="I11" i="9"/>
  <c r="K17" i="10"/>
  <c r="K11" i="10"/>
  <c r="K11" i="12"/>
  <c r="K8" i="10"/>
  <c r="K8" i="12"/>
  <c r="M8" i="8"/>
  <c r="N26" i="1"/>
  <c r="N8" i="1"/>
  <c r="J22" i="14"/>
  <c r="J11" i="9"/>
  <c r="J8" i="14"/>
  <c r="I11" i="11"/>
  <c r="I8" i="11"/>
  <c r="K11" i="9"/>
  <c r="J11" i="10"/>
  <c r="J17" i="10"/>
  <c r="J11" i="12"/>
  <c r="J8" i="10"/>
  <c r="J8" i="12"/>
  <c r="L8" i="8"/>
  <c r="M26" i="1"/>
  <c r="M8" i="1"/>
  <c r="I22" i="14"/>
  <c r="L11" i="9"/>
  <c r="I8" i="14"/>
  <c r="H11" i="11"/>
  <c r="H8" i="11"/>
  <c r="M11" i="9"/>
  <c r="I11" i="10"/>
  <c r="I17" i="10"/>
  <c r="I11" i="12"/>
  <c r="I8" i="10"/>
  <c r="I8" i="12"/>
  <c r="K8" i="8"/>
  <c r="L26" i="1"/>
  <c r="L8" i="1"/>
  <c r="H22" i="14"/>
  <c r="N11" i="9"/>
  <c r="H8" i="14"/>
  <c r="G11" i="11"/>
  <c r="G8" i="11"/>
  <c r="O11" i="9"/>
  <c r="H17" i="10"/>
  <c r="H11" i="10"/>
  <c r="H11" i="12"/>
  <c r="H8" i="10"/>
  <c r="H8" i="12"/>
  <c r="J8" i="8"/>
  <c r="K26" i="1"/>
  <c r="K8" i="1"/>
  <c r="G22" i="14"/>
  <c r="P11" i="9"/>
  <c r="G8" i="14"/>
  <c r="F11" i="11"/>
  <c r="F8" i="11"/>
  <c r="Q11" i="9"/>
  <c r="G17" i="10"/>
  <c r="G11" i="10"/>
  <c r="G11" i="12"/>
  <c r="G8" i="10"/>
  <c r="G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F22" i="14"/>
  <c r="R11" i="9"/>
  <c r="F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E11" i="11"/>
  <c r="E8" i="11"/>
  <c r="S11" i="9"/>
  <c r="F17" i="10"/>
  <c r="F11" i="10"/>
  <c r="F11" i="12"/>
  <c r="F8" i="10"/>
  <c r="F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E22" i="14"/>
  <c r="T11" i="9"/>
  <c r="E8" i="14"/>
  <c r="AU26" i="1"/>
  <c r="AH26" i="1"/>
  <c r="U11" i="9"/>
  <c r="E11" i="10"/>
  <c r="E17" i="10"/>
  <c r="E8" i="10"/>
  <c r="E11" i="12"/>
  <c r="E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H9" i="8"/>
  <c r="AD10" i="8"/>
  <c r="AC10" i="8"/>
  <c r="AH10" i="8"/>
  <c r="AA11" i="8"/>
  <c r="AD11" i="8"/>
  <c r="AC11" i="8"/>
</calcChain>
</file>

<file path=xl/sharedStrings.xml><?xml version="1.0" encoding="utf-8"?>
<sst xmlns="http://schemas.openxmlformats.org/spreadsheetml/2006/main" count="211" uniqueCount="122">
  <si>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</si>
  <si>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</si>
  <si>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</si>
  <si>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</si>
  <si>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</si>
  <si>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</si>
  <si>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</si>
  <si>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</si>
  <si>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</si>
  <si>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</si>
  <si>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</si>
  <si>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</si>
  <si>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</si>
  <si>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</si>
  <si>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</si>
  <si>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</si>
  <si>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</si>
  <si>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</si>
  <si>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</si>
  <si>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</si>
  <si>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</si>
  <si>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</si>
  <si>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</si>
  <si>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</si>
  <si>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</si>
  <si>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</si>
  <si>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</si>
  <si>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</si>
  <si>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</si>
  <si>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</si>
  <si>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</si>
  <si>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</si>
  <si>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</si>
  <si>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</si>
  <si>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</si>
  <si>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</si>
  <si>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</si>
  <si>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</si>
  <si>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</si>
  <si>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</si>
  <si>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</si>
  <si>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</si>
  <si>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</si>
  <si>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</si>
  <si>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</si>
  <si>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</si>
  <si>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</si>
  <si>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</si>
  <si>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</si>
  <si>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</si>
  <si>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</si>
  <si>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</si>
  <si>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</si>
  <si>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</si>
  <si>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</si>
  <si>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</si>
  <si>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</si>
  <si>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</si>
  <si>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</si>
  <si>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</si>
  <si>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</si>
  <si>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</si>
  <si>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</si>
  <si>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</si>
  <si>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</si>
  <si>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</si>
  <si>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</si>
  <si>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</si>
  <si>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</si>
  <si>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</si>
  <si>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</si>
  <si>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</si>
  <si>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</si>
  <si>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</si>
  <si>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</si>
  <si>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</si>
  <si>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</si>
  <si>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</si>
  <si>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</si>
  <si>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</si>
  <si>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</si>
  <si>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</si>
  <si>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</si>
  <si>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</si>
  <si>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</si>
  <si>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</si>
  <si>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</si>
  <si>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</si>
  <si>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</si>
  <si>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</si>
  <si>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</si>
  <si>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</si>
  <si>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</si>
  <si>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</si>
  <si>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Supervisor</t>
  </si>
  <si>
    <t>http://localhost/data</t>
  </si>
  <si>
    <t>https://4a49-abc3-4571eda3e01a1d202429da4e6api.abra.eu/cz</t>
  </si>
  <si>
    <t>PNS - senzory</t>
  </si>
  <si>
    <t>PCS - hlídače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</si>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</sst>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19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color theme="1" tint="0.14999847407452621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9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medium">
        <color theme="0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3" fillId="3" borderId="58" xfId="0" applyFont="1" applyFill="1" applyBorder="1" applyAlignment="1">
      <alignment horizontal="right"/>
    </xf>
    <xf numFmtId="0" fontId="3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3" borderId="59" xfId="0" applyFont="1" applyFill="1" applyBorder="1"/>
    <xf numFmtId="9" fontId="3" fillId="3" borderId="60" xfId="1" applyFont="1" applyFill="1" applyBorder="1"/>
    <xf numFmtId="0" fontId="4" fillId="0" borderId="55" xfId="0" applyFont="1" applyBorder="1"/>
    <xf numFmtId="0" fontId="4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0" fontId="7" fillId="0" borderId="72" xfId="0" applyFont="1" applyBorder="1"/>
    <xf numFmtId="0" fontId="6" fillId="0" borderId="72" xfId="0" applyFont="1" applyBorder="1"/>
    <xf numFmtId="0" fontId="8" fillId="0" borderId="72" xfId="2" applyBorder="1"/>
    <xf numFmtId="0" fontId="8" fillId="2" borderId="0" xfId="2" applyFill="1"/>
    <xf numFmtId="166" fontId="9" fillId="3" borderId="6" xfId="0" applyNumberFormat="1" applyFont="1" applyFill="1" applyBorder="1"/>
    <xf numFmtId="166" fontId="10" fillId="3" borderId="7" xfId="0" applyNumberFormat="1" applyFont="1" applyFill="1" applyBorder="1"/>
    <xf numFmtId="164" fontId="10" fillId="2" borderId="0" xfId="0" applyNumberFormat="1" applyFont="1" applyFill="1" applyBorder="1" applyAlignment="1">
      <alignment horizontal="right" vertical="center"/>
    </xf>
    <xf numFmtId="166" fontId="10" fillId="3" borderId="0" xfId="0" applyNumberFormat="1" applyFont="1" applyFill="1" applyBorder="1" applyAlignment="1"/>
    <xf numFmtId="0" fontId="10" fillId="3" borderId="2" xfId="0" applyFont="1" applyFill="1" applyBorder="1" applyAlignment="1"/>
    <xf numFmtId="0" fontId="10" fillId="3" borderId="0" xfId="0" applyFont="1" applyFill="1" applyBorder="1" applyAlignment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/>
    </xf>
    <xf numFmtId="165" fontId="13" fillId="0" borderId="4" xfId="0" applyNumberFormat="1" applyFont="1" applyFill="1" applyBorder="1" applyAlignment="1">
      <alignment horizontal="left"/>
    </xf>
    <xf numFmtId="165" fontId="14" fillId="0" borderId="4" xfId="0" applyNumberFormat="1" applyFont="1" applyFill="1" applyBorder="1" applyAlignment="1">
      <alignment horizontal="left"/>
    </xf>
    <xf numFmtId="165" fontId="7" fillId="0" borderId="4" xfId="0" applyNumberFormat="1" applyFont="1" applyFill="1" applyBorder="1" applyAlignment="1">
      <alignment horizontal="left"/>
    </xf>
    <xf numFmtId="166" fontId="9" fillId="3" borderId="7" xfId="0" applyNumberFormat="1" applyFont="1" applyFill="1" applyBorder="1"/>
    <xf numFmtId="166" fontId="10" fillId="3" borderId="0" xfId="0" applyNumberFormat="1" applyFont="1" applyFill="1" applyBorder="1" applyAlignment="1">
      <alignment horizontal="right" vertical="center"/>
    </xf>
    <xf numFmtId="166" fontId="10" fillId="3" borderId="2" xfId="0" applyNumberFormat="1" applyFont="1" applyFill="1" applyBorder="1" applyAlignment="1">
      <alignment horizontal="left"/>
    </xf>
    <xf numFmtId="166" fontId="10" fillId="3" borderId="2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166" fontId="12" fillId="0" borderId="4" xfId="0" applyNumberFormat="1" applyFont="1" applyFill="1" applyBorder="1"/>
    <xf numFmtId="4" fontId="7" fillId="0" borderId="4" xfId="0" applyNumberFormat="1" applyFont="1" applyFill="1" applyBorder="1"/>
    <xf numFmtId="0" fontId="7" fillId="0" borderId="4" xfId="0" applyFont="1" applyFill="1" applyBorder="1"/>
    <xf numFmtId="0" fontId="12" fillId="0" borderId="4" xfId="0" applyFont="1" applyFill="1" applyBorder="1"/>
    <xf numFmtId="166" fontId="10" fillId="3" borderId="0" xfId="0" applyNumberFormat="1" applyFont="1" applyFill="1" applyBorder="1"/>
    <xf numFmtId="164" fontId="15" fillId="0" borderId="4" xfId="0" applyNumberFormat="1" applyFont="1" applyFill="1" applyBorder="1" applyAlignment="1">
      <alignment vertical="center"/>
    </xf>
    <xf numFmtId="164" fontId="12" fillId="0" borderId="4" xfId="0" applyNumberFormat="1" applyFont="1" applyFill="1" applyBorder="1"/>
    <xf numFmtId="164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/>
    <xf numFmtId="166" fontId="12" fillId="0" borderId="4" xfId="0" applyNumberFormat="1" applyFont="1" applyFill="1" applyBorder="1" applyAlignment="1"/>
    <xf numFmtId="0" fontId="12" fillId="0" borderId="4" xfId="0" applyFont="1" applyFill="1" applyBorder="1" applyAlignment="1"/>
    <xf numFmtId="166" fontId="12" fillId="0" borderId="55" xfId="0" applyNumberFormat="1" applyFont="1" applyFill="1" applyBorder="1"/>
    <xf numFmtId="164" fontId="10" fillId="3" borderId="29" xfId="0" applyNumberFormat="1" applyFont="1" applyFill="1" applyBorder="1" applyAlignment="1">
      <alignment vertical="center"/>
    </xf>
    <xf numFmtId="164" fontId="10" fillId="3" borderId="30" xfId="0" applyNumberFormat="1" applyFont="1" applyFill="1" applyBorder="1" applyAlignment="1">
      <alignment vertical="center"/>
    </xf>
    <xf numFmtId="164" fontId="10" fillId="3" borderId="34" xfId="0" applyNumberFormat="1" applyFont="1" applyFill="1" applyBorder="1" applyAlignment="1">
      <alignment vertical="center"/>
    </xf>
    <xf numFmtId="164" fontId="10" fillId="3" borderId="9" xfId="0" applyNumberFormat="1" applyFont="1" applyFill="1" applyBorder="1" applyAlignment="1">
      <alignment vertical="center"/>
    </xf>
    <xf numFmtId="168" fontId="11" fillId="3" borderId="39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vertical="center"/>
    </xf>
    <xf numFmtId="168" fontId="11" fillId="3" borderId="40" xfId="0" applyNumberFormat="1" applyFont="1" applyFill="1" applyBorder="1" applyAlignment="1">
      <alignment horizontal="right" vertical="center"/>
    </xf>
    <xf numFmtId="49" fontId="10" fillId="0" borderId="21" xfId="0" applyNumberFormat="1" applyFont="1" applyFill="1" applyBorder="1" applyAlignment="1">
      <alignment vertical="center"/>
    </xf>
    <xf numFmtId="49" fontId="10" fillId="0" borderId="74" xfId="0" applyNumberFormat="1" applyFont="1" applyFill="1" applyBorder="1" applyAlignment="1">
      <alignment vertical="center"/>
    </xf>
    <xf numFmtId="49" fontId="10" fillId="0" borderId="22" xfId="0" applyNumberFormat="1" applyFont="1" applyFill="1" applyBorder="1" applyAlignment="1">
      <alignment vertical="center"/>
    </xf>
    <xf numFmtId="3" fontId="10" fillId="0" borderId="22" xfId="0" applyNumberFormat="1" applyFont="1" applyFill="1" applyBorder="1" applyAlignment="1">
      <alignment vertical="center"/>
    </xf>
    <xf numFmtId="49" fontId="10" fillId="0" borderId="23" xfId="0" applyNumberFormat="1" applyFont="1" applyFill="1" applyBorder="1" applyAlignment="1">
      <alignment vertical="center"/>
    </xf>
    <xf numFmtId="49" fontId="10" fillId="0" borderId="42" xfId="0" applyNumberFormat="1" applyFont="1" applyFill="1" applyBorder="1" applyAlignment="1">
      <alignment vertical="center"/>
    </xf>
    <xf numFmtId="49" fontId="10" fillId="0" borderId="24" xfId="0" applyNumberFormat="1" applyFont="1" applyFill="1" applyBorder="1" applyAlignment="1">
      <alignment vertical="center"/>
    </xf>
    <xf numFmtId="3" fontId="11" fillId="3" borderId="12" xfId="0" applyNumberFormat="1" applyFont="1" applyFill="1" applyBorder="1" applyAlignment="1">
      <alignment vertical="center"/>
    </xf>
    <xf numFmtId="3" fontId="11" fillId="3" borderId="13" xfId="0" applyNumberFormat="1" applyFont="1" applyFill="1" applyBorder="1" applyAlignment="1">
      <alignment vertical="center"/>
    </xf>
    <xf numFmtId="165" fontId="11" fillId="3" borderId="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vertical="center"/>
    </xf>
    <xf numFmtId="165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vertical="center"/>
    </xf>
    <xf numFmtId="4" fontId="7" fillId="0" borderId="4" xfId="0" applyNumberFormat="1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165" fontId="12" fillId="0" borderId="56" xfId="0" applyNumberFormat="1" applyFont="1" applyFill="1" applyBorder="1" applyAlignment="1">
      <alignment horizontal="left" vertical="center"/>
    </xf>
    <xf numFmtId="166" fontId="12" fillId="0" borderId="56" xfId="0" applyNumberFormat="1" applyFont="1" applyFill="1" applyBorder="1" applyAlignment="1">
      <alignment vertical="center"/>
    </xf>
    <xf numFmtId="4" fontId="7" fillId="0" borderId="56" xfId="0" applyNumberFormat="1" applyFont="1" applyFill="1" applyBorder="1" applyAlignment="1">
      <alignment vertical="center"/>
    </xf>
    <xf numFmtId="0" fontId="7" fillId="0" borderId="56" xfId="0" applyFont="1" applyFill="1" applyBorder="1" applyAlignment="1">
      <alignment vertical="center"/>
    </xf>
    <xf numFmtId="49" fontId="10" fillId="0" borderId="65" xfId="0" applyNumberFormat="1" applyFont="1" applyFill="1" applyBorder="1" applyAlignment="1">
      <alignment vertical="center"/>
    </xf>
    <xf numFmtId="49" fontId="10" fillId="0" borderId="75" xfId="0" applyNumberFormat="1" applyFont="1" applyFill="1" applyBorder="1" applyAlignment="1">
      <alignment vertical="center"/>
    </xf>
    <xf numFmtId="49" fontId="10" fillId="0" borderId="67" xfId="0" applyNumberFormat="1" applyFont="1" applyFill="1" applyBorder="1" applyAlignment="1">
      <alignment vertical="center"/>
    </xf>
    <xf numFmtId="3" fontId="10" fillId="0" borderId="66" xfId="0" applyNumberFormat="1" applyFont="1" applyFill="1" applyBorder="1" applyAlignment="1">
      <alignment vertical="center"/>
    </xf>
    <xf numFmtId="49" fontId="10" fillId="0" borderId="76" xfId="0" applyNumberFormat="1" applyFont="1" applyFill="1" applyBorder="1" applyAlignment="1">
      <alignment vertical="center"/>
    </xf>
    <xf numFmtId="49" fontId="10" fillId="0" borderId="68" xfId="0" applyNumberFormat="1" applyFont="1" applyFill="1" applyBorder="1" applyAlignment="1">
      <alignment vertical="center"/>
    </xf>
    <xf numFmtId="3" fontId="11" fillId="3" borderId="17" xfId="0" applyNumberFormat="1" applyFont="1" applyFill="1" applyBorder="1" applyAlignment="1">
      <alignment vertical="center"/>
    </xf>
    <xf numFmtId="166" fontId="9" fillId="3" borderId="7" xfId="0" applyNumberFormat="1" applyFont="1" applyFill="1" applyBorder="1" applyAlignment="1">
      <alignment vertical="center"/>
    </xf>
    <xf numFmtId="166" fontId="9" fillId="3" borderId="8" xfId="0" applyNumberFormat="1" applyFont="1" applyFill="1" applyBorder="1" applyAlignment="1">
      <alignment horizontal="center" vertical="center"/>
    </xf>
    <xf numFmtId="166" fontId="10" fillId="3" borderId="2" xfId="0" applyNumberFormat="1" applyFont="1" applyFill="1" applyBorder="1" applyAlignment="1">
      <alignment horizontal="right" vertical="center"/>
    </xf>
    <xf numFmtId="166" fontId="9" fillId="3" borderId="0" xfId="0" applyNumberFormat="1" applyFont="1" applyFill="1" applyBorder="1" applyAlignment="1">
      <alignment vertical="center"/>
    </xf>
    <xf numFmtId="166" fontId="9" fillId="3" borderId="3" xfId="0" applyNumberFormat="1" applyFont="1" applyFill="1" applyBorder="1" applyAlignment="1">
      <alignment vertical="center"/>
    </xf>
    <xf numFmtId="166" fontId="9" fillId="3" borderId="33" xfId="0" applyNumberFormat="1" applyFont="1" applyFill="1" applyBorder="1" applyAlignment="1">
      <alignment vertical="center"/>
    </xf>
    <xf numFmtId="166" fontId="12" fillId="0" borderId="4" xfId="0" applyNumberFormat="1" applyFont="1" applyFill="1" applyBorder="1" applyAlignment="1">
      <alignment horizontal="right" vertical="center"/>
    </xf>
    <xf numFmtId="0" fontId="12" fillId="0" borderId="4" xfId="0" applyFont="1" applyFill="1" applyBorder="1" applyAlignment="1">
      <alignment vertical="center"/>
    </xf>
    <xf numFmtId="166" fontId="9" fillId="3" borderId="6" xfId="0" applyNumberFormat="1" applyFont="1" applyFill="1" applyBorder="1" applyAlignment="1">
      <alignment vertical="center"/>
    </xf>
    <xf numFmtId="166" fontId="10" fillId="3" borderId="7" xfId="0" applyNumberFormat="1" applyFont="1" applyFill="1" applyBorder="1" applyAlignment="1">
      <alignment vertical="center"/>
    </xf>
    <xf numFmtId="166" fontId="10" fillId="3" borderId="8" xfId="0" applyNumberFormat="1" applyFont="1" applyFill="1" applyBorder="1" applyAlignment="1">
      <alignment vertical="center"/>
    </xf>
    <xf numFmtId="166" fontId="10" fillId="3" borderId="0" xfId="0" applyNumberFormat="1" applyFont="1" applyFill="1" applyBorder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166" fontId="16" fillId="3" borderId="0" xfId="0" applyNumberFormat="1" applyFont="1" applyFill="1" applyBorder="1" applyAlignment="1">
      <alignment vertical="center"/>
    </xf>
    <xf numFmtId="166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166" fontId="10" fillId="3" borderId="16" xfId="0" applyNumberFormat="1" applyFont="1" applyFill="1" applyBorder="1" applyAlignment="1">
      <alignment vertical="center"/>
    </xf>
    <xf numFmtId="164" fontId="10" fillId="3" borderId="31" xfId="0" applyNumberFormat="1" applyFont="1" applyFill="1" applyBorder="1" applyAlignment="1">
      <alignment vertical="center"/>
    </xf>
    <xf numFmtId="164" fontId="10" fillId="3" borderId="35" xfId="0" applyNumberFormat="1" applyFont="1" applyFill="1" applyBorder="1" applyAlignment="1">
      <alignment vertical="center"/>
    </xf>
    <xf numFmtId="168" fontId="11" fillId="3" borderId="47" xfId="0" applyNumberFormat="1" applyFont="1" applyFill="1" applyBorder="1" applyAlignment="1">
      <alignment horizontal="right" vertical="center"/>
    </xf>
    <xf numFmtId="168" fontId="11" fillId="3" borderId="10" xfId="0" applyNumberFormat="1" applyFont="1" applyFill="1" applyBorder="1" applyAlignment="1">
      <alignment horizontal="right" vertical="center"/>
    </xf>
    <xf numFmtId="168" fontId="11" fillId="3" borderId="41" xfId="0" applyNumberFormat="1" applyFont="1" applyFill="1" applyBorder="1" applyAlignment="1">
      <alignment horizontal="right" vertical="center"/>
    </xf>
    <xf numFmtId="168" fontId="11" fillId="3" borderId="5" xfId="0" applyNumberFormat="1" applyFont="1" applyFill="1" applyBorder="1" applyAlignment="1">
      <alignment horizontal="right" vertical="center"/>
    </xf>
    <xf numFmtId="166" fontId="11" fillId="3" borderId="5" xfId="0" applyNumberFormat="1" applyFont="1" applyFill="1" applyBorder="1" applyAlignment="1">
      <alignment horizontal="right" vertical="center"/>
    </xf>
    <xf numFmtId="3" fontId="11" fillId="0" borderId="44" xfId="0" applyNumberFormat="1" applyFont="1" applyFill="1" applyBorder="1" applyAlignment="1">
      <alignment vertical="center"/>
    </xf>
    <xf numFmtId="169" fontId="10" fillId="4" borderId="1" xfId="1" applyNumberFormat="1" applyFont="1" applyFill="1" applyBorder="1" applyAlignment="1">
      <alignment horizontal="right" vertical="center"/>
    </xf>
    <xf numFmtId="169" fontId="10" fillId="4" borderId="52" xfId="1" applyNumberFormat="1" applyFont="1" applyFill="1" applyBorder="1" applyAlignment="1">
      <alignment horizontal="right" vertical="center"/>
    </xf>
    <xf numFmtId="3" fontId="10" fillId="0" borderId="42" xfId="0" applyNumberFormat="1" applyFont="1" applyFill="1" applyBorder="1" applyAlignment="1">
      <alignment vertical="center"/>
    </xf>
    <xf numFmtId="3" fontId="10" fillId="0" borderId="24" xfId="0" applyNumberFormat="1" applyFont="1" applyFill="1" applyBorder="1" applyAlignment="1">
      <alignment vertical="center"/>
    </xf>
    <xf numFmtId="3" fontId="11" fillId="0" borderId="25" xfId="0" applyNumberFormat="1" applyFont="1" applyFill="1" applyBorder="1" applyAlignment="1">
      <alignment vertical="center"/>
    </xf>
    <xf numFmtId="3" fontId="11" fillId="0" borderId="45" xfId="0" applyNumberFormat="1" applyFont="1" applyFill="1" applyBorder="1" applyAlignment="1">
      <alignment vertical="center"/>
    </xf>
    <xf numFmtId="169" fontId="10" fillId="4" borderId="4" xfId="1" applyNumberFormat="1" applyFont="1" applyFill="1" applyBorder="1" applyAlignment="1">
      <alignment horizontal="right" vertical="center"/>
    </xf>
    <xf numFmtId="169" fontId="10" fillId="4" borderId="53" xfId="1" applyNumberFormat="1" applyFont="1" applyFill="1" applyBorder="1" applyAlignment="1">
      <alignment horizontal="right" vertical="center"/>
    </xf>
    <xf numFmtId="49" fontId="10" fillId="0" borderId="26" xfId="0" applyNumberFormat="1" applyFont="1" applyFill="1" applyBorder="1" applyAlignment="1">
      <alignment vertical="center"/>
    </xf>
    <xf numFmtId="49" fontId="10" fillId="0" borderId="27" xfId="0" applyNumberFormat="1" applyFont="1" applyFill="1" applyBorder="1" applyAlignment="1">
      <alignment vertical="center"/>
    </xf>
    <xf numFmtId="3" fontId="11" fillId="0" borderId="46" xfId="0" applyNumberFormat="1" applyFont="1" applyFill="1" applyBorder="1" applyAlignment="1">
      <alignment vertical="center"/>
    </xf>
    <xf numFmtId="3" fontId="10" fillId="0" borderId="43" xfId="0" applyNumberFormat="1" applyFont="1" applyFill="1" applyBorder="1" applyAlignment="1">
      <alignment vertical="center"/>
    </xf>
    <xf numFmtId="3" fontId="10" fillId="0" borderId="27" xfId="0" applyNumberFormat="1" applyFont="1" applyFill="1" applyBorder="1" applyAlignment="1">
      <alignment vertical="center"/>
    </xf>
    <xf numFmtId="3" fontId="11" fillId="0" borderId="28" xfId="0" applyNumberFormat="1" applyFont="1" applyFill="1" applyBorder="1" applyAlignment="1">
      <alignment vertical="center"/>
    </xf>
    <xf numFmtId="3" fontId="11" fillId="3" borderId="14" xfId="0" applyNumberFormat="1" applyFont="1" applyFill="1" applyBorder="1" applyAlignment="1">
      <alignment vertical="center"/>
    </xf>
    <xf numFmtId="169" fontId="11" fillId="3" borderId="17" xfId="1" applyNumberFormat="1" applyFont="1" applyFill="1" applyBorder="1" applyAlignment="1">
      <alignment horizontal="right" vertical="center"/>
    </xf>
    <xf numFmtId="169" fontId="11" fillId="3" borderId="18" xfId="1" applyNumberFormat="1" applyFont="1" applyFill="1" applyBorder="1" applyAlignment="1">
      <alignment horizontal="right" vertical="center"/>
    </xf>
    <xf numFmtId="169" fontId="11" fillId="3" borderId="20" xfId="1" applyNumberFormat="1" applyFont="1" applyFill="1" applyBorder="1" applyAlignment="1">
      <alignment horizontal="right" vertical="center"/>
    </xf>
    <xf numFmtId="169" fontId="11" fillId="3" borderId="19" xfId="1" applyNumberFormat="1" applyFont="1" applyFill="1" applyBorder="1" applyAlignment="1">
      <alignment horizontal="right" vertical="center"/>
    </xf>
    <xf numFmtId="3" fontId="11" fillId="3" borderId="5" xfId="0" applyNumberFormat="1" applyFont="1" applyFill="1" applyBorder="1" applyAlignment="1">
      <alignment vertical="center"/>
    </xf>
    <xf numFmtId="170" fontId="12" fillId="0" borderId="4" xfId="0" applyNumberFormat="1" applyFont="1" applyFill="1" applyBorder="1" applyAlignment="1">
      <alignment vertical="center"/>
    </xf>
    <xf numFmtId="167" fontId="12" fillId="0" borderId="4" xfId="0" applyNumberFormat="1" applyFont="1" applyFill="1" applyBorder="1" applyAlignment="1">
      <alignment vertical="center"/>
    </xf>
    <xf numFmtId="10" fontId="12" fillId="0" borderId="4" xfId="0" applyNumberFormat="1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center"/>
    </xf>
    <xf numFmtId="164" fontId="15" fillId="0" borderId="4" xfId="0" applyNumberFormat="1" applyFont="1" applyFill="1" applyBorder="1" applyAlignment="1">
      <alignment horizontal="right" vertical="center"/>
    </xf>
    <xf numFmtId="164" fontId="12" fillId="0" borderId="4" xfId="0" applyNumberFormat="1" applyFont="1" applyFill="1" applyBorder="1" applyAlignment="1">
      <alignment horizontal="right" vertical="center"/>
    </xf>
    <xf numFmtId="165" fontId="12" fillId="0" borderId="4" xfId="0" applyNumberFormat="1" applyFont="1" applyFill="1" applyBorder="1" applyAlignment="1">
      <alignment horizontal="right" vertical="center"/>
    </xf>
    <xf numFmtId="4" fontId="7" fillId="0" borderId="4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right" vertical="center"/>
    </xf>
    <xf numFmtId="0" fontId="12" fillId="0" borderId="4" xfId="0" applyFont="1" applyFill="1" applyBorder="1" applyAlignment="1">
      <alignment horizontal="right" vertical="center"/>
    </xf>
    <xf numFmtId="166" fontId="10" fillId="3" borderId="7" xfId="0" applyNumberFormat="1" applyFont="1" applyFill="1" applyBorder="1" applyAlignment="1">
      <alignment horizontal="right" vertical="center"/>
    </xf>
    <xf numFmtId="164" fontId="10" fillId="3" borderId="29" xfId="0" applyNumberFormat="1" applyFont="1" applyFill="1" applyBorder="1" applyAlignment="1">
      <alignment horizontal="right" vertical="center"/>
    </xf>
    <xf numFmtId="164" fontId="10" fillId="3" borderId="30" xfId="0" applyNumberFormat="1" applyFont="1" applyFill="1" applyBorder="1" applyAlignment="1">
      <alignment horizontal="right" vertical="center"/>
    </xf>
    <xf numFmtId="164" fontId="10" fillId="3" borderId="34" xfId="0" applyNumberFormat="1" applyFont="1" applyFill="1" applyBorder="1" applyAlignment="1">
      <alignment horizontal="right" vertical="center"/>
    </xf>
    <xf numFmtId="164" fontId="10" fillId="3" borderId="9" xfId="0" applyNumberFormat="1" applyFont="1" applyFill="1" applyBorder="1" applyAlignment="1">
      <alignment horizontal="right" vertical="center"/>
    </xf>
    <xf numFmtId="168" fontId="11" fillId="3" borderId="39" xfId="0" applyNumberFormat="1" applyFont="1" applyFill="1" applyBorder="1" applyAlignment="1">
      <alignment horizontal="right" vertical="center"/>
    </xf>
    <xf numFmtId="3" fontId="10" fillId="0" borderId="22" xfId="0" applyNumberFormat="1" applyFont="1" applyFill="1" applyBorder="1" applyAlignment="1">
      <alignment horizontal="right" vertical="center"/>
    </xf>
    <xf numFmtId="4" fontId="12" fillId="0" borderId="4" xfId="0" applyNumberFormat="1" applyFont="1" applyFill="1" applyBorder="1" applyAlignment="1">
      <alignment horizontal="right" vertical="center"/>
    </xf>
    <xf numFmtId="3" fontId="11" fillId="3" borderId="12" xfId="0" applyNumberFormat="1" applyFont="1" applyFill="1" applyBorder="1" applyAlignment="1">
      <alignment horizontal="right" vertical="center"/>
    </xf>
    <xf numFmtId="3" fontId="11" fillId="3" borderId="0" xfId="0" applyNumberFormat="1" applyFont="1" applyFill="1" applyBorder="1" applyAlignment="1">
      <alignment horizontal="right" vertical="center"/>
    </xf>
    <xf numFmtId="165" fontId="13" fillId="0" borderId="4" xfId="0" applyNumberFormat="1" applyFont="1" applyFill="1" applyBorder="1" applyAlignment="1">
      <alignment horizontal="right" vertical="center"/>
    </xf>
    <xf numFmtId="165" fontId="14" fillId="0" borderId="4" xfId="0" applyNumberFormat="1" applyFont="1" applyFill="1" applyBorder="1" applyAlignment="1">
      <alignment horizontal="right" vertical="center"/>
    </xf>
    <xf numFmtId="165" fontId="7" fillId="0" borderId="4" xfId="0" applyNumberFormat="1" applyFont="1" applyFill="1" applyBorder="1" applyAlignment="1">
      <alignment horizontal="right" vertical="center"/>
    </xf>
    <xf numFmtId="165" fontId="11" fillId="3" borderId="73" xfId="0" applyNumberFormat="1" applyFont="1" applyFill="1" applyBorder="1" applyAlignment="1">
      <alignment horizontal="left" vertical="center"/>
    </xf>
    <xf numFmtId="165" fontId="11" fillId="3" borderId="73" xfId="0" applyNumberFormat="1" applyFont="1" applyFill="1" applyBorder="1" applyAlignment="1">
      <alignment vertical="center"/>
    </xf>
    <xf numFmtId="165" fontId="11" fillId="3" borderId="73" xfId="0" applyNumberFormat="1" applyFont="1" applyFill="1" applyBorder="1" applyAlignment="1">
      <alignment horizontal="left" vertical="center"/>
    </xf>
    <xf numFmtId="166" fontId="9" fillId="3" borderId="6" xfId="0" applyNumberFormat="1" applyFont="1" applyFill="1" applyBorder="1" applyAlignment="1">
      <alignment horizontal="left" vertical="center"/>
    </xf>
    <xf numFmtId="166" fontId="9" fillId="3" borderId="7" xfId="0" applyNumberFormat="1" applyFont="1" applyFill="1" applyBorder="1" applyAlignment="1">
      <alignment horizontal="left" vertical="center"/>
    </xf>
    <xf numFmtId="166" fontId="10" fillId="3" borderId="7" xfId="0" applyNumberFormat="1" applyFont="1" applyFill="1" applyBorder="1" applyAlignment="1">
      <alignment horizontal="left" vertical="center"/>
    </xf>
    <xf numFmtId="166" fontId="10" fillId="3" borderId="0" xfId="0" applyNumberFormat="1" applyFont="1" applyFill="1" applyBorder="1" applyAlignment="1">
      <alignment horizontal="left" vertical="center"/>
    </xf>
    <xf numFmtId="164" fontId="10" fillId="2" borderId="0" xfId="0" applyNumberFormat="1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165" fontId="11" fillId="3" borderId="37" xfId="0" applyNumberFormat="1" applyFont="1" applyFill="1" applyBorder="1" applyAlignment="1">
      <alignment horizontal="left" vertical="center"/>
    </xf>
    <xf numFmtId="165" fontId="11" fillId="3" borderId="38" xfId="0" applyNumberFormat="1" applyFont="1" applyFill="1" applyBorder="1" applyAlignment="1">
      <alignment horizontal="left" vertical="center"/>
    </xf>
    <xf numFmtId="49" fontId="10" fillId="0" borderId="21" xfId="0" applyNumberFormat="1" applyFont="1" applyFill="1" applyBorder="1" applyAlignment="1">
      <alignment horizontal="left" vertical="center"/>
    </xf>
    <xf numFmtId="49" fontId="10" fillId="0" borderId="74" xfId="0" applyNumberFormat="1" applyFont="1" applyFill="1" applyBorder="1" applyAlignment="1">
      <alignment horizontal="left" vertical="center"/>
    </xf>
    <xf numFmtId="49" fontId="10" fillId="0" borderId="22" xfId="0" applyNumberFormat="1" applyFont="1" applyFill="1" applyBorder="1" applyAlignment="1">
      <alignment horizontal="left" vertical="center"/>
    </xf>
    <xf numFmtId="49" fontId="10" fillId="0" borderId="23" xfId="0" applyNumberFormat="1" applyFont="1" applyFill="1" applyBorder="1" applyAlignment="1">
      <alignment horizontal="left" vertical="center"/>
    </xf>
    <xf numFmtId="49" fontId="10" fillId="0" borderId="42" xfId="0" applyNumberFormat="1" applyFont="1" applyFill="1" applyBorder="1" applyAlignment="1">
      <alignment horizontal="left" vertical="center"/>
    </xf>
    <xf numFmtId="49" fontId="10" fillId="0" borderId="24" xfId="0" applyNumberFormat="1" applyFont="1" applyFill="1" applyBorder="1" applyAlignment="1">
      <alignment horizontal="left" vertical="center"/>
    </xf>
    <xf numFmtId="165" fontId="13" fillId="0" borderId="4" xfId="0" applyNumberFormat="1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164" fontId="15" fillId="0" borderId="4" xfId="0" applyNumberFormat="1" applyFont="1" applyFill="1" applyBorder="1" applyAlignment="1">
      <alignment horizontal="left" vertical="center"/>
    </xf>
    <xf numFmtId="164" fontId="12" fillId="0" borderId="4" xfId="0" applyNumberFormat="1" applyFont="1" applyFill="1" applyBorder="1" applyAlignment="1">
      <alignment horizontal="left" vertical="center"/>
    </xf>
    <xf numFmtId="166" fontId="12" fillId="0" borderId="4" xfId="0" applyNumberFormat="1" applyFont="1" applyFill="1" applyBorder="1" applyAlignment="1">
      <alignment horizontal="left" vertical="center"/>
    </xf>
    <xf numFmtId="4" fontId="7" fillId="0" borderId="4" xfId="0" applyNumberFormat="1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164" fontId="10" fillId="3" borderId="29" xfId="0" applyNumberFormat="1" applyFont="1" applyFill="1" applyBorder="1" applyAlignment="1">
      <alignment horizontal="left" vertical="center"/>
    </xf>
    <xf numFmtId="164" fontId="10" fillId="3" borderId="30" xfId="0" applyNumberFormat="1" applyFont="1" applyFill="1" applyBorder="1" applyAlignment="1">
      <alignment horizontal="left" vertical="center"/>
    </xf>
    <xf numFmtId="164" fontId="10" fillId="3" borderId="34" xfId="0" applyNumberFormat="1" applyFont="1" applyFill="1" applyBorder="1" applyAlignment="1">
      <alignment horizontal="left" vertical="center"/>
    </xf>
    <xf numFmtId="164" fontId="10" fillId="3" borderId="9" xfId="0" applyNumberFormat="1" applyFont="1" applyFill="1" applyBorder="1" applyAlignment="1">
      <alignment horizontal="left" vertical="center"/>
    </xf>
    <xf numFmtId="168" fontId="11" fillId="3" borderId="39" xfId="0" applyNumberFormat="1" applyFont="1" applyFill="1" applyBorder="1" applyAlignment="1">
      <alignment horizontal="left" vertical="center"/>
    </xf>
    <xf numFmtId="168" fontId="11" fillId="3" borderId="40" xfId="0" applyNumberFormat="1" applyFont="1" applyFill="1" applyBorder="1" applyAlignment="1">
      <alignment horizontal="left" vertical="center"/>
    </xf>
    <xf numFmtId="3" fontId="10" fillId="0" borderId="22" xfId="0" applyNumberFormat="1" applyFont="1" applyFill="1" applyBorder="1" applyAlignment="1">
      <alignment horizontal="left" vertical="center"/>
    </xf>
    <xf numFmtId="4" fontId="12" fillId="0" borderId="4" xfId="0" applyNumberFormat="1" applyFont="1" applyFill="1" applyBorder="1" applyAlignment="1">
      <alignment horizontal="left" vertical="center"/>
    </xf>
    <xf numFmtId="49" fontId="10" fillId="0" borderId="69" xfId="0" applyNumberFormat="1" applyFont="1" applyFill="1" applyBorder="1" applyAlignment="1">
      <alignment horizontal="left" vertical="center"/>
    </xf>
    <xf numFmtId="49" fontId="10" fillId="0" borderId="77" xfId="0" applyNumberFormat="1" applyFont="1" applyFill="1" applyBorder="1" applyAlignment="1">
      <alignment horizontal="left" vertical="center"/>
    </xf>
    <xf numFmtId="49" fontId="10" fillId="0" borderId="70" xfId="0" applyNumberFormat="1" applyFont="1" applyFill="1" applyBorder="1" applyAlignment="1">
      <alignment horizontal="left" vertical="center"/>
    </xf>
    <xf numFmtId="3" fontId="11" fillId="3" borderId="0" xfId="0" applyNumberFormat="1" applyFont="1" applyFill="1" applyBorder="1" applyAlignment="1">
      <alignment horizontal="left" vertical="center"/>
    </xf>
    <xf numFmtId="165" fontId="17" fillId="0" borderId="4" xfId="0" applyNumberFormat="1" applyFont="1" applyFill="1" applyBorder="1" applyAlignment="1">
      <alignment horizontal="left" vertical="center"/>
    </xf>
    <xf numFmtId="165" fontId="14" fillId="0" borderId="4" xfId="0" applyNumberFormat="1" applyFont="1" applyFill="1" applyBorder="1" applyAlignment="1">
      <alignment horizontal="left" vertical="center"/>
    </xf>
    <xf numFmtId="3" fontId="10" fillId="0" borderId="70" xfId="0" applyNumberFormat="1" applyFont="1" applyFill="1" applyBorder="1" applyAlignment="1">
      <alignment vertical="center"/>
    </xf>
    <xf numFmtId="166" fontId="12" fillId="0" borderId="55" xfId="0" applyNumberFormat="1" applyFont="1" applyFill="1" applyBorder="1" applyAlignment="1">
      <alignment vertical="center"/>
    </xf>
    <xf numFmtId="49" fontId="10" fillId="0" borderId="69" xfId="0" applyNumberFormat="1" applyFont="1" applyFill="1" applyBorder="1" applyAlignment="1">
      <alignment vertical="center"/>
    </xf>
    <xf numFmtId="49" fontId="10" fillId="0" borderId="71" xfId="0" applyNumberFormat="1" applyFont="1" applyFill="1" applyBorder="1" applyAlignment="1">
      <alignment vertical="center"/>
    </xf>
    <xf numFmtId="165" fontId="18" fillId="0" borderId="4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71" fontId="11" fillId="3" borderId="39" xfId="0" applyNumberFormat="1" applyFont="1" applyFill="1" applyBorder="1" applyAlignment="1">
      <alignment vertical="center"/>
    </xf>
    <xf numFmtId="49" fontId="11" fillId="0" borderId="22" xfId="0" applyNumberFormat="1" applyFont="1" applyFill="1" applyBorder="1" applyAlignment="1">
      <alignment horizontal="left" vertical="center"/>
    </xf>
    <xf numFmtId="49" fontId="11" fillId="0" borderId="70" xfId="0" applyNumberFormat="1" applyFont="1" applyFill="1" applyBorder="1" applyAlignment="1">
      <alignment horizontal="left" vertical="center"/>
    </xf>
    <xf numFmtId="49" fontId="11" fillId="0" borderId="24" xfId="0" applyNumberFormat="1" applyFont="1" applyFill="1" applyBorder="1" applyAlignment="1">
      <alignment horizontal="left" vertical="center"/>
    </xf>
    <xf numFmtId="3" fontId="10" fillId="0" borderId="77" xfId="0" applyNumberFormat="1" applyFont="1" applyFill="1" applyBorder="1" applyAlignment="1">
      <alignment vertical="center"/>
    </xf>
    <xf numFmtId="3" fontId="11" fillId="0" borderId="78" xfId="0" applyNumberFormat="1" applyFont="1" applyFill="1" applyBorder="1" applyAlignment="1">
      <alignment vertical="center"/>
    </xf>
    <xf numFmtId="3" fontId="10" fillId="0" borderId="79" xfId="0" applyNumberFormat="1" applyFont="1" applyFill="1" applyBorder="1" applyAlignment="1">
      <alignment vertical="center"/>
    </xf>
    <xf numFmtId="3" fontId="10" fillId="0" borderId="80" xfId="0" applyNumberFormat="1" applyFont="1" applyFill="1" applyBorder="1" applyAlignment="1">
      <alignment vertical="center"/>
    </xf>
    <xf numFmtId="3" fontId="11" fillId="0" borderId="81" xfId="0" applyNumberFormat="1" applyFont="1" applyFill="1" applyBorder="1" applyAlignment="1">
      <alignment vertical="center"/>
    </xf>
    <xf numFmtId="3" fontId="10" fillId="0" borderId="82" xfId="0" applyNumberFormat="1" applyFont="1" applyFill="1" applyBorder="1" applyAlignment="1">
      <alignment vertical="center"/>
    </xf>
    <xf numFmtId="3" fontId="10" fillId="0" borderId="83" xfId="0" applyNumberFormat="1" applyFont="1" applyFill="1" applyBorder="1" applyAlignment="1">
      <alignment vertical="center"/>
    </xf>
    <xf numFmtId="3" fontId="10" fillId="0" borderId="84" xfId="0" applyNumberFormat="1" applyFont="1" applyFill="1" applyBorder="1" applyAlignment="1">
      <alignment vertical="center"/>
    </xf>
    <xf numFmtId="3" fontId="11" fillId="3" borderId="18" xfId="0" applyNumberFormat="1" applyFont="1" applyFill="1" applyBorder="1" applyAlignment="1">
      <alignment vertical="center"/>
    </xf>
    <xf numFmtId="3" fontId="10" fillId="0" borderId="85" xfId="0" applyNumberFormat="1" applyFont="1" applyFill="1" applyBorder="1" applyAlignment="1">
      <alignment vertical="center"/>
    </xf>
    <xf numFmtId="3" fontId="10" fillId="0" borderId="0" xfId="0" applyNumberFormat="1" applyFont="1" applyFill="1" applyBorder="1" applyAlignment="1">
      <alignment vertical="center"/>
    </xf>
    <xf numFmtId="3" fontId="10" fillId="0" borderId="86" xfId="0" applyNumberFormat="1" applyFont="1" applyFill="1" applyBorder="1" applyAlignment="1">
      <alignment vertical="center"/>
    </xf>
    <xf numFmtId="168" fontId="11" fillId="3" borderId="88" xfId="0" applyNumberFormat="1" applyFont="1" applyFill="1" applyBorder="1" applyAlignment="1">
      <alignment horizontal="right" vertical="center"/>
    </xf>
    <xf numFmtId="3" fontId="10" fillId="0" borderId="87" xfId="0" applyNumberFormat="1" applyFont="1" applyFill="1" applyBorder="1" applyAlignment="1">
      <alignment vertical="center"/>
    </xf>
    <xf numFmtId="49" fontId="10" fillId="0" borderId="89" xfId="0" applyNumberFormat="1" applyFont="1" applyFill="1" applyBorder="1" applyAlignment="1">
      <alignment vertical="center"/>
    </xf>
    <xf numFmtId="3" fontId="10" fillId="0" borderId="90" xfId="0" applyNumberFormat="1" applyFont="1" applyFill="1" applyBorder="1" applyAlignment="1">
      <alignment vertical="center"/>
    </xf>
    <xf numFmtId="168" fontId="11" fillId="3" borderId="91" xfId="0" applyNumberFormat="1" applyFont="1" applyFill="1" applyBorder="1" applyAlignment="1">
      <alignment vertical="center"/>
    </xf>
    <xf numFmtId="3" fontId="10" fillId="0" borderId="92" xfId="0" applyNumberFormat="1" applyFont="1" applyFill="1" applyBorder="1" applyAlignment="1">
      <alignment vertical="center"/>
    </xf>
    <xf numFmtId="0" fontId="5" fillId="5" borderId="72" xfId="0" applyFont="1" applyFill="1" applyBorder="1" applyAlignment="1">
      <alignment horizontal="center"/>
    </xf>
    <xf numFmtId="0" fontId="6" fillId="5" borderId="72" xfId="0" applyFont="1" applyFill="1" applyBorder="1" applyAlignment="1">
      <alignment horizontal="center"/>
    </xf>
    <xf numFmtId="164" fontId="10" fillId="3" borderId="32" xfId="0" applyNumberFormat="1" applyFont="1" applyFill="1" applyBorder="1" applyAlignment="1">
      <alignment horizontal="center" vertical="center"/>
    </xf>
    <xf numFmtId="164" fontId="10" fillId="3" borderId="36" xfId="0" applyNumberFormat="1" applyFont="1" applyFill="1" applyBorder="1" applyAlignment="1">
      <alignment horizontal="center" vertical="center"/>
    </xf>
    <xf numFmtId="165" fontId="11" fillId="3" borderId="10" xfId="0" applyNumberFormat="1" applyFont="1" applyFill="1" applyBorder="1" applyAlignment="1">
      <alignment horizontal="left" vertical="center"/>
    </xf>
    <xf numFmtId="165" fontId="11" fillId="3" borderId="11" xfId="0" applyNumberFormat="1" applyFont="1" applyFill="1" applyBorder="1" applyAlignment="1">
      <alignment horizontal="left" vertical="center"/>
    </xf>
    <xf numFmtId="164" fontId="10" fillId="3" borderId="48" xfId="0" applyNumberFormat="1" applyFont="1" applyFill="1" applyBorder="1" applyAlignment="1">
      <alignment horizontal="center" vertical="center"/>
    </xf>
    <xf numFmtId="164" fontId="10" fillId="3" borderId="49" xfId="0" applyNumberFormat="1" applyFont="1" applyFill="1" applyBorder="1" applyAlignment="1">
      <alignment horizontal="center" vertical="center"/>
    </xf>
    <xf numFmtId="166" fontId="9" fillId="3" borderId="50" xfId="0" applyNumberFormat="1" applyFont="1" applyFill="1" applyBorder="1" applyAlignment="1">
      <alignment horizontal="center" vertical="center"/>
    </xf>
    <xf numFmtId="166" fontId="9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8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11" fillId="3" borderId="16" xfId="0" applyNumberFormat="1" applyFont="1" applyFill="1" applyBorder="1" applyAlignment="1">
      <alignment horizontal="center" vertical="center"/>
    </xf>
    <xf numFmtId="165" fontId="11" fillId="3" borderId="73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3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left" vertical="center"/>
    </xf>
    <xf numFmtId="0" fontId="11" fillId="3" borderId="7" xfId="0" applyNumberFormat="1" applyFont="1" applyFill="1" applyBorder="1" applyAlignment="1">
      <alignment horizontal="left" vertical="center"/>
    </xf>
    <xf numFmtId="0" fontId="11" fillId="3" borderId="8" xfId="0" applyNumberFormat="1" applyFont="1" applyFill="1" applyBorder="1" applyAlignment="1">
      <alignment horizontal="left" vertical="center"/>
    </xf>
    <xf numFmtId="0" fontId="11" fillId="3" borderId="15" xfId="0" applyNumberFormat="1" applyFont="1" applyFill="1" applyBorder="1" applyAlignment="1">
      <alignment horizontal="left" vertical="center"/>
    </xf>
    <xf numFmtId="0" fontId="11" fillId="3" borderId="33" xfId="0" applyNumberFormat="1" applyFont="1" applyFill="1" applyBorder="1" applyAlignment="1">
      <alignment horizontal="left" vertical="center"/>
    </xf>
    <xf numFmtId="0" fontId="11" fillId="3" borderId="16" xfId="0" applyNumberFormat="1" applyFont="1" applyFill="1" applyBorder="1" applyAlignment="1">
      <alignment horizontal="left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Výnosy nejdůležitějšíh účtů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lineChart>
        <c:grouping val="standard"/>
        <c:varyColors val="0"/>
        <c:ser>
          <c:idx val="1"/>
          <c:order val="0"/>
          <c:tx>
            <c:strRef>
              <c:f>'Model výnosů'!$B$10:$C$10</c:f>
              <c:strCache>
                <c:ptCount val="2"/>
                <c:pt idx="0">
                  <c:v>Tržby z prodeje služeb</c:v>
                </c:pt>
                <c:pt idx="1">
                  <c:v>602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10971.59338</c:v>
                </c:pt>
                <c:pt idx="1">
                  <c:v>12190.168369999999</c:v>
                </c:pt>
                <c:pt idx="2">
                  <c:v>10809.828230000001</c:v>
                </c:pt>
                <c:pt idx="3">
                  <c:v>9861.4147899999989</c:v>
                </c:pt>
                <c:pt idx="4">
                  <c:v>10406.14522</c:v>
                </c:pt>
                <c:pt idx="5">
                  <c:v>10825.697789999998</c:v>
                </c:pt>
                <c:pt idx="6">
                  <c:v>10269.749760000001</c:v>
                </c:pt>
                <c:pt idx="7">
                  <c:v>9334.2040199999992</c:v>
                </c:pt>
                <c:pt idx="8">
                  <c:v>10067.953039999999</c:v>
                </c:pt>
                <c:pt idx="9">
                  <c:v>10245.98386</c:v>
                </c:pt>
                <c:pt idx="10">
                  <c:v>10982.264869999999</c:v>
                </c:pt>
                <c:pt idx="11">
                  <c:v>13554.1021</c:v>
                </c:pt>
                <c:pt idx="12">
                  <c:v>12176.45182</c:v>
                </c:pt>
                <c:pt idx="13">
                  <c:v>11691.45602</c:v>
                </c:pt>
                <c:pt idx="14">
                  <c:v>11017.495779999999</c:v>
                </c:pt>
                <c:pt idx="15">
                  <c:v>11334.81127</c:v>
                </c:pt>
                <c:pt idx="16">
                  <c:v>11474.586230000001</c:v>
                </c:pt>
                <c:pt idx="17">
                  <c:v>11281.733850000001</c:v>
                </c:pt>
                <c:pt idx="18">
                  <c:v>11545.346119999998</c:v>
                </c:pt>
                <c:pt idx="19">
                  <c:v>11237.745580000001</c:v>
                </c:pt>
                <c:pt idx="20">
                  <c:v>12342.731179999999</c:v>
                </c:pt>
                <c:pt idx="21">
                  <c:v>11941.10701</c:v>
                </c:pt>
                <c:pt idx="22">
                  <c:v>15040.916289999999</c:v>
                </c:pt>
                <c:pt idx="23">
                  <c:v>15779.86715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ser>
          <c:idx val="2"/>
          <c:order val="2"/>
          <c:tx>
            <c:strRef>
              <c:f>'Model výnosů'!$B$11:$C$11</c:f>
              <c:strCache>
                <c:ptCount val="2"/>
                <c:pt idx="0">
                  <c:v>Tržby za zboží</c:v>
                </c:pt>
                <c:pt idx="1">
                  <c:v>604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</c:numRef>
          </c:cat>
          <c:val>
            <c:numRef>
              <c:f>'Model výnosů'!$D$11:$AA$11</c:f>
              <c:numCache>
                <c:formatCode>#,##0</c:formatCode>
                <c:ptCount val="24"/>
                <c:pt idx="0">
                  <c:v>708.18127000000004</c:v>
                </c:pt>
                <c:pt idx="1">
                  <c:v>763.25078000000008</c:v>
                </c:pt>
                <c:pt idx="2">
                  <c:v>747.23693000000003</c:v>
                </c:pt>
                <c:pt idx="3">
                  <c:v>642.28336999999999</c:v>
                </c:pt>
                <c:pt idx="4">
                  <c:v>900.18232</c:v>
                </c:pt>
                <c:pt idx="5">
                  <c:v>123.65600000000001</c:v>
                </c:pt>
                <c:pt idx="6">
                  <c:v>340.24200000000002</c:v>
                </c:pt>
                <c:pt idx="7">
                  <c:v>302.23219</c:v>
                </c:pt>
                <c:pt idx="8">
                  <c:v>316.59926000000002</c:v>
                </c:pt>
                <c:pt idx="9">
                  <c:v>378.99196000000001</c:v>
                </c:pt>
                <c:pt idx="10">
                  <c:v>2551.9782500000001</c:v>
                </c:pt>
                <c:pt idx="11">
                  <c:v>834.49444999999992</c:v>
                </c:pt>
                <c:pt idx="12">
                  <c:v>138.95232000000001</c:v>
                </c:pt>
                <c:pt idx="13">
                  <c:v>230.22289999999998</c:v>
                </c:pt>
                <c:pt idx="14">
                  <c:v>561.02606000000003</c:v>
                </c:pt>
                <c:pt idx="15">
                  <c:v>247.63200000000001</c:v>
                </c:pt>
                <c:pt idx="16">
                  <c:v>262.00564000000003</c:v>
                </c:pt>
                <c:pt idx="17">
                  <c:v>1006.1477199999999</c:v>
                </c:pt>
                <c:pt idx="18">
                  <c:v>580.73649999999998</c:v>
                </c:pt>
                <c:pt idx="19">
                  <c:v>645.84749999999997</c:v>
                </c:pt>
                <c:pt idx="20">
                  <c:v>378.37099000000001</c:v>
                </c:pt>
                <c:pt idx="21">
                  <c:v>228.78899999999999</c:v>
                </c:pt>
                <c:pt idx="22">
                  <c:v>469.8759</c:v>
                </c:pt>
                <c:pt idx="23">
                  <c:v>748.6730500000001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3A-462A-B577-D323344000B2}"/>
            </c:ext>
          </c:extLst>
        </c:ser>
        <c:ser>
          <c:idx val="7"/>
          <c:order val="7"/>
          <c:tx>
            <c:strRef>
              <c:f>'Model výnosů'!$B$16:$C$16</c:f>
              <c:strCache>
                <c:ptCount val="2"/>
                <c:pt idx="0">
                  <c:v>Ostatní provozní výnosy</c:v>
                </c:pt>
                <c:pt idx="1">
                  <c:v>648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</c:numCache>
              <c:extLst xmlns:c15="http://schemas.microsoft.com/office/drawing/2012/chart"/>
            </c:numRef>
          </c:cat>
          <c:val>
            <c:numRef>
              <c:f>'Model výnosů'!$D$16:$AA$16</c:f>
              <c:numCache>
                <c:formatCode>#,##0</c:formatCode>
                <c:ptCount val="24"/>
                <c:pt idx="0">
                  <c:v>81.804640000000006</c:v>
                </c:pt>
                <c:pt idx="1">
                  <c:v>264.48590999999999</c:v>
                </c:pt>
                <c:pt idx="2">
                  <c:v>201.17025000000001</c:v>
                </c:pt>
                <c:pt idx="3">
                  <c:v>229.72810000000001</c:v>
                </c:pt>
                <c:pt idx="4">
                  <c:v>79.467380000000006</c:v>
                </c:pt>
                <c:pt idx="5">
                  <c:v>59.983150000000002</c:v>
                </c:pt>
                <c:pt idx="6">
                  <c:v>102.45948</c:v>
                </c:pt>
                <c:pt idx="7">
                  <c:v>53.415999999999997</c:v>
                </c:pt>
                <c:pt idx="8">
                  <c:v>74.671379999999999</c:v>
                </c:pt>
                <c:pt idx="9">
                  <c:v>45.231919999999995</c:v>
                </c:pt>
                <c:pt idx="10">
                  <c:v>98.05561999999999</c:v>
                </c:pt>
                <c:pt idx="11">
                  <c:v>78.85999000000001</c:v>
                </c:pt>
                <c:pt idx="12">
                  <c:v>67.168759999999992</c:v>
                </c:pt>
                <c:pt idx="13">
                  <c:v>67.593580000000003</c:v>
                </c:pt>
                <c:pt idx="14">
                  <c:v>61.83222</c:v>
                </c:pt>
                <c:pt idx="15">
                  <c:v>81.790679999999995</c:v>
                </c:pt>
                <c:pt idx="16">
                  <c:v>28.97241</c:v>
                </c:pt>
                <c:pt idx="17">
                  <c:v>442.38346999999999</c:v>
                </c:pt>
                <c:pt idx="18">
                  <c:v>43.776449999999997</c:v>
                </c:pt>
                <c:pt idx="19">
                  <c:v>41.538820000000001</c:v>
                </c:pt>
                <c:pt idx="20">
                  <c:v>59.105719999999998</c:v>
                </c:pt>
                <c:pt idx="21">
                  <c:v>85.36739</c:v>
                </c:pt>
                <c:pt idx="22">
                  <c:v>43.108489999999996</c:v>
                </c:pt>
                <c:pt idx="23">
                  <c:v>306.98892000000001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868272"/>
        <c:axId val="634871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výnosů'!$B$9:$C$9</c15:sqref>
                        </c15:formulaRef>
                      </c:ext>
                    </c:extLst>
                    <c:strCache>
                      <c:ptCount val="2"/>
                      <c:pt idx="0">
                        <c:v>Tržby za vlastní výrobky</c:v>
                      </c:pt>
                      <c:pt idx="1">
                        <c:v>601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výnosů'!$D$9:$AA$9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3A-462A-B577-D323344000B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výnosů'!$B$12:$C$12</c15:sqref>
                        </c15:formulaRef>
                      </c:ext>
                    </c:extLst>
                    <c:strCache>
                      <c:ptCount val="2"/>
                      <c:pt idx="0">
                        <c:v>Tržby z prodeje dlouhodobého majetku</c:v>
                      </c:pt>
                      <c:pt idx="1">
                        <c:v>641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výnosů'!$D$12:$AA$12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1074.32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200.14479999999998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3.5539999999999998</c:v>
                      </c:pt>
                      <c:pt idx="12">
                        <c:v>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95.867999999999995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41.322000000000003</c:v>
                      </c:pt>
                      <c:pt idx="21">
                        <c:v>0</c:v>
                      </c:pt>
                      <c:pt idx="22">
                        <c:v>42.975000000000001</c:v>
                      </c:pt>
                      <c:pt idx="23">
                        <c:v>661.12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A3A-462A-B577-D323344000B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výnosů'!$B$13:$C$13</c15:sqref>
                        </c15:formulaRef>
                      </c:ext>
                    </c:extLst>
                    <c:strCache>
                      <c:ptCount val="2"/>
                      <c:pt idx="0">
                        <c:v>Tržby z prodeje materiálu</c:v>
                      </c:pt>
                      <c:pt idx="1">
                        <c:v>642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výnosů'!$D$13:$AA$13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52.601999999999997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A3A-462A-B577-D323344000B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výnosů'!$B$14:$C$14</c15:sqref>
                        </c15:formulaRef>
                      </c:ext>
                    </c:extLst>
                    <c:strCache>
                      <c:ptCount val="2"/>
                      <c:pt idx="0">
                        <c:v>Smluvní pokuty a úroky z prodlení</c:v>
                      </c:pt>
                      <c:pt idx="1">
                        <c:v>644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výnosů'!$D$14:$AA$14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8.6389999999999993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1.27</c:v>
                      </c:pt>
                      <c:pt idx="22">
                        <c:v>0</c:v>
                      </c:pt>
                      <c:pt idx="23">
                        <c:v>6.9854599999999998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A3A-462A-B577-D323344000B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výnosů'!$B$15:$C$15</c15:sqref>
                        </c15:formulaRef>
                      </c:ext>
                    </c:extLst>
                    <c:strCache>
                      <c:ptCount val="2"/>
                      <c:pt idx="0">
                        <c:v>Výnosy z odepsaných pohledávek</c:v>
                      </c:pt>
                      <c:pt idx="1">
                        <c:v>646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výnosů'!$D$15:$AA$15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3A-462A-B577-D323344000B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výnosů'!$B$17:$C$17</c15:sqref>
                        </c15:formulaRef>
                      </c:ext>
                    </c:extLst>
                    <c:strCache>
                      <c:ptCount val="2"/>
                      <c:pt idx="0">
                        <c:v>Tržby z prodeje cenných papírů a podílů</c:v>
                      </c:pt>
                      <c:pt idx="1">
                        <c:v>661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výnosů'!$D$17:$AA$17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3A-462A-B577-D323344000B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výnosů'!$B$18:$C$18</c15:sqref>
                        </c15:formulaRef>
                      </c:ext>
                    </c:extLst>
                    <c:strCache>
                      <c:ptCount val="2"/>
                      <c:pt idx="0">
                        <c:v>Úroky</c:v>
                      </c:pt>
                      <c:pt idx="1">
                        <c:v>662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výnosů'!$D$18:$AA$18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11.6373</c:v>
                      </c:pt>
                      <c:pt idx="1">
                        <c:v>11.86891</c:v>
                      </c:pt>
                      <c:pt idx="2">
                        <c:v>12.07963</c:v>
                      </c:pt>
                      <c:pt idx="3">
                        <c:v>11.324440000000001</c:v>
                      </c:pt>
                      <c:pt idx="4">
                        <c:v>10.815719999999999</c:v>
                      </c:pt>
                      <c:pt idx="5">
                        <c:v>93.836669999999998</c:v>
                      </c:pt>
                      <c:pt idx="6">
                        <c:v>9.070549999999999</c:v>
                      </c:pt>
                      <c:pt idx="7">
                        <c:v>8.4828500000000009</c:v>
                      </c:pt>
                      <c:pt idx="8">
                        <c:v>8.3544300000000007</c:v>
                      </c:pt>
                      <c:pt idx="9">
                        <c:v>8.15259</c:v>
                      </c:pt>
                      <c:pt idx="10">
                        <c:v>8.0033799999999999</c:v>
                      </c:pt>
                      <c:pt idx="11">
                        <c:v>9.4857300000000002</c:v>
                      </c:pt>
                      <c:pt idx="12">
                        <c:v>73.405710000000013</c:v>
                      </c:pt>
                      <c:pt idx="13">
                        <c:v>10.996649999999999</c:v>
                      </c:pt>
                      <c:pt idx="14">
                        <c:v>10.866879999999998</c:v>
                      </c:pt>
                      <c:pt idx="15">
                        <c:v>9.5736000000000008</c:v>
                      </c:pt>
                      <c:pt idx="16">
                        <c:v>9.5068799999999989</c:v>
                      </c:pt>
                      <c:pt idx="17">
                        <c:v>63.650220000000004</c:v>
                      </c:pt>
                      <c:pt idx="18">
                        <c:v>5.58535</c:v>
                      </c:pt>
                      <c:pt idx="19">
                        <c:v>4.85982</c:v>
                      </c:pt>
                      <c:pt idx="20">
                        <c:v>3.9747199999999996</c:v>
                      </c:pt>
                      <c:pt idx="21">
                        <c:v>3.3685700000000001</c:v>
                      </c:pt>
                      <c:pt idx="22">
                        <c:v>3.2081500000000003</c:v>
                      </c:pt>
                      <c:pt idx="23">
                        <c:v>2.2499000000000002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3A-462A-B577-D323344000B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výnosů'!$B$19:$C$19</c15:sqref>
                        </c15:formulaRef>
                      </c:ext>
                    </c:extLst>
                    <c:strCache>
                      <c:ptCount val="2"/>
                      <c:pt idx="0">
                        <c:v>Kursové zisky</c:v>
                      </c:pt>
                      <c:pt idx="1">
                        <c:v>663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výnosů'!$D$19:$AA$19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64.750950000000003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0.54596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2.36294</c:v>
                      </c:pt>
                      <c:pt idx="15">
                        <c:v>0</c:v>
                      </c:pt>
                      <c:pt idx="16">
                        <c:v>1.09E-2</c:v>
                      </c:pt>
                      <c:pt idx="17">
                        <c:v>16.121980000000001</c:v>
                      </c:pt>
                      <c:pt idx="18">
                        <c:v>-9.7959999999999992E-2</c:v>
                      </c:pt>
                      <c:pt idx="19">
                        <c:v>-0.56996000000000002</c:v>
                      </c:pt>
                      <c:pt idx="20">
                        <c:v>6.1826999999999996</c:v>
                      </c:pt>
                      <c:pt idx="21">
                        <c:v>0</c:v>
                      </c:pt>
                      <c:pt idx="22">
                        <c:v>2.954E-2</c:v>
                      </c:pt>
                      <c:pt idx="23">
                        <c:v>1.6460000000000002E-2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3A-462A-B577-D323344000B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výnosů'!$B$20:$C$20</c15:sqref>
                        </c15:formulaRef>
                      </c:ext>
                    </c:extLst>
                    <c:strCache>
                      <c:ptCount val="2"/>
                      <c:pt idx="0">
                        <c:v>Výnosy z přecenění cenných papírů</c:v>
                      </c:pt>
                      <c:pt idx="1">
                        <c:v>664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výnosů'!$D$20:$AA$20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3A-462A-B577-D323344000B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výnosů'!$B$21:$C$21</c15:sqref>
                        </c15:formulaRef>
                      </c:ext>
                    </c:extLst>
                    <c:strCache>
                      <c:ptCount val="2"/>
                      <c:pt idx="0">
                        <c:v>Výnosy z dlouhodobého finančního majetku</c:v>
                      </c:pt>
                      <c:pt idx="1">
                        <c:v>665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výnosů'!$D$21:$AA$21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3A-462A-B577-D323344000B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výnosů'!$B$22:$C$22</c15:sqref>
                        </c15:formulaRef>
                      </c:ext>
                    </c:extLst>
                    <c:strCache>
                      <c:ptCount val="2"/>
                      <c:pt idx="0">
                        <c:v>Výnosy z krátkodobého finančního majetku</c:v>
                      </c:pt>
                      <c:pt idx="1">
                        <c:v>666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výnosů'!$D$22:$AA$22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3A-462A-B577-D323344000B2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výnosů'!$B$23:$C$23</c15:sqref>
                        </c15:formulaRef>
                      </c:ext>
                    </c:extLst>
                    <c:strCache>
                      <c:ptCount val="2"/>
                      <c:pt idx="0">
                        <c:v>Výnosy z derivátových operací</c:v>
                      </c:pt>
                      <c:pt idx="1">
                        <c:v>667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výnosů'!$D$23:$AA$23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3A-462A-B577-D323344000B2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výnosů'!$B$24:$C$24</c15:sqref>
                        </c15:formulaRef>
                      </c:ext>
                    </c:extLst>
                    <c:strCache>
                      <c:ptCount val="2"/>
                      <c:pt idx="0">
                        <c:v>Ostatní finanční výnosy</c:v>
                      </c:pt>
                      <c:pt idx="1">
                        <c:v>668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výnosů'!$D$24:$AA$24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829.70368000000008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1121.2223899999999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3A-462A-B577-D323344000B2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výnosů'!$B$25:$C$25</c15:sqref>
                        </c15:formulaRef>
                      </c:ext>
                    </c:extLst>
                    <c:strCache>
                      <c:ptCount val="2"/>
                      <c:pt idx="0">
                        <c:v>Převod provozních výnosů</c:v>
                      </c:pt>
                      <c:pt idx="1">
                        <c:v>697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výnosů'!$D$8:$AA$8</c15:sqref>
                        </c15:formulaRef>
                      </c:ext>
                    </c:extLst>
                    <c:numCache>
                      <c:formatCode>[$-405]mmmm\ \y\y;@</c:formatCode>
                      <c:ptCount val="24"/>
                      <c:pt idx="0">
                        <c:v>42005</c:v>
                      </c:pt>
                      <c:pt idx="1">
                        <c:v>42036</c:v>
                      </c:pt>
                      <c:pt idx="2">
                        <c:v>42064</c:v>
                      </c:pt>
                      <c:pt idx="3">
                        <c:v>42095</c:v>
                      </c:pt>
                      <c:pt idx="4">
                        <c:v>42125</c:v>
                      </c:pt>
                      <c:pt idx="5">
                        <c:v>42156</c:v>
                      </c:pt>
                      <c:pt idx="6">
                        <c:v>42186</c:v>
                      </c:pt>
                      <c:pt idx="7">
                        <c:v>42217</c:v>
                      </c:pt>
                      <c:pt idx="8">
                        <c:v>42248</c:v>
                      </c:pt>
                      <c:pt idx="9">
                        <c:v>42278</c:v>
                      </c:pt>
                      <c:pt idx="10">
                        <c:v>42309</c:v>
                      </c:pt>
                      <c:pt idx="11">
                        <c:v>42339</c:v>
                      </c:pt>
                      <c:pt idx="12">
                        <c:v>42370</c:v>
                      </c:pt>
                      <c:pt idx="13">
                        <c:v>42401</c:v>
                      </c:pt>
                      <c:pt idx="14">
                        <c:v>42430</c:v>
                      </c:pt>
                      <c:pt idx="15">
                        <c:v>42461</c:v>
                      </c:pt>
                      <c:pt idx="16">
                        <c:v>42491</c:v>
                      </c:pt>
                      <c:pt idx="17">
                        <c:v>42522</c:v>
                      </c:pt>
                      <c:pt idx="18">
                        <c:v>42552</c:v>
                      </c:pt>
                      <c:pt idx="19">
                        <c:v>42583</c:v>
                      </c:pt>
                      <c:pt idx="20">
                        <c:v>42614</c:v>
                      </c:pt>
                      <c:pt idx="21">
                        <c:v>42644</c:v>
                      </c:pt>
                      <c:pt idx="22">
                        <c:v>42675</c:v>
                      </c:pt>
                      <c:pt idx="23">
                        <c:v>42705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výnosů'!$D$25:$AA$25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3A-462A-B577-D323344000B2}"/>
                  </c:ext>
                </c:extLst>
              </c15:ser>
            </c15:filteredLineSeries>
          </c:ext>
        </c:extLst>
      </c:line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10.712560000000003</c:v>
                </c:pt>
                <c:pt idx="1">
                  <c:v>61.573660000000004</c:v>
                </c:pt>
                <c:pt idx="2">
                  <c:v>53.408800000000006</c:v>
                </c:pt>
                <c:pt idx="3">
                  <c:v>42.192260000000005</c:v>
                </c:pt>
                <c:pt idx="4">
                  <c:v>42.53877</c:v>
                </c:pt>
                <c:pt idx="5">
                  <c:v>22.380589999999998</c:v>
                </c:pt>
                <c:pt idx="6">
                  <c:v>43.075019999999995</c:v>
                </c:pt>
                <c:pt idx="7">
                  <c:v>8.476629999999993</c:v>
                </c:pt>
                <c:pt idx="8">
                  <c:v>321.15125999999998</c:v>
                </c:pt>
                <c:pt idx="9">
                  <c:v>317.30977999999999</c:v>
                </c:pt>
                <c:pt idx="10">
                  <c:v>268.86129</c:v>
                </c:pt>
                <c:pt idx="11">
                  <c:v>345.99271999999996</c:v>
                </c:pt>
                <c:pt idx="12">
                  <c:v>347.33971999999994</c:v>
                </c:pt>
                <c:pt idx="13">
                  <c:v>336.27959999999996</c:v>
                </c:pt>
                <c:pt idx="14">
                  <c:v>272.07304999999997</c:v>
                </c:pt>
                <c:pt idx="15">
                  <c:v>239.81754999999998</c:v>
                </c:pt>
                <c:pt idx="16">
                  <c:v>170.10674</c:v>
                </c:pt>
                <c:pt idx="17">
                  <c:v>192.81210999999999</c:v>
                </c:pt>
                <c:pt idx="18">
                  <c:v>136.12894999999997</c:v>
                </c:pt>
                <c:pt idx="19">
                  <c:v>133.96609999999998</c:v>
                </c:pt>
                <c:pt idx="20">
                  <c:v>112.33609999999999</c:v>
                </c:pt>
                <c:pt idx="21">
                  <c:v>71.837699999999984</c:v>
                </c:pt>
                <c:pt idx="22">
                  <c:v>48.017969999999984</c:v>
                </c:pt>
                <c:pt idx="23">
                  <c:v>52.395909999999986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  <c:pt idx="7">
                  <c:v>43132</c:v>
                </c:pt>
                <c:pt idx="8">
                  <c:v>43160</c:v>
                </c:pt>
                <c:pt idx="9">
                  <c:v>43191</c:v>
                </c:pt>
                <c:pt idx="10">
                  <c:v>43221</c:v>
                </c:pt>
                <c:pt idx="11">
                  <c:v>43252</c:v>
                </c:pt>
                <c:pt idx="12">
                  <c:v>43282</c:v>
                </c:pt>
                <c:pt idx="13">
                  <c:v>43313</c:v>
                </c:pt>
                <c:pt idx="14">
                  <c:v>43344</c:v>
                </c:pt>
                <c:pt idx="15">
                  <c:v>43374</c:v>
                </c:pt>
                <c:pt idx="16">
                  <c:v>43405</c:v>
                </c:pt>
                <c:pt idx="17">
                  <c:v>43435</c:v>
                </c:pt>
                <c:pt idx="18">
                  <c:v>43466</c:v>
                </c:pt>
                <c:pt idx="19">
                  <c:v>43497</c:v>
                </c:pt>
                <c:pt idx="20">
                  <c:v>43525</c:v>
                </c:pt>
                <c:pt idx="21">
                  <c:v>43556</c:v>
                </c:pt>
                <c:pt idx="22">
                  <c:v>43586</c:v>
                </c:pt>
                <c:pt idx="23">
                  <c:v>43617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15716.93146</c:v>
                </c:pt>
                <c:pt idx="1">
                  <c:v>18571.66964</c:v>
                </c:pt>
                <c:pt idx="2">
                  <c:v>15291.10658</c:v>
                </c:pt>
                <c:pt idx="3">
                  <c:v>20424.614979999998</c:v>
                </c:pt>
                <c:pt idx="4">
                  <c:v>14515.519839999999</c:v>
                </c:pt>
                <c:pt idx="5">
                  <c:v>16639.65667</c:v>
                </c:pt>
                <c:pt idx="6">
                  <c:v>18011.578020000001</c:v>
                </c:pt>
                <c:pt idx="7">
                  <c:v>18616.08986</c:v>
                </c:pt>
                <c:pt idx="8">
                  <c:v>11184.99677</c:v>
                </c:pt>
                <c:pt idx="9">
                  <c:v>15659.922739999998</c:v>
                </c:pt>
                <c:pt idx="10">
                  <c:v>21827.447560000001</c:v>
                </c:pt>
                <c:pt idx="11">
                  <c:v>18356.588179999999</c:v>
                </c:pt>
                <c:pt idx="12">
                  <c:v>19102.793980000002</c:v>
                </c:pt>
                <c:pt idx="13">
                  <c:v>25107.210160000002</c:v>
                </c:pt>
                <c:pt idx="14">
                  <c:v>14190.116700000002</c:v>
                </c:pt>
                <c:pt idx="15">
                  <c:v>17659.187020000001</c:v>
                </c:pt>
                <c:pt idx="16">
                  <c:v>18091.243040000001</c:v>
                </c:pt>
                <c:pt idx="17">
                  <c:v>15257.758380000001</c:v>
                </c:pt>
                <c:pt idx="18">
                  <c:v>17085.259860000002</c:v>
                </c:pt>
                <c:pt idx="19">
                  <c:v>20762.54176</c:v>
                </c:pt>
                <c:pt idx="20">
                  <c:v>18742.719420000001</c:v>
                </c:pt>
                <c:pt idx="21">
                  <c:v>22924.185080000003</c:v>
                </c:pt>
                <c:pt idx="22">
                  <c:v>24727.065860000002</c:v>
                </c:pt>
                <c:pt idx="23">
                  <c:v>9112.4349700000021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0571922701911469E-2"/>
          <c:y val="8.0352928843082955E-2"/>
          <c:w val="0.9738119347136901"/>
          <c:h val="0.824023357114691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2113.1115</c:v>
                </c:pt>
                <c:pt idx="1">
                  <c:v>222762.51623000001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3"/>
                <c:pt idx="0">
                  <c:v>20646.15122</c:v>
                </c:pt>
                <c:pt idx="1">
                  <c:v>16197.20614</c:v>
                </c:pt>
                <c:pt idx="2">
                  <c:v>15803.66504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3"/>
                <c:pt idx="0">
                  <c:v>40.077019999999997</c:v>
                </c:pt>
                <c:pt idx="1">
                  <c:v>31.30622</c:v>
                </c:pt>
                <c:pt idx="2">
                  <c:v>32.111820000000002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3978753992993602E-2"/>
          <c:y val="8.9890014054766834E-2"/>
          <c:w val="0.82189067998207577"/>
          <c:h val="0.71543093897174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PNS - senzory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3"/>
                <c:pt idx="0">
                  <c:v>6358.6280299999999</c:v>
                </c:pt>
                <c:pt idx="1">
                  <c:v>5509.2333699999999</c:v>
                </c:pt>
                <c:pt idx="2">
                  <c:v>5013.28755000001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PCS - hlídače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3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3"/>
                <c:pt idx="0">
                  <c:v>1112.31306</c:v>
                </c:pt>
                <c:pt idx="1">
                  <c:v>563.63409999999999</c:v>
                </c:pt>
                <c:pt idx="2">
                  <c:v>1551.0356200000001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Prodej!$E$8:$AB$8</c:f>
              <c:numCache>
                <c:formatCode>[$-405]mmmm\ \y\y;@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3"/>
                <c:pt idx="0">
                  <c:v>18224.176760000002</c:v>
                </c:pt>
                <c:pt idx="1">
                  <c:v>18194.10094</c:v>
                </c:pt>
                <c:pt idx="2">
                  <c:v>24597.111870000001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\y\y;@</c:formatCode>
                <c:ptCount val="3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3"/>
                <c:pt idx="0">
                  <c:v>28.84</c:v>
                </c:pt>
                <c:pt idx="1">
                  <c:v>28.543700000000001</c:v>
                </c:pt>
                <c:pt idx="2">
                  <c:v>39.680999999999997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3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3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3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3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3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3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3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Mzdy!$C$9:$D$9</c15:sqref>
                        </c15:formulaRef>
                      </c:ext>
                    </c:extLst>
                    <c:strCache>
                      <c:ptCount val="2"/>
                      <c:pt idx="0">
                        <c:v>počet mzdových listů</c:v>
                      </c:pt>
                      <c:pt idx="1">
                        <c:v>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Mzdy!$E$9:$AB$9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C20-456B-9C7D-2A6B837173B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Mzdy!$C$13:$D$13</c15:sqref>
                        </c15:formulaRef>
                      </c:ext>
                    </c:extLst>
                    <c:strCache>
                      <c:ptCount val="2"/>
                      <c:pt idx="0">
                        <c:v>hrubá mzda</c:v>
                      </c:pt>
                      <c:pt idx="1">
                        <c:v>g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3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Mzdy!$E$13:$AB$13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121.041</c:v>
                      </c:pt>
                      <c:pt idx="1">
                        <c:v>124</c:v>
                      </c:pt>
                      <c:pt idx="2">
                        <c:v>124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20-456B-9C7D-2A6B837173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3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3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date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1"/>
        <c:lblOffset val="100"/>
        <c:baseTimeUnit val="months"/>
      </c:dateAx>
      <c:valAx>
        <c:axId val="527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26</xdr:row>
      <xdr:rowOff>81644</xdr:rowOff>
    </xdr:from>
    <xdr:to>
      <xdr:col>46</xdr:col>
      <xdr:colOff>838200</xdr:colOff>
      <xdr:row>50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46</xdr:col>
      <xdr:colOff>830036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11625</xdr:colOff>
      <xdr:row>11</xdr:row>
      <xdr:rowOff>89261</xdr:rowOff>
    </xdr:from>
    <xdr:to>
      <xdr:col>33</xdr:col>
      <xdr:colOff>813954</xdr:colOff>
      <xdr:row>36</xdr:row>
      <xdr:rowOff>164644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4a49-abc3-4571eda3e01a1d202429da4e6api.abra.eu/cz" TargetMode="External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D21" sqref="D21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225" t="s">
        <v>88</v>
      </c>
      <c r="C2" s="226"/>
    </row>
    <row r="3" spans="2:7" x14ac:dyDescent="0.2">
      <c r="B3" s="21" t="s">
        <v>89</v>
      </c>
      <c r="C3" s="23" t="s">
        <v>95</v>
      </c>
      <c r="G3" s="24" t="s">
        <v>96</v>
      </c>
    </row>
    <row r="4" spans="2:7" x14ac:dyDescent="0.2">
      <c r="B4" s="21" t="s">
        <v>90</v>
      </c>
      <c r="C4" s="21" t="s">
        <v>94</v>
      </c>
    </row>
    <row r="5" spans="2:7" x14ac:dyDescent="0.2">
      <c r="B5" s="21" t="s">
        <v>91</v>
      </c>
      <c r="C5" s="22"/>
    </row>
    <row r="6" spans="2:7" x14ac:dyDescent="0.2">
      <c r="B6" s="21" t="s">
        <v>92</v>
      </c>
      <c r="C6" s="21">
        <v>240</v>
      </c>
    </row>
    <row r="7" spans="2:7" x14ac:dyDescent="0.2">
      <c r="B7" s="21" t="s">
        <v>93</v>
      </c>
      <c r="C7" s="21">
        <v>5</v>
      </c>
    </row>
  </sheetData>
  <mergeCells count="1">
    <mergeCell ref="B2:C2"/>
  </mergeCells>
  <hyperlinks>
    <hyperlink ref="C3" r:id="rId1" xr:uid="{F5085423-9FF4-46CD-B4C6-77B26901DE5F}"/>
    <hyperlink ref="G3" r:id="rId2" xr:uid="{CA30B4E7-E306-41F6-817D-92F57CA58F55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X20" sqref="AX20"/>
    </sheetView>
  </sheetViews>
  <sheetFormatPr defaultColWidth="9.140625" defaultRowHeight="15" customHeight="1" outlineLevelCol="1" x14ac:dyDescent="0.2"/>
  <cols>
    <col min="1" max="1" width="1.7109375" style="41" customWidth="1"/>
    <col min="2" max="2" width="31.5703125" style="72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47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120</v>
      </c>
      <c r="C3" s="27">
        <v>42735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5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5" customHeight="1" x14ac:dyDescent="0.2">
      <c r="A6" s="47"/>
      <c r="B6" s="235"/>
      <c r="C6" s="236"/>
      <c r="D6" s="54">
        <f t="shared" ref="D6:AA6" ca="1" si="0">D7-IF(MONTH(D7)=2,IF(OR(YEAR(D7)=2008,YEAR(D7)=2012,YEAR(D7)=2016),29,28),IF(OR(MONTH(D7)=4,MONTH(D7)=6,MONTH(D7)=9,MONTH(D7)=11),30,31))+1</f>
        <v>42005</v>
      </c>
      <c r="E6" s="55">
        <f t="shared" ca="1" si="0"/>
        <v>42036</v>
      </c>
      <c r="F6" s="55">
        <f t="shared" ca="1" si="0"/>
        <v>42064</v>
      </c>
      <c r="G6" s="55">
        <f t="shared" ca="1" si="0"/>
        <v>42095</v>
      </c>
      <c r="H6" s="55">
        <f t="shared" ca="1" si="0"/>
        <v>42125</v>
      </c>
      <c r="I6" s="55">
        <f t="shared" ca="1" si="0"/>
        <v>42156</v>
      </c>
      <c r="J6" s="55">
        <f t="shared" ca="1" si="0"/>
        <v>42186</v>
      </c>
      <c r="K6" s="55">
        <f t="shared" ca="1" si="0"/>
        <v>42217</v>
      </c>
      <c r="L6" s="55">
        <f t="shared" ca="1" si="0"/>
        <v>42248</v>
      </c>
      <c r="M6" s="55">
        <f t="shared" ca="1" si="0"/>
        <v>42278</v>
      </c>
      <c r="N6" s="55">
        <f t="shared" ca="1" si="0"/>
        <v>42309</v>
      </c>
      <c r="O6" s="55">
        <f t="shared" ca="1" si="0"/>
        <v>42339</v>
      </c>
      <c r="P6" s="55">
        <f t="shared" ca="1" si="0"/>
        <v>42370</v>
      </c>
      <c r="Q6" s="55">
        <f t="shared" ca="1" si="0"/>
        <v>42401</v>
      </c>
      <c r="R6" s="55">
        <f t="shared" ca="1" si="0"/>
        <v>42430</v>
      </c>
      <c r="S6" s="55">
        <f t="shared" ca="1" si="0"/>
        <v>42461</v>
      </c>
      <c r="T6" s="55">
        <f t="shared" ca="1" si="0"/>
        <v>42491</v>
      </c>
      <c r="U6" s="55">
        <f t="shared" ca="1" si="0"/>
        <v>42522</v>
      </c>
      <c r="V6" s="55">
        <f t="shared" ca="1" si="0"/>
        <v>42552</v>
      </c>
      <c r="W6" s="55">
        <f t="shared" ca="1" si="0"/>
        <v>42583</v>
      </c>
      <c r="X6" s="55">
        <f t="shared" ca="1" si="0"/>
        <v>42614</v>
      </c>
      <c r="Y6" s="55">
        <f t="shared" ca="1" si="0"/>
        <v>42644</v>
      </c>
      <c r="Z6" s="55">
        <f t="shared" ca="1" si="0"/>
        <v>42675</v>
      </c>
      <c r="AA6" s="55">
        <f t="shared" ca="1" si="0"/>
        <v>42705</v>
      </c>
      <c r="AB6" s="231"/>
      <c r="AC6" s="87"/>
      <c r="AD6" s="87"/>
      <c r="AE6" s="87"/>
      <c r="AF6" s="87"/>
      <c r="AG6" s="87"/>
      <c r="AH6" s="233"/>
      <c r="AI6" s="54">
        <f ca="1">AA7+1</f>
        <v>42736</v>
      </c>
      <c r="AJ6" s="55">
        <f ca="1">AI7+1</f>
        <v>42767</v>
      </c>
      <c r="AK6" s="55">
        <f ca="1">AJ7+1</f>
        <v>42795</v>
      </c>
      <c r="AL6" s="55">
        <f ca="1">AK7+1</f>
        <v>42826</v>
      </c>
      <c r="AM6" s="55">
        <f ca="1">AL7+1</f>
        <v>42856</v>
      </c>
      <c r="AN6" s="55">
        <f t="shared" ref="AN6:AT6" ca="1" si="1">AM7+1</f>
        <v>42887</v>
      </c>
      <c r="AO6" s="55">
        <f t="shared" ca="1" si="1"/>
        <v>42917</v>
      </c>
      <c r="AP6" s="55">
        <f t="shared" ca="1" si="1"/>
        <v>42948</v>
      </c>
      <c r="AQ6" s="55">
        <f t="shared" ca="1" si="1"/>
        <v>42979</v>
      </c>
      <c r="AR6" s="55">
        <f t="shared" ca="1" si="1"/>
        <v>43009</v>
      </c>
      <c r="AS6" s="55">
        <f t="shared" ca="1" si="1"/>
        <v>43040</v>
      </c>
      <c r="AT6" s="105">
        <f t="shared" ca="1" si="1"/>
        <v>43070</v>
      </c>
      <c r="AU6" s="227"/>
    </row>
    <row r="7" spans="1:50" s="49" customFormat="1" ht="15" customHeight="1" thickBot="1" x14ac:dyDescent="0.25">
      <c r="A7" s="47"/>
      <c r="B7" s="237"/>
      <c r="C7" s="238"/>
      <c r="D7" s="56">
        <f t="shared" ref="D7:Z7" ca="1" si="2">E6-1</f>
        <v>42035</v>
      </c>
      <c r="E7" s="57">
        <f t="shared" ca="1" si="2"/>
        <v>42063</v>
      </c>
      <c r="F7" s="57">
        <f t="shared" ca="1" si="2"/>
        <v>42094</v>
      </c>
      <c r="G7" s="57">
        <f t="shared" ca="1" si="2"/>
        <v>42124</v>
      </c>
      <c r="H7" s="57">
        <f t="shared" ca="1" si="2"/>
        <v>42155</v>
      </c>
      <c r="I7" s="57">
        <f t="shared" ca="1" si="2"/>
        <v>42185</v>
      </c>
      <c r="J7" s="57">
        <f t="shared" ca="1" si="2"/>
        <v>42216</v>
      </c>
      <c r="K7" s="57">
        <f t="shared" ca="1" si="2"/>
        <v>42247</v>
      </c>
      <c r="L7" s="57">
        <f t="shared" ca="1" si="2"/>
        <v>42277</v>
      </c>
      <c r="M7" s="57">
        <f t="shared" ca="1" si="2"/>
        <v>42308</v>
      </c>
      <c r="N7" s="57">
        <f t="shared" ca="1" si="2"/>
        <v>42338</v>
      </c>
      <c r="O7" s="57">
        <f t="shared" ca="1" si="2"/>
        <v>42369</v>
      </c>
      <c r="P7" s="57">
        <f t="shared" ca="1" si="2"/>
        <v>42400</v>
      </c>
      <c r="Q7" s="57">
        <f t="shared" ca="1" si="2"/>
        <v>42429</v>
      </c>
      <c r="R7" s="57">
        <f t="shared" ca="1" si="2"/>
        <v>42460</v>
      </c>
      <c r="S7" s="57">
        <f t="shared" ca="1" si="2"/>
        <v>42490</v>
      </c>
      <c r="T7" s="57">
        <f t="shared" ca="1" si="2"/>
        <v>42521</v>
      </c>
      <c r="U7" s="57">
        <f t="shared" ca="1" si="2"/>
        <v>42551</v>
      </c>
      <c r="V7" s="57">
        <f t="shared" ca="1" si="2"/>
        <v>42582</v>
      </c>
      <c r="W7" s="57">
        <f t="shared" ca="1" si="2"/>
        <v>42613</v>
      </c>
      <c r="X7" s="57">
        <f t="shared" ca="1" si="2"/>
        <v>42643</v>
      </c>
      <c r="Y7" s="57">
        <f t="shared" ca="1" si="2"/>
        <v>42674</v>
      </c>
      <c r="Z7" s="57">
        <f t="shared" ca="1" si="2"/>
        <v>42704</v>
      </c>
      <c r="AA7" s="57">
        <f ca="1">C3</f>
        <v>42735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42766</v>
      </c>
      <c r="AJ7" s="57">
        <f ca="1">AJ6+IF(MONTH(AJ6)=2,IF(OR(YEAR(AJ6)=2008,YEAR(AJ6)=2012,YEAR(AJ6)=2016),29,28),IF(OR(MONTH(AJ6)=4,MONTH(AJ6)=6,MONTH(AJ6)=9,MONTH(AJ6)=11),30,31))-1</f>
        <v>42794</v>
      </c>
      <c r="AK7" s="57">
        <f ca="1">AK6+IF(MONTH(AK6)=2,IF(OR(YEAR(AK6)=2008,YEAR(AK6)=2012,YEAR(AK6)=2016),29,28),IF(OR(MONTH(AK6)=4,MONTH(AK6)=6,MONTH(AK6)=9,MONTH(AK6)=11),30,31))-1</f>
        <v>42825</v>
      </c>
      <c r="AL7" s="57">
        <f ca="1">AL6+IF(MONTH(AL6)=2,IF(OR(YEAR(AL6)=2008,YEAR(AL6)=2012,YEAR(AL6)=2016),29,28),IF(OR(MONTH(AL6)=4,MONTH(AL6)=6,MONTH(AL6)=9,MONTH(AL6)=11),30,31))-1</f>
        <v>42855</v>
      </c>
      <c r="AM7" s="57">
        <f ca="1">AM6+IF(MONTH(AM6)=2,IF(OR(YEAR(AM6)=2008,YEAR(AM6)=2012,YEAR(AM6)=2016),29,28),IF(OR(MONTH(AM6)=4,MONTH(AM6)=6,MONTH(AM6)=9,MONTH(AM6)=11),30,31))-1</f>
        <v>42886</v>
      </c>
      <c r="AN7" s="57">
        <f t="shared" ref="AN7:AT7" ca="1" si="3">AN6+IF(MONTH(AN6)=2,IF(OR(YEAR(AN6)=2008,YEAR(AN6)=2012,YEAR(AN6)=2016),29,28),IF(OR(MONTH(AN6)=4,MONTH(AN6)=6,MONTH(AN6)=9,MONTH(AN6)=11),30,31))-1</f>
        <v>42916</v>
      </c>
      <c r="AO7" s="57">
        <f t="shared" ca="1" si="3"/>
        <v>42947</v>
      </c>
      <c r="AP7" s="57">
        <f t="shared" ca="1" si="3"/>
        <v>42978</v>
      </c>
      <c r="AQ7" s="57">
        <f t="shared" ca="1" si="3"/>
        <v>43008</v>
      </c>
      <c r="AR7" s="57">
        <f t="shared" ca="1" si="3"/>
        <v>43039</v>
      </c>
      <c r="AS7" s="57">
        <f t="shared" ca="1" si="3"/>
        <v>43069</v>
      </c>
      <c r="AT7" s="106">
        <f t="shared" ca="1" si="3"/>
        <v>43100</v>
      </c>
      <c r="AU7" s="228"/>
    </row>
    <row r="8" spans="1:50" s="49" customFormat="1" ht="15" customHeight="1" thickBot="1" x14ac:dyDescent="0.25">
      <c r="B8" s="31" t="s">
        <v>0</v>
      </c>
      <c r="C8" s="32" t="s">
        <v>46</v>
      </c>
      <c r="D8" s="58">
        <f t="shared" ref="D8:AA8" ca="1" si="4">D6</f>
        <v>42005</v>
      </c>
      <c r="E8" s="59">
        <f t="shared" ca="1" si="4"/>
        <v>42036</v>
      </c>
      <c r="F8" s="59">
        <f t="shared" ca="1" si="4"/>
        <v>42064</v>
      </c>
      <c r="G8" s="60">
        <f t="shared" ca="1" si="4"/>
        <v>42095</v>
      </c>
      <c r="H8" s="60">
        <f t="shared" ca="1" si="4"/>
        <v>42125</v>
      </c>
      <c r="I8" s="60">
        <f t="shared" ca="1" si="4"/>
        <v>42156</v>
      </c>
      <c r="J8" s="60">
        <f t="shared" ca="1" si="4"/>
        <v>42186</v>
      </c>
      <c r="K8" s="60">
        <f t="shared" ca="1" si="4"/>
        <v>42217</v>
      </c>
      <c r="L8" s="60">
        <f t="shared" ca="1" si="4"/>
        <v>42248</v>
      </c>
      <c r="M8" s="60">
        <f t="shared" ca="1" si="4"/>
        <v>42278</v>
      </c>
      <c r="N8" s="60">
        <f t="shared" ca="1" si="4"/>
        <v>42309</v>
      </c>
      <c r="O8" s="60">
        <f t="shared" ca="1" si="4"/>
        <v>42339</v>
      </c>
      <c r="P8" s="60">
        <f t="shared" ca="1" si="4"/>
        <v>42370</v>
      </c>
      <c r="Q8" s="60">
        <f t="shared" ca="1" si="4"/>
        <v>42401</v>
      </c>
      <c r="R8" s="60">
        <f t="shared" ca="1" si="4"/>
        <v>42430</v>
      </c>
      <c r="S8" s="60">
        <f t="shared" ca="1" si="4"/>
        <v>42461</v>
      </c>
      <c r="T8" s="60">
        <f t="shared" ca="1" si="4"/>
        <v>42491</v>
      </c>
      <c r="U8" s="60">
        <f t="shared" ca="1" si="4"/>
        <v>42522</v>
      </c>
      <c r="V8" s="60">
        <f t="shared" ca="1" si="4"/>
        <v>42552</v>
      </c>
      <c r="W8" s="60">
        <f t="shared" ca="1" si="4"/>
        <v>42583</v>
      </c>
      <c r="X8" s="60">
        <f t="shared" ca="1" si="4"/>
        <v>42614</v>
      </c>
      <c r="Y8" s="60">
        <f t="shared" ca="1" si="4"/>
        <v>42644</v>
      </c>
      <c r="Z8" s="60">
        <f t="shared" ca="1" si="4"/>
        <v>42675</v>
      </c>
      <c r="AA8" s="60">
        <f t="shared" ca="1" si="4"/>
        <v>42705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42736</v>
      </c>
      <c r="AJ8" s="110">
        <f t="shared" ca="1" si="5"/>
        <v>42767</v>
      </c>
      <c r="AK8" s="110">
        <f t="shared" ca="1" si="5"/>
        <v>42795</v>
      </c>
      <c r="AL8" s="110">
        <f t="shared" ca="1" si="5"/>
        <v>42826</v>
      </c>
      <c r="AM8" s="110">
        <f t="shared" ca="1" si="5"/>
        <v>42856</v>
      </c>
      <c r="AN8" s="110">
        <f t="shared" ca="1" si="5"/>
        <v>42887</v>
      </c>
      <c r="AO8" s="110">
        <f t="shared" ca="1" si="5"/>
        <v>42917</v>
      </c>
      <c r="AP8" s="110">
        <f t="shared" ca="1" si="5"/>
        <v>42948</v>
      </c>
      <c r="AQ8" s="110">
        <f t="shared" ca="1" si="5"/>
        <v>42979</v>
      </c>
      <c r="AR8" s="110">
        <f t="shared" ca="1" si="5"/>
        <v>43009</v>
      </c>
      <c r="AS8" s="110">
        <f t="shared" ca="1" si="5"/>
        <v>43040</v>
      </c>
      <c r="AT8" s="110">
        <f t="shared" ca="1" si="5"/>
        <v>43070</v>
      </c>
      <c r="AU8" s="111" t="s">
        <v>37</v>
      </c>
    </row>
    <row r="9" spans="1:50" ht="15" customHeight="1" thickBot="1" x14ac:dyDescent="0.25">
      <c r="B9" s="61" t="s">
        <v>3</v>
      </c>
      <c r="C9" s="63" t="s">
        <v>1</v>
      </c>
      <c r="D9" s="64">
        <f t="shared" ref="D9:M18" ca="1" si="6">AbraTurnover(URL,Username,Password,$C9,D$6,D$7)/1000</f>
        <v>0</v>
      </c>
      <c r="E9" s="64">
        <f t="shared" ca="1" si="6"/>
        <v>0</v>
      </c>
      <c r="F9" s="64">
        <f t="shared" ca="1" si="6"/>
        <v>0</v>
      </c>
      <c r="G9" s="64">
        <f t="shared" ca="1" si="6"/>
        <v>0</v>
      </c>
      <c r="H9" s="64">
        <f t="shared" ca="1" si="6"/>
        <v>0</v>
      </c>
      <c r="I9" s="64">
        <f t="shared" ca="1" si="6"/>
        <v>0</v>
      </c>
      <c r="J9" s="64">
        <f t="shared" ca="1" si="6"/>
        <v>0</v>
      </c>
      <c r="K9" s="64">
        <f t="shared" ca="1" si="6"/>
        <v>0</v>
      </c>
      <c r="L9" s="64">
        <f t="shared" ca="1" si="6"/>
        <v>0</v>
      </c>
      <c r="M9" s="64">
        <f t="shared" ca="1" si="6"/>
        <v>0</v>
      </c>
      <c r="N9" s="64">
        <f t="shared" ref="N9:AA18" ca="1" si="7">AbraTurnover(URL,Username,Password,$C9,N$6,N$7)/1000</f>
        <v>0</v>
      </c>
      <c r="O9" s="64">
        <f t="shared" ca="1" si="7"/>
        <v>0</v>
      </c>
      <c r="P9" s="64">
        <f t="shared" ca="1" si="7"/>
        <v>0</v>
      </c>
      <c r="Q9" s="64">
        <f t="shared" ca="1" si="7"/>
        <v>0</v>
      </c>
      <c r="R9" s="64">
        <f t="shared" ca="1" si="7"/>
        <v>0</v>
      </c>
      <c r="S9" s="64">
        <f t="shared" ca="1" si="7"/>
        <v>0</v>
      </c>
      <c r="T9" s="64">
        <f t="shared" ca="1" si="7"/>
        <v>0</v>
      </c>
      <c r="U9" s="64">
        <f t="shared" ca="1" si="7"/>
        <v>0</v>
      </c>
      <c r="V9" s="64">
        <f t="shared" ca="1" si="7"/>
        <v>0</v>
      </c>
      <c r="W9" s="64">
        <f t="shared" ca="1" si="7"/>
        <v>0</v>
      </c>
      <c r="X9" s="64">
        <f t="shared" ca="1" si="7"/>
        <v>0</v>
      </c>
      <c r="Y9" s="64">
        <f t="shared" ca="1" si="7"/>
        <v>0</v>
      </c>
      <c r="Z9" s="64">
        <f t="shared" ca="1" si="7"/>
        <v>0</v>
      </c>
      <c r="AA9" s="64">
        <f t="shared" ca="1" si="7"/>
        <v>0</v>
      </c>
      <c r="AB9" s="112">
        <f ca="1">SUM(P9:AA9)</f>
        <v>0</v>
      </c>
      <c r="AC9" s="113">
        <f t="shared" ref="AC9:AC25" ca="1" si="8">IF(SUM(J9:O9)+SUM(V9:AA9)&lt;0.001,0,IF(SUM(J9:O9)&lt;0.001,1,IF(SUM(V9:AA9)&lt;0.001,-1,SUM(V9:AA9)/(SUM(J9:O9))-1)))</f>
        <v>0</v>
      </c>
      <c r="AD9" s="113">
        <f t="shared" ref="AD9:AD25" ca="1" si="9">IF(SUM(D9:O9)+SUM(P9:AA9)&lt;0.001,0,IF(SUM(D9:O9)&lt;0.001,1,IF(SUM(P9:AA9)&lt;0.001,-1,SUM(P9:AA9)/(SUM(D9:O9))-1)))</f>
        <v>0</v>
      </c>
      <c r="AE9" s="113">
        <v>-0.5</v>
      </c>
      <c r="AF9" s="113">
        <v>0.5</v>
      </c>
      <c r="AG9" s="113" t="s">
        <v>48</v>
      </c>
      <c r="AH9" s="114">
        <f t="shared" ref="AH9:AH25" ca="1" si="10">IF($AG9&lt;&gt;"-",$AG9,IF($AC9&lt;$AE9,$AE9,IF($AC9&gt;$AF9,$AF9,$AC9)))</f>
        <v>0</v>
      </c>
      <c r="AI9" s="115">
        <f ca="1">$AB9*(1+$AH9)*VLOOKUP(MONTH(AI$8),Sezona!$B$4:$C$15,2)</f>
        <v>0</v>
      </c>
      <c r="AJ9" s="116">
        <f ca="1">$AB9*(1+$AH9)*VLOOKUP(MONTH(AJ$8),Sezona!$B$4:$C$15,2)</f>
        <v>0</v>
      </c>
      <c r="AK9" s="116">
        <f ca="1">$AB9*(1+$AH9)*VLOOKUP(MONTH(AK$8),Sezona!$B$4:$C$15,2)</f>
        <v>0</v>
      </c>
      <c r="AL9" s="116">
        <f ca="1">$AB9*(1+$AH9)*VLOOKUP(MONTH(AL$8),Sezona!$B$4:$C$15,2)</f>
        <v>0</v>
      </c>
      <c r="AM9" s="116">
        <f ca="1">$AB9*(1+$AH9)*VLOOKUP(MONTH(AM$8),Sezona!$B$4:$C$15,2)</f>
        <v>0</v>
      </c>
      <c r="AN9" s="116">
        <f ca="1">$AB9*(1+$AH9)*VLOOKUP(MONTH(AN$8),Sezona!$B$4:$C$15,2)</f>
        <v>0</v>
      </c>
      <c r="AO9" s="116">
        <f ca="1">$AB9*(1+$AH9)*VLOOKUP(MONTH(AO$8),Sezona!$B$4:$C$15,2)</f>
        <v>0</v>
      </c>
      <c r="AP9" s="116">
        <f ca="1">$AB9*(1+$AH9)*VLOOKUP(MONTH(AP$8),Sezona!$B$4:$C$15,2)</f>
        <v>0</v>
      </c>
      <c r="AQ9" s="116">
        <f ca="1">$AB9*(1+$AH9)*VLOOKUP(MONTH(AQ$8),Sezona!$B$4:$C$15,2)</f>
        <v>0</v>
      </c>
      <c r="AR9" s="116">
        <f ca="1">$AB9*(1+$AH9)*VLOOKUP(MONTH(AR$8),Sezona!$B$4:$C$15,2)</f>
        <v>0</v>
      </c>
      <c r="AS9" s="116">
        <f ca="1">$AB9*(1+$AH9)*VLOOKUP(MONTH(AS$8),Sezona!$B$4:$C$15,2)</f>
        <v>0</v>
      </c>
      <c r="AT9" s="116">
        <f ca="1">$AB9*(1+$AH9)*VLOOKUP(MONTH(AT$8),Sezona!$B$4:$C$15,2)</f>
        <v>0</v>
      </c>
      <c r="AU9" s="117">
        <f ca="1">SUM(AI9:AT9)</f>
        <v>0</v>
      </c>
      <c r="AW9" s="49"/>
      <c r="AX9" s="49"/>
    </row>
    <row r="10" spans="1:50" ht="15" customHeight="1" thickBot="1" x14ac:dyDescent="0.25">
      <c r="B10" s="65" t="s">
        <v>4</v>
      </c>
      <c r="C10" s="67" t="s">
        <v>9</v>
      </c>
      <c r="D10" s="64">
        <f t="shared" ca="1" si="6"/>
        <v>10971.59338</v>
      </c>
      <c r="E10" s="64">
        <f t="shared" ca="1" si="6"/>
        <v>12190.168369999999</v>
      </c>
      <c r="F10" s="64">
        <f t="shared" ca="1" si="6"/>
        <v>10809.828230000001</v>
      </c>
      <c r="G10" s="64">
        <f t="shared" ca="1" si="6"/>
        <v>9861.4147899999989</v>
      </c>
      <c r="H10" s="64">
        <f t="shared" ca="1" si="6"/>
        <v>10406.14522</v>
      </c>
      <c r="I10" s="64">
        <f t="shared" ca="1" si="6"/>
        <v>10825.697789999998</v>
      </c>
      <c r="J10" s="64">
        <f t="shared" ca="1" si="6"/>
        <v>10269.749760000001</v>
      </c>
      <c r="K10" s="64">
        <f t="shared" ca="1" si="6"/>
        <v>9334.2040199999992</v>
      </c>
      <c r="L10" s="64">
        <f t="shared" ca="1" si="6"/>
        <v>10067.953039999999</v>
      </c>
      <c r="M10" s="64">
        <f t="shared" ca="1" si="6"/>
        <v>10245.98386</v>
      </c>
      <c r="N10" s="64">
        <f t="shared" ca="1" si="7"/>
        <v>10982.264869999999</v>
      </c>
      <c r="O10" s="64">
        <f t="shared" ca="1" si="7"/>
        <v>13554.1021</v>
      </c>
      <c r="P10" s="64">
        <f t="shared" ca="1" si="7"/>
        <v>12176.45182</v>
      </c>
      <c r="Q10" s="64">
        <f t="shared" ca="1" si="7"/>
        <v>11691.45602</v>
      </c>
      <c r="R10" s="64">
        <f t="shared" ca="1" si="7"/>
        <v>11017.495779999999</v>
      </c>
      <c r="S10" s="64">
        <f t="shared" ca="1" si="7"/>
        <v>11334.81127</v>
      </c>
      <c r="T10" s="64">
        <f t="shared" ca="1" si="7"/>
        <v>11474.586230000001</v>
      </c>
      <c r="U10" s="64">
        <f t="shared" ca="1" si="7"/>
        <v>11281.733850000001</v>
      </c>
      <c r="V10" s="64">
        <f t="shared" ca="1" si="7"/>
        <v>11545.346119999998</v>
      </c>
      <c r="W10" s="64">
        <f t="shared" ca="1" si="7"/>
        <v>11237.745580000001</v>
      </c>
      <c r="X10" s="64">
        <f t="shared" ca="1" si="7"/>
        <v>12342.731179999999</v>
      </c>
      <c r="Y10" s="64">
        <f t="shared" ca="1" si="7"/>
        <v>11941.10701</v>
      </c>
      <c r="Z10" s="64">
        <f t="shared" ca="1" si="7"/>
        <v>15040.916289999999</v>
      </c>
      <c r="AA10" s="64">
        <f t="shared" ca="1" si="7"/>
        <v>15779.86715</v>
      </c>
      <c r="AB10" s="118">
        <f ca="1">SUM(P10:AA10)</f>
        <v>146864.24830000001</v>
      </c>
      <c r="AC10" s="119">
        <f t="shared" ca="1" si="8"/>
        <v>0.20841843766080514</v>
      </c>
      <c r="AD10" s="119">
        <f t="shared" ca="1" si="9"/>
        <v>0.13391956972227836</v>
      </c>
      <c r="AE10" s="119">
        <v>-0.5</v>
      </c>
      <c r="AF10" s="119">
        <v>0.5</v>
      </c>
      <c r="AG10" s="119" t="s">
        <v>48</v>
      </c>
      <c r="AH10" s="120">
        <f t="shared" ca="1" si="10"/>
        <v>0.20841843766080514</v>
      </c>
      <c r="AI10" s="115">
        <f ca="1">$AB10*(1+$AH10)*VLOOKUP(MONTH(AI$8),Sezona!$E$4:$F$15,2)</f>
        <v>17747.346547891455</v>
      </c>
      <c r="AJ10" s="115">
        <f ca="1">$AB10*(1+$AH10)*VLOOKUP(MONTH(AJ$8),Sezona!$E$4:$F$15,2)</f>
        <v>15972.61189310231</v>
      </c>
      <c r="AK10" s="115">
        <f ca="1">$AB10*(1+$AH10)*VLOOKUP(MONTH(AK$8),Sezona!$E$4:$F$15,2)</f>
        <v>14197.877238313165</v>
      </c>
      <c r="AL10" s="115">
        <f ca="1">$AB10*(1+$AH10)*VLOOKUP(MONTH(AL$8),Sezona!$E$4:$F$15,2)</f>
        <v>12423.142583524021</v>
      </c>
      <c r="AM10" s="115">
        <f ca="1">$AB10*(1+$AH10)*VLOOKUP(MONTH(AM$8),Sezona!$E$4:$F$15,2)</f>
        <v>12423.142583524021</v>
      </c>
      <c r="AN10" s="115">
        <f ca="1">$AB10*(1+$AH10)*VLOOKUP(MONTH(AN$8),Sezona!$E$4:$F$15,2)</f>
        <v>10648.407928734872</v>
      </c>
      <c r="AO10" s="115">
        <f ca="1">$AB10*(1+$AH10)*VLOOKUP(MONTH(AO$8),Sezona!$E$4:$F$15,2)</f>
        <v>10648.407928734872</v>
      </c>
      <c r="AP10" s="115">
        <f ca="1">$AB10*(1+$AH10)*VLOOKUP(MONTH(AP$8),Sezona!$E$4:$F$15,2)</f>
        <v>10648.407928734872</v>
      </c>
      <c r="AQ10" s="115">
        <f ca="1">$AB10*(1+$AH10)*VLOOKUP(MONTH(AQ$8),Sezona!$E$4:$F$15,2)</f>
        <v>12423.142583524021</v>
      </c>
      <c r="AR10" s="115">
        <f ca="1">$AB10*(1+$AH10)*VLOOKUP(MONTH(AR$8),Sezona!$E$4:$F$15,2)</f>
        <v>15972.61189310231</v>
      </c>
      <c r="AS10" s="115">
        <f ca="1">$AB10*(1+$AH10)*VLOOKUP(MONTH(AS$8),Sezona!$E$4:$F$15,2)</f>
        <v>19522.081202680602</v>
      </c>
      <c r="AT10" s="115">
        <f ca="1">$AB10*(1+$AH10)*VLOOKUP(MONTH(AT$8),Sezona!$E$4:$F$15,2)</f>
        <v>24846.285167048041</v>
      </c>
      <c r="AU10" s="117">
        <f ca="1">SUM(AI10:AT10)</f>
        <v>177473.46547891456</v>
      </c>
    </row>
    <row r="11" spans="1:50" ht="15" customHeight="1" thickBot="1" x14ac:dyDescent="0.25">
      <c r="B11" s="65" t="s">
        <v>5</v>
      </c>
      <c r="C11" s="67" t="s">
        <v>8</v>
      </c>
      <c r="D11" s="64">
        <f t="shared" ca="1" si="6"/>
        <v>708.18127000000004</v>
      </c>
      <c r="E11" s="64">
        <f t="shared" ca="1" si="6"/>
        <v>763.25078000000008</v>
      </c>
      <c r="F11" s="64">
        <f t="shared" ca="1" si="6"/>
        <v>747.23693000000003</v>
      </c>
      <c r="G11" s="64">
        <f t="shared" ca="1" si="6"/>
        <v>642.28336999999999</v>
      </c>
      <c r="H11" s="64">
        <f t="shared" ca="1" si="6"/>
        <v>900.18232</v>
      </c>
      <c r="I11" s="64">
        <f t="shared" ca="1" si="6"/>
        <v>123.65600000000001</v>
      </c>
      <c r="J11" s="64">
        <f t="shared" ca="1" si="6"/>
        <v>340.24200000000002</v>
      </c>
      <c r="K11" s="64">
        <f t="shared" ca="1" si="6"/>
        <v>302.23219</v>
      </c>
      <c r="L11" s="64">
        <f t="shared" ca="1" si="6"/>
        <v>316.59926000000002</v>
      </c>
      <c r="M11" s="64">
        <f t="shared" ca="1" si="6"/>
        <v>378.99196000000001</v>
      </c>
      <c r="N11" s="64">
        <f t="shared" ca="1" si="7"/>
        <v>2551.9782500000001</v>
      </c>
      <c r="O11" s="64">
        <f t="shared" ca="1" si="7"/>
        <v>834.49444999999992</v>
      </c>
      <c r="P11" s="64">
        <f t="shared" ca="1" si="7"/>
        <v>138.95232000000001</v>
      </c>
      <c r="Q11" s="64">
        <f t="shared" ca="1" si="7"/>
        <v>230.22289999999998</v>
      </c>
      <c r="R11" s="64">
        <f t="shared" ca="1" si="7"/>
        <v>561.02606000000003</v>
      </c>
      <c r="S11" s="64">
        <f t="shared" ca="1" si="7"/>
        <v>247.63200000000001</v>
      </c>
      <c r="T11" s="64">
        <f t="shared" ca="1" si="7"/>
        <v>262.00564000000003</v>
      </c>
      <c r="U11" s="64">
        <f t="shared" ca="1" si="7"/>
        <v>1006.1477199999999</v>
      </c>
      <c r="V11" s="64">
        <f t="shared" ca="1" si="7"/>
        <v>580.73649999999998</v>
      </c>
      <c r="W11" s="64">
        <f t="shared" ca="1" si="7"/>
        <v>645.84749999999997</v>
      </c>
      <c r="X11" s="64">
        <f t="shared" ca="1" si="7"/>
        <v>378.37099000000001</v>
      </c>
      <c r="Y11" s="64">
        <f t="shared" ca="1" si="7"/>
        <v>228.78899999999999</v>
      </c>
      <c r="Z11" s="64">
        <f t="shared" ca="1" si="7"/>
        <v>469.8759</v>
      </c>
      <c r="AA11" s="64">
        <f t="shared" ca="1" si="7"/>
        <v>748.6730500000001</v>
      </c>
      <c r="AB11" s="118">
        <f ca="1">SUM(P11:AA11)</f>
        <v>5498.2795800000004</v>
      </c>
      <c r="AC11" s="119">
        <f ca="1">IF(SUM(J11:O11)+SUM(V11:AA11)&lt;0.001,0,IF(SUM(J11:O11)&lt;0.001,1,IF(SUM(V11:AA11)&lt;0.001,-1,SUM(V11:AA11)/(SUM(J11:O11))-1)))</f>
        <v>-0.35394892179206061</v>
      </c>
      <c r="AD11" s="119">
        <f ca="1">IF(SUM(D11:O11)+SUM(P11:AA11)&lt;0.001,0,IF(SUM(D11:O11)&lt;0.001,1,IF(SUM(P11:AA11)&lt;0.001,-1,SUM(P11:AA11)/(SUM(D11:O11))-1)))</f>
        <v>-0.36135792690681745</v>
      </c>
      <c r="AE11" s="119">
        <v>0.5</v>
      </c>
      <c r="AF11" s="119">
        <v>0.5</v>
      </c>
      <c r="AG11" s="119" t="s">
        <v>48</v>
      </c>
      <c r="AH11" s="120">
        <f t="shared" ca="1" si="10"/>
        <v>0.5</v>
      </c>
      <c r="AI11" s="115">
        <f ca="1">$AB11*(1+$AH11)*VLOOKUP(MONTH(AI$8),Sezona!$B$4:$C$15,2)</f>
        <v>577.31935590000001</v>
      </c>
      <c r="AJ11" s="115">
        <f ca="1">$AB11*(1+$AH11)*VLOOKUP(MONTH(AJ$8),Sezona!$B$4:$C$15,2)</f>
        <v>659.79354960000001</v>
      </c>
      <c r="AK11" s="115">
        <f ca="1">$AB11*(1+$AH11)*VLOOKUP(MONTH(AK$8),Sezona!$B$4:$C$15,2)</f>
        <v>742.26774329999989</v>
      </c>
      <c r="AL11" s="115">
        <f ca="1">$AB11*(1+$AH11)*VLOOKUP(MONTH(AL$8),Sezona!$B$4:$C$15,2)</f>
        <v>659.79354960000001</v>
      </c>
      <c r="AM11" s="115">
        <f ca="1">$AB11*(1+$AH11)*VLOOKUP(MONTH(AM$8),Sezona!$B$4:$C$15,2)</f>
        <v>577.31935590000001</v>
      </c>
      <c r="AN11" s="115">
        <f ca="1">$AB11*(1+$AH11)*VLOOKUP(MONTH(AN$8),Sezona!$B$4:$C$15,2)</f>
        <v>577.31935590000001</v>
      </c>
      <c r="AO11" s="115">
        <f ca="1">$AB11*(1+$AH11)*VLOOKUP(MONTH(AO$8),Sezona!$B$4:$C$15,2)</f>
        <v>659.79354960000001</v>
      </c>
      <c r="AP11" s="115">
        <f ca="1">$AB11*(1+$AH11)*VLOOKUP(MONTH(AP$8),Sezona!$B$4:$C$15,2)</f>
        <v>742.26774329999989</v>
      </c>
      <c r="AQ11" s="115">
        <f ca="1">$AB11*(1+$AH11)*VLOOKUP(MONTH(AQ$8),Sezona!$B$4:$C$15,2)</f>
        <v>824.74193700000001</v>
      </c>
      <c r="AR11" s="115">
        <f ca="1">$AB11*(1+$AH11)*VLOOKUP(MONTH(AR$8),Sezona!$B$4:$C$15,2)</f>
        <v>824.74193700000001</v>
      </c>
      <c r="AS11" s="115">
        <f ca="1">$AB11*(1+$AH11)*VLOOKUP(MONTH(AS$8),Sezona!$B$4:$C$15,2)</f>
        <v>1072.1645180999999</v>
      </c>
      <c r="AT11" s="115">
        <f ca="1">$AB11*(1+$AH11)*VLOOKUP(MONTH(AT$8),Sezona!$B$4:$C$15,2)</f>
        <v>412.3709685</v>
      </c>
      <c r="AU11" s="117">
        <f ca="1">SUM(AI11:AT11)</f>
        <v>8329.8935636999995</v>
      </c>
    </row>
    <row r="12" spans="1:50" ht="15" customHeight="1" thickBot="1" x14ac:dyDescent="0.25">
      <c r="B12" s="65" t="s">
        <v>6</v>
      </c>
      <c r="C12" s="67" t="s">
        <v>7</v>
      </c>
      <c r="D12" s="64">
        <f t="shared" ca="1" si="6"/>
        <v>1074.32</v>
      </c>
      <c r="E12" s="64">
        <f t="shared" ca="1" si="6"/>
        <v>0</v>
      </c>
      <c r="F12" s="64">
        <f t="shared" ca="1" si="6"/>
        <v>0</v>
      </c>
      <c r="G12" s="64">
        <f t="shared" ca="1" si="6"/>
        <v>0</v>
      </c>
      <c r="H12" s="64">
        <f t="shared" ca="1" si="6"/>
        <v>0</v>
      </c>
      <c r="I12" s="64">
        <f t="shared" ca="1" si="6"/>
        <v>0</v>
      </c>
      <c r="J12" s="64">
        <f t="shared" ca="1" si="6"/>
        <v>0</v>
      </c>
      <c r="K12" s="64">
        <f t="shared" ca="1" si="6"/>
        <v>200.14479999999998</v>
      </c>
      <c r="L12" s="64">
        <f t="shared" ca="1" si="6"/>
        <v>0</v>
      </c>
      <c r="M12" s="64">
        <f t="shared" ca="1" si="6"/>
        <v>0</v>
      </c>
      <c r="N12" s="64">
        <f t="shared" ca="1" si="7"/>
        <v>0</v>
      </c>
      <c r="O12" s="64">
        <f t="shared" ca="1" si="7"/>
        <v>3.5539999999999998</v>
      </c>
      <c r="P12" s="64">
        <f t="shared" ca="1" si="7"/>
        <v>32</v>
      </c>
      <c r="Q12" s="64">
        <f t="shared" ca="1" si="7"/>
        <v>0</v>
      </c>
      <c r="R12" s="64">
        <f t="shared" ca="1" si="7"/>
        <v>0</v>
      </c>
      <c r="S12" s="64">
        <f t="shared" ca="1" si="7"/>
        <v>0</v>
      </c>
      <c r="T12" s="64">
        <f t="shared" ca="1" si="7"/>
        <v>0</v>
      </c>
      <c r="U12" s="64">
        <f t="shared" ca="1" si="7"/>
        <v>95.867999999999995</v>
      </c>
      <c r="V12" s="64">
        <f t="shared" ca="1" si="7"/>
        <v>0</v>
      </c>
      <c r="W12" s="64">
        <f t="shared" ca="1" si="7"/>
        <v>0</v>
      </c>
      <c r="X12" s="64">
        <f t="shared" ca="1" si="7"/>
        <v>41.322000000000003</v>
      </c>
      <c r="Y12" s="64">
        <f t="shared" ca="1" si="7"/>
        <v>0</v>
      </c>
      <c r="Z12" s="64">
        <f t="shared" ca="1" si="7"/>
        <v>42.975000000000001</v>
      </c>
      <c r="AA12" s="64">
        <f t="shared" ca="1" si="7"/>
        <v>661.12</v>
      </c>
      <c r="AB12" s="118">
        <f t="shared" ref="AB12:AB25" ca="1" si="11">SUM(P12:AA12)</f>
        <v>873.28499999999997</v>
      </c>
      <c r="AC12" s="119">
        <f t="shared" ca="1" si="8"/>
        <v>2.6594079101104184</v>
      </c>
      <c r="AD12" s="119">
        <f t="shared" ca="1" si="9"/>
        <v>-0.31668845560018366</v>
      </c>
      <c r="AE12" s="119">
        <v>-0.5</v>
      </c>
      <c r="AF12" s="119">
        <v>0.5</v>
      </c>
      <c r="AG12" s="119">
        <v>0</v>
      </c>
      <c r="AH12" s="120">
        <f t="shared" ca="1" si="10"/>
        <v>0</v>
      </c>
      <c r="AI12" s="115">
        <f t="shared" ref="AI12:AP25" ca="1" si="12">$AB12*(1+$AH12)/12</f>
        <v>72.773749999999993</v>
      </c>
      <c r="AJ12" s="116">
        <f t="shared" ca="1" si="12"/>
        <v>72.773749999999993</v>
      </c>
      <c r="AK12" s="116">
        <f t="shared" ca="1" si="12"/>
        <v>72.773749999999993</v>
      </c>
      <c r="AL12" s="116">
        <f t="shared" ca="1" si="12"/>
        <v>72.773749999999993</v>
      </c>
      <c r="AM12" s="116">
        <f t="shared" ca="1" si="12"/>
        <v>72.773749999999993</v>
      </c>
      <c r="AN12" s="116">
        <f t="shared" ca="1" si="12"/>
        <v>72.773749999999993</v>
      </c>
      <c r="AO12" s="116">
        <f t="shared" ca="1" si="12"/>
        <v>72.773749999999993</v>
      </c>
      <c r="AP12" s="116">
        <f t="shared" ca="1" si="12"/>
        <v>72.773749999999993</v>
      </c>
      <c r="AQ12" s="116">
        <f t="shared" ref="AQ12:AT24" ca="1" si="13">$AB12*(1+$AH12)/12</f>
        <v>72.773749999999993</v>
      </c>
      <c r="AR12" s="116">
        <f t="shared" ca="1" si="13"/>
        <v>72.773749999999993</v>
      </c>
      <c r="AS12" s="116">
        <f t="shared" ca="1" si="13"/>
        <v>72.773749999999993</v>
      </c>
      <c r="AT12" s="116">
        <f t="shared" ca="1" si="13"/>
        <v>72.773749999999993</v>
      </c>
      <c r="AU12" s="117">
        <f t="shared" ref="AU12:AU25" ca="1" si="14">SUM(AI12:AT12)</f>
        <v>873.28499999999974</v>
      </c>
    </row>
    <row r="13" spans="1:50" ht="15" customHeight="1" thickBot="1" x14ac:dyDescent="0.25">
      <c r="B13" s="65" t="s">
        <v>10</v>
      </c>
      <c r="C13" s="67" t="s">
        <v>14</v>
      </c>
      <c r="D13" s="64">
        <f t="shared" ca="1" si="6"/>
        <v>0</v>
      </c>
      <c r="E13" s="64">
        <f t="shared" ca="1" si="6"/>
        <v>0</v>
      </c>
      <c r="F13" s="64">
        <f t="shared" ca="1" si="6"/>
        <v>0</v>
      </c>
      <c r="G13" s="64">
        <f t="shared" ca="1" si="6"/>
        <v>0</v>
      </c>
      <c r="H13" s="64">
        <f t="shared" ca="1" si="6"/>
        <v>0</v>
      </c>
      <c r="I13" s="64">
        <f t="shared" ca="1" si="6"/>
        <v>0</v>
      </c>
      <c r="J13" s="64">
        <f t="shared" ca="1" si="6"/>
        <v>0</v>
      </c>
      <c r="K13" s="64">
        <f t="shared" ca="1" si="6"/>
        <v>0</v>
      </c>
      <c r="L13" s="64">
        <f t="shared" ca="1" si="6"/>
        <v>0</v>
      </c>
      <c r="M13" s="64">
        <f t="shared" ca="1" si="6"/>
        <v>0</v>
      </c>
      <c r="N13" s="64">
        <f t="shared" ca="1" si="7"/>
        <v>0</v>
      </c>
      <c r="O13" s="64">
        <f t="shared" ca="1" si="7"/>
        <v>0</v>
      </c>
      <c r="P13" s="64">
        <f t="shared" ca="1" si="7"/>
        <v>0</v>
      </c>
      <c r="Q13" s="64">
        <f t="shared" ca="1" si="7"/>
        <v>0</v>
      </c>
      <c r="R13" s="64">
        <f t="shared" ca="1" si="7"/>
        <v>0</v>
      </c>
      <c r="S13" s="64">
        <f t="shared" ca="1" si="7"/>
        <v>0</v>
      </c>
      <c r="T13" s="64">
        <f t="shared" ca="1" si="7"/>
        <v>0</v>
      </c>
      <c r="U13" s="64">
        <f t="shared" ca="1" si="7"/>
        <v>0</v>
      </c>
      <c r="V13" s="64">
        <f t="shared" ca="1" si="7"/>
        <v>0</v>
      </c>
      <c r="W13" s="64">
        <f t="shared" ca="1" si="7"/>
        <v>0</v>
      </c>
      <c r="X13" s="64">
        <f t="shared" ca="1" si="7"/>
        <v>0</v>
      </c>
      <c r="Y13" s="64">
        <f t="shared" ca="1" si="7"/>
        <v>0</v>
      </c>
      <c r="Z13" s="64">
        <f t="shared" ca="1" si="7"/>
        <v>52.601999999999997</v>
      </c>
      <c r="AA13" s="64">
        <f t="shared" ca="1" si="7"/>
        <v>0</v>
      </c>
      <c r="AB13" s="118">
        <f t="shared" ca="1" si="11"/>
        <v>52.601999999999997</v>
      </c>
      <c r="AC13" s="119">
        <f t="shared" ca="1" si="8"/>
        <v>1</v>
      </c>
      <c r="AD13" s="119">
        <f t="shared" ca="1" si="9"/>
        <v>1</v>
      </c>
      <c r="AE13" s="119">
        <v>-0.5</v>
      </c>
      <c r="AF13" s="119">
        <v>0.5</v>
      </c>
      <c r="AG13" s="119">
        <v>0</v>
      </c>
      <c r="AH13" s="120">
        <f t="shared" ca="1" si="10"/>
        <v>0</v>
      </c>
      <c r="AI13" s="115">
        <f t="shared" ca="1" si="12"/>
        <v>4.3834999999999997</v>
      </c>
      <c r="AJ13" s="116">
        <f t="shared" ca="1" si="12"/>
        <v>4.3834999999999997</v>
      </c>
      <c r="AK13" s="116">
        <f t="shared" ca="1" si="12"/>
        <v>4.3834999999999997</v>
      </c>
      <c r="AL13" s="116">
        <f t="shared" ca="1" si="12"/>
        <v>4.3834999999999997</v>
      </c>
      <c r="AM13" s="116">
        <f t="shared" ca="1" si="12"/>
        <v>4.3834999999999997</v>
      </c>
      <c r="AN13" s="116">
        <f t="shared" ca="1" si="12"/>
        <v>4.3834999999999997</v>
      </c>
      <c r="AO13" s="116">
        <f t="shared" ca="1" si="12"/>
        <v>4.3834999999999997</v>
      </c>
      <c r="AP13" s="116">
        <f t="shared" ca="1" si="12"/>
        <v>4.3834999999999997</v>
      </c>
      <c r="AQ13" s="116">
        <f t="shared" ca="1" si="13"/>
        <v>4.3834999999999997</v>
      </c>
      <c r="AR13" s="116">
        <f t="shared" ca="1" si="13"/>
        <v>4.3834999999999997</v>
      </c>
      <c r="AS13" s="116">
        <f t="shared" ca="1" si="13"/>
        <v>4.3834999999999997</v>
      </c>
      <c r="AT13" s="116">
        <f t="shared" ca="1" si="13"/>
        <v>4.3834999999999997</v>
      </c>
      <c r="AU13" s="117">
        <f t="shared" ca="1" si="14"/>
        <v>52.601999999999983</v>
      </c>
    </row>
    <row r="14" spans="1:50" ht="15" customHeight="1" thickBot="1" x14ac:dyDescent="0.25">
      <c r="B14" s="65" t="s">
        <v>11</v>
      </c>
      <c r="C14" s="67" t="s">
        <v>15</v>
      </c>
      <c r="D14" s="64">
        <f t="shared" ca="1" si="6"/>
        <v>0</v>
      </c>
      <c r="E14" s="64">
        <f t="shared" ca="1" si="6"/>
        <v>0</v>
      </c>
      <c r="F14" s="64">
        <f t="shared" ca="1" si="6"/>
        <v>0</v>
      </c>
      <c r="G14" s="64">
        <f t="shared" ca="1" si="6"/>
        <v>0</v>
      </c>
      <c r="H14" s="64">
        <f t="shared" ca="1" si="6"/>
        <v>0</v>
      </c>
      <c r="I14" s="64">
        <f t="shared" ca="1" si="6"/>
        <v>0</v>
      </c>
      <c r="J14" s="64">
        <f t="shared" ca="1" si="6"/>
        <v>0</v>
      </c>
      <c r="K14" s="64">
        <f t="shared" ca="1" si="6"/>
        <v>0</v>
      </c>
      <c r="L14" s="64">
        <f t="shared" ca="1" si="6"/>
        <v>0</v>
      </c>
      <c r="M14" s="64">
        <f t="shared" ca="1" si="6"/>
        <v>0</v>
      </c>
      <c r="N14" s="64">
        <f t="shared" ca="1" si="7"/>
        <v>0</v>
      </c>
      <c r="O14" s="64">
        <f t="shared" ca="1" si="7"/>
        <v>0</v>
      </c>
      <c r="P14" s="64">
        <f t="shared" ca="1" si="7"/>
        <v>0</v>
      </c>
      <c r="Q14" s="64">
        <f t="shared" ca="1" si="7"/>
        <v>8.6389999999999993</v>
      </c>
      <c r="R14" s="64">
        <f t="shared" ca="1" si="7"/>
        <v>0</v>
      </c>
      <c r="S14" s="64">
        <f t="shared" ca="1" si="7"/>
        <v>0</v>
      </c>
      <c r="T14" s="64">
        <f t="shared" ca="1" si="7"/>
        <v>0</v>
      </c>
      <c r="U14" s="64">
        <f t="shared" ca="1" si="7"/>
        <v>0</v>
      </c>
      <c r="V14" s="64">
        <f t="shared" ca="1" si="7"/>
        <v>0</v>
      </c>
      <c r="W14" s="64">
        <f t="shared" ca="1" si="7"/>
        <v>0</v>
      </c>
      <c r="X14" s="64">
        <f t="shared" ca="1" si="7"/>
        <v>0</v>
      </c>
      <c r="Y14" s="64">
        <f t="shared" ca="1" si="7"/>
        <v>1.27</v>
      </c>
      <c r="Z14" s="64">
        <f t="shared" ca="1" si="7"/>
        <v>0</v>
      </c>
      <c r="AA14" s="64">
        <f t="shared" ca="1" si="7"/>
        <v>6.9854599999999998</v>
      </c>
      <c r="AB14" s="118">
        <f t="shared" ca="1" si="11"/>
        <v>16.894459999999999</v>
      </c>
      <c r="AC14" s="119">
        <f t="shared" ca="1" si="8"/>
        <v>1</v>
      </c>
      <c r="AD14" s="119">
        <f t="shared" ca="1" si="9"/>
        <v>1</v>
      </c>
      <c r="AE14" s="119">
        <v>-0.5</v>
      </c>
      <c r="AF14" s="119">
        <v>0.5</v>
      </c>
      <c r="AG14" s="119">
        <v>-1</v>
      </c>
      <c r="AH14" s="120">
        <f t="shared" ca="1" si="10"/>
        <v>-1</v>
      </c>
      <c r="AI14" s="115">
        <f t="shared" ca="1" si="12"/>
        <v>0</v>
      </c>
      <c r="AJ14" s="116">
        <f t="shared" ca="1" si="12"/>
        <v>0</v>
      </c>
      <c r="AK14" s="116">
        <f t="shared" ca="1" si="12"/>
        <v>0</v>
      </c>
      <c r="AL14" s="116">
        <f t="shared" ca="1" si="12"/>
        <v>0</v>
      </c>
      <c r="AM14" s="116">
        <f t="shared" ca="1" si="12"/>
        <v>0</v>
      </c>
      <c r="AN14" s="116">
        <f t="shared" ca="1" si="12"/>
        <v>0</v>
      </c>
      <c r="AO14" s="116">
        <f t="shared" ca="1" si="12"/>
        <v>0</v>
      </c>
      <c r="AP14" s="116">
        <f t="shared" ca="1" si="12"/>
        <v>0</v>
      </c>
      <c r="AQ14" s="116">
        <f t="shared" ca="1" si="13"/>
        <v>0</v>
      </c>
      <c r="AR14" s="116">
        <f t="shared" ca="1" si="13"/>
        <v>0</v>
      </c>
      <c r="AS14" s="116">
        <f t="shared" ca="1" si="13"/>
        <v>0</v>
      </c>
      <c r="AT14" s="116">
        <f t="shared" ca="1" si="13"/>
        <v>0</v>
      </c>
      <c r="AU14" s="117">
        <f t="shared" ca="1" si="14"/>
        <v>0</v>
      </c>
    </row>
    <row r="15" spans="1:50" ht="15" customHeight="1" thickBot="1" x14ac:dyDescent="0.25">
      <c r="B15" s="65" t="s">
        <v>12</v>
      </c>
      <c r="C15" s="67" t="s">
        <v>16</v>
      </c>
      <c r="D15" s="64">
        <f t="shared" ca="1" si="6"/>
        <v>0</v>
      </c>
      <c r="E15" s="64">
        <f t="shared" ca="1" si="6"/>
        <v>0</v>
      </c>
      <c r="F15" s="64">
        <f t="shared" ca="1" si="6"/>
        <v>0</v>
      </c>
      <c r="G15" s="64">
        <f t="shared" ca="1" si="6"/>
        <v>0</v>
      </c>
      <c r="H15" s="64">
        <f t="shared" ca="1" si="6"/>
        <v>0</v>
      </c>
      <c r="I15" s="64">
        <f t="shared" ca="1" si="6"/>
        <v>0</v>
      </c>
      <c r="J15" s="64">
        <f t="shared" ca="1" si="6"/>
        <v>0</v>
      </c>
      <c r="K15" s="64">
        <f t="shared" ca="1" si="6"/>
        <v>0</v>
      </c>
      <c r="L15" s="64">
        <f t="shared" ca="1" si="6"/>
        <v>0</v>
      </c>
      <c r="M15" s="64">
        <f t="shared" ca="1" si="6"/>
        <v>0</v>
      </c>
      <c r="N15" s="64">
        <f t="shared" ca="1" si="7"/>
        <v>0</v>
      </c>
      <c r="O15" s="64">
        <f t="shared" ca="1" si="7"/>
        <v>0</v>
      </c>
      <c r="P15" s="64">
        <f t="shared" ca="1" si="7"/>
        <v>0</v>
      </c>
      <c r="Q15" s="64">
        <f t="shared" ca="1" si="7"/>
        <v>0</v>
      </c>
      <c r="R15" s="64">
        <f t="shared" ca="1" si="7"/>
        <v>0</v>
      </c>
      <c r="S15" s="64">
        <f t="shared" ca="1" si="7"/>
        <v>0</v>
      </c>
      <c r="T15" s="64">
        <f t="shared" ca="1" si="7"/>
        <v>0</v>
      </c>
      <c r="U15" s="64">
        <f t="shared" ca="1" si="7"/>
        <v>0</v>
      </c>
      <c r="V15" s="64">
        <f t="shared" ca="1" si="7"/>
        <v>0</v>
      </c>
      <c r="W15" s="64">
        <f t="shared" ca="1" si="7"/>
        <v>0</v>
      </c>
      <c r="X15" s="64">
        <f t="shared" ca="1" si="7"/>
        <v>0</v>
      </c>
      <c r="Y15" s="64">
        <f t="shared" ca="1" si="7"/>
        <v>0</v>
      </c>
      <c r="Z15" s="64">
        <f t="shared" ca="1" si="7"/>
        <v>0</v>
      </c>
      <c r="AA15" s="64">
        <f t="shared" ca="1" si="7"/>
        <v>0</v>
      </c>
      <c r="AB15" s="118">
        <f t="shared" ca="1" si="11"/>
        <v>0</v>
      </c>
      <c r="AC15" s="119">
        <f t="shared" ca="1" si="8"/>
        <v>0</v>
      </c>
      <c r="AD15" s="119">
        <f t="shared" ca="1" si="9"/>
        <v>0</v>
      </c>
      <c r="AE15" s="119">
        <v>-0.5</v>
      </c>
      <c r="AF15" s="119">
        <v>0.5</v>
      </c>
      <c r="AG15" s="119">
        <v>0</v>
      </c>
      <c r="AH15" s="120">
        <f t="shared" ca="1" si="10"/>
        <v>0</v>
      </c>
      <c r="AI15" s="115">
        <f t="shared" ca="1" si="12"/>
        <v>0</v>
      </c>
      <c r="AJ15" s="116">
        <f t="shared" ca="1" si="12"/>
        <v>0</v>
      </c>
      <c r="AK15" s="116">
        <f t="shared" ca="1" si="12"/>
        <v>0</v>
      </c>
      <c r="AL15" s="116">
        <f t="shared" ca="1" si="12"/>
        <v>0</v>
      </c>
      <c r="AM15" s="116">
        <f t="shared" ca="1" si="12"/>
        <v>0</v>
      </c>
      <c r="AN15" s="116">
        <f t="shared" ca="1" si="12"/>
        <v>0</v>
      </c>
      <c r="AO15" s="116">
        <f t="shared" ca="1" si="12"/>
        <v>0</v>
      </c>
      <c r="AP15" s="116">
        <f t="shared" ca="1" si="12"/>
        <v>0</v>
      </c>
      <c r="AQ15" s="116">
        <f t="shared" ca="1" si="13"/>
        <v>0</v>
      </c>
      <c r="AR15" s="116">
        <f t="shared" ca="1" si="13"/>
        <v>0</v>
      </c>
      <c r="AS15" s="116">
        <f t="shared" ca="1" si="13"/>
        <v>0</v>
      </c>
      <c r="AT15" s="116">
        <f t="shared" ca="1" si="13"/>
        <v>0</v>
      </c>
      <c r="AU15" s="117">
        <f t="shared" ca="1" si="14"/>
        <v>0</v>
      </c>
    </row>
    <row r="16" spans="1:50" ht="15" customHeight="1" thickBot="1" x14ac:dyDescent="0.25">
      <c r="B16" s="65" t="s">
        <v>13</v>
      </c>
      <c r="C16" s="67" t="s">
        <v>17</v>
      </c>
      <c r="D16" s="64">
        <f t="shared" ca="1" si="6"/>
        <v>81.804640000000006</v>
      </c>
      <c r="E16" s="64">
        <f t="shared" ca="1" si="6"/>
        <v>264.48590999999999</v>
      </c>
      <c r="F16" s="64">
        <f t="shared" ca="1" si="6"/>
        <v>201.17025000000001</v>
      </c>
      <c r="G16" s="64">
        <f t="shared" ca="1" si="6"/>
        <v>229.72810000000001</v>
      </c>
      <c r="H16" s="64">
        <f t="shared" ca="1" si="6"/>
        <v>79.467380000000006</v>
      </c>
      <c r="I16" s="64">
        <f t="shared" ca="1" si="6"/>
        <v>59.983150000000002</v>
      </c>
      <c r="J16" s="64">
        <f t="shared" ca="1" si="6"/>
        <v>102.45948</v>
      </c>
      <c r="K16" s="64">
        <f t="shared" ca="1" si="6"/>
        <v>53.415999999999997</v>
      </c>
      <c r="L16" s="64">
        <f t="shared" ca="1" si="6"/>
        <v>74.671379999999999</v>
      </c>
      <c r="M16" s="64">
        <f t="shared" ca="1" si="6"/>
        <v>45.231919999999995</v>
      </c>
      <c r="N16" s="64">
        <f t="shared" ca="1" si="7"/>
        <v>98.05561999999999</v>
      </c>
      <c r="O16" s="64">
        <f t="shared" ca="1" si="7"/>
        <v>78.85999000000001</v>
      </c>
      <c r="P16" s="64">
        <f t="shared" ca="1" si="7"/>
        <v>67.168759999999992</v>
      </c>
      <c r="Q16" s="64">
        <f t="shared" ca="1" si="7"/>
        <v>67.593580000000003</v>
      </c>
      <c r="R16" s="64">
        <f t="shared" ca="1" si="7"/>
        <v>61.83222</v>
      </c>
      <c r="S16" s="64">
        <f t="shared" ca="1" si="7"/>
        <v>81.790679999999995</v>
      </c>
      <c r="T16" s="64">
        <f t="shared" ca="1" si="7"/>
        <v>28.97241</v>
      </c>
      <c r="U16" s="64">
        <f t="shared" ca="1" si="7"/>
        <v>442.38346999999999</v>
      </c>
      <c r="V16" s="64">
        <f t="shared" ca="1" si="7"/>
        <v>43.776449999999997</v>
      </c>
      <c r="W16" s="64">
        <f t="shared" ca="1" si="7"/>
        <v>41.538820000000001</v>
      </c>
      <c r="X16" s="64">
        <f t="shared" ca="1" si="7"/>
        <v>59.105719999999998</v>
      </c>
      <c r="Y16" s="64">
        <f t="shared" ca="1" si="7"/>
        <v>85.36739</v>
      </c>
      <c r="Z16" s="64">
        <f t="shared" ca="1" si="7"/>
        <v>43.108489999999996</v>
      </c>
      <c r="AA16" s="64">
        <f t="shared" ca="1" si="7"/>
        <v>306.98892000000001</v>
      </c>
      <c r="AB16" s="118">
        <f t="shared" ca="1" si="11"/>
        <v>1329.62691</v>
      </c>
      <c r="AC16" s="119">
        <f t="shared" ca="1" si="8"/>
        <v>0.28096526665594435</v>
      </c>
      <c r="AD16" s="119">
        <f t="shared" ca="1" si="9"/>
        <v>-2.8997246266801557E-2</v>
      </c>
      <c r="AE16" s="119">
        <v>-0.5</v>
      </c>
      <c r="AF16" s="119">
        <v>0.5</v>
      </c>
      <c r="AG16" s="119">
        <v>0</v>
      </c>
      <c r="AH16" s="120">
        <f t="shared" ca="1" si="10"/>
        <v>0</v>
      </c>
      <c r="AI16" s="115">
        <f t="shared" ca="1" si="12"/>
        <v>110.80224249999999</v>
      </c>
      <c r="AJ16" s="116">
        <f t="shared" ca="1" si="12"/>
        <v>110.80224249999999</v>
      </c>
      <c r="AK16" s="116">
        <f t="shared" ca="1" si="12"/>
        <v>110.80224249999999</v>
      </c>
      <c r="AL16" s="116">
        <f t="shared" ca="1" si="12"/>
        <v>110.80224249999999</v>
      </c>
      <c r="AM16" s="116">
        <f t="shared" ca="1" si="12"/>
        <v>110.80224249999999</v>
      </c>
      <c r="AN16" s="116">
        <f t="shared" ca="1" si="12"/>
        <v>110.80224249999999</v>
      </c>
      <c r="AO16" s="116">
        <f t="shared" ca="1" si="12"/>
        <v>110.80224249999999</v>
      </c>
      <c r="AP16" s="116">
        <f t="shared" ca="1" si="12"/>
        <v>110.80224249999999</v>
      </c>
      <c r="AQ16" s="116">
        <f t="shared" ca="1" si="13"/>
        <v>110.80224249999999</v>
      </c>
      <c r="AR16" s="116">
        <f t="shared" ca="1" si="13"/>
        <v>110.80224249999999</v>
      </c>
      <c r="AS16" s="116">
        <f t="shared" ca="1" si="13"/>
        <v>110.80224249999999</v>
      </c>
      <c r="AT16" s="116">
        <f t="shared" ca="1" si="13"/>
        <v>110.80224249999999</v>
      </c>
      <c r="AU16" s="117">
        <f t="shared" ca="1" si="14"/>
        <v>1329.62691</v>
      </c>
    </row>
    <row r="17" spans="2:47" ht="15" customHeight="1" thickBot="1" x14ac:dyDescent="0.25">
      <c r="B17" s="65" t="s">
        <v>18</v>
      </c>
      <c r="C17" s="67" t="s">
        <v>26</v>
      </c>
      <c r="D17" s="64">
        <f t="shared" ca="1" si="6"/>
        <v>0</v>
      </c>
      <c r="E17" s="64">
        <f t="shared" ca="1" si="6"/>
        <v>0</v>
      </c>
      <c r="F17" s="64">
        <f t="shared" ca="1" si="6"/>
        <v>0</v>
      </c>
      <c r="G17" s="64">
        <f t="shared" ca="1" si="6"/>
        <v>0</v>
      </c>
      <c r="H17" s="64">
        <f t="shared" ca="1" si="6"/>
        <v>0</v>
      </c>
      <c r="I17" s="64">
        <f t="shared" ca="1" si="6"/>
        <v>0</v>
      </c>
      <c r="J17" s="64">
        <f t="shared" ca="1" si="6"/>
        <v>0</v>
      </c>
      <c r="K17" s="64">
        <f t="shared" ca="1" si="6"/>
        <v>0</v>
      </c>
      <c r="L17" s="64">
        <f t="shared" ca="1" si="6"/>
        <v>0</v>
      </c>
      <c r="M17" s="64">
        <f t="shared" ca="1" si="6"/>
        <v>0</v>
      </c>
      <c r="N17" s="64">
        <f t="shared" ca="1" si="7"/>
        <v>0</v>
      </c>
      <c r="O17" s="64">
        <f t="shared" ca="1" si="7"/>
        <v>0</v>
      </c>
      <c r="P17" s="64">
        <f t="shared" ca="1" si="7"/>
        <v>0</v>
      </c>
      <c r="Q17" s="64">
        <f t="shared" ca="1" si="7"/>
        <v>0</v>
      </c>
      <c r="R17" s="64">
        <f t="shared" ca="1" si="7"/>
        <v>0</v>
      </c>
      <c r="S17" s="64">
        <f t="shared" ca="1" si="7"/>
        <v>0</v>
      </c>
      <c r="T17" s="64">
        <f t="shared" ca="1" si="7"/>
        <v>0</v>
      </c>
      <c r="U17" s="64">
        <f t="shared" ca="1" si="7"/>
        <v>0</v>
      </c>
      <c r="V17" s="64">
        <f t="shared" ca="1" si="7"/>
        <v>0</v>
      </c>
      <c r="W17" s="64">
        <f t="shared" ca="1" si="7"/>
        <v>0</v>
      </c>
      <c r="X17" s="64">
        <f t="shared" ca="1" si="7"/>
        <v>0</v>
      </c>
      <c r="Y17" s="64">
        <f t="shared" ca="1" si="7"/>
        <v>0</v>
      </c>
      <c r="Z17" s="64">
        <f t="shared" ca="1" si="7"/>
        <v>0</v>
      </c>
      <c r="AA17" s="64">
        <f t="shared" ca="1" si="7"/>
        <v>0</v>
      </c>
      <c r="AB17" s="118">
        <f t="shared" ca="1" si="11"/>
        <v>0</v>
      </c>
      <c r="AC17" s="119">
        <f t="shared" ca="1" si="8"/>
        <v>0</v>
      </c>
      <c r="AD17" s="119">
        <f t="shared" ca="1" si="9"/>
        <v>0</v>
      </c>
      <c r="AE17" s="119">
        <v>-0.5</v>
      </c>
      <c r="AF17" s="119">
        <v>0.5</v>
      </c>
      <c r="AG17" s="119">
        <v>-1</v>
      </c>
      <c r="AH17" s="120">
        <f t="shared" ca="1" si="10"/>
        <v>-1</v>
      </c>
      <c r="AI17" s="115">
        <f t="shared" ca="1" si="12"/>
        <v>0</v>
      </c>
      <c r="AJ17" s="116">
        <f t="shared" ca="1" si="12"/>
        <v>0</v>
      </c>
      <c r="AK17" s="116">
        <f t="shared" ca="1" si="12"/>
        <v>0</v>
      </c>
      <c r="AL17" s="116">
        <f t="shared" ca="1" si="12"/>
        <v>0</v>
      </c>
      <c r="AM17" s="116">
        <f t="shared" ca="1" si="12"/>
        <v>0</v>
      </c>
      <c r="AN17" s="116">
        <f t="shared" ca="1" si="12"/>
        <v>0</v>
      </c>
      <c r="AO17" s="116">
        <f t="shared" ca="1" si="12"/>
        <v>0</v>
      </c>
      <c r="AP17" s="116">
        <f t="shared" ca="1" si="12"/>
        <v>0</v>
      </c>
      <c r="AQ17" s="116">
        <f t="shared" ca="1" si="13"/>
        <v>0</v>
      </c>
      <c r="AR17" s="116">
        <f t="shared" ca="1" si="13"/>
        <v>0</v>
      </c>
      <c r="AS17" s="116">
        <f t="shared" ca="1" si="13"/>
        <v>0</v>
      </c>
      <c r="AT17" s="116">
        <f t="shared" ca="1" si="13"/>
        <v>0</v>
      </c>
      <c r="AU17" s="117">
        <f t="shared" ca="1" si="14"/>
        <v>0</v>
      </c>
    </row>
    <row r="18" spans="2:47" ht="15" customHeight="1" thickBot="1" x14ac:dyDescent="0.25">
      <c r="B18" s="65" t="s">
        <v>19</v>
      </c>
      <c r="C18" s="67" t="s">
        <v>27</v>
      </c>
      <c r="D18" s="64">
        <f t="shared" ca="1" si="6"/>
        <v>11.6373</v>
      </c>
      <c r="E18" s="64">
        <f t="shared" ca="1" si="6"/>
        <v>11.86891</v>
      </c>
      <c r="F18" s="64">
        <f t="shared" ca="1" si="6"/>
        <v>12.07963</v>
      </c>
      <c r="G18" s="64">
        <f t="shared" ca="1" si="6"/>
        <v>11.324440000000001</v>
      </c>
      <c r="H18" s="64">
        <f t="shared" ca="1" si="6"/>
        <v>10.815719999999999</v>
      </c>
      <c r="I18" s="64">
        <f t="shared" ca="1" si="6"/>
        <v>93.836669999999998</v>
      </c>
      <c r="J18" s="64">
        <f t="shared" ca="1" si="6"/>
        <v>9.070549999999999</v>
      </c>
      <c r="K18" s="64">
        <f t="shared" ca="1" si="6"/>
        <v>8.4828500000000009</v>
      </c>
      <c r="L18" s="64">
        <f t="shared" ca="1" si="6"/>
        <v>8.3544300000000007</v>
      </c>
      <c r="M18" s="64">
        <f t="shared" ca="1" si="6"/>
        <v>8.15259</v>
      </c>
      <c r="N18" s="64">
        <f t="shared" ca="1" si="7"/>
        <v>8.0033799999999999</v>
      </c>
      <c r="O18" s="64">
        <f t="shared" ca="1" si="7"/>
        <v>9.4857300000000002</v>
      </c>
      <c r="P18" s="64">
        <f t="shared" ca="1" si="7"/>
        <v>73.405710000000013</v>
      </c>
      <c r="Q18" s="64">
        <f t="shared" ca="1" si="7"/>
        <v>10.996649999999999</v>
      </c>
      <c r="R18" s="64">
        <f t="shared" ca="1" si="7"/>
        <v>10.866879999999998</v>
      </c>
      <c r="S18" s="64">
        <f t="shared" ca="1" si="7"/>
        <v>9.5736000000000008</v>
      </c>
      <c r="T18" s="64">
        <f t="shared" ca="1" si="7"/>
        <v>9.5068799999999989</v>
      </c>
      <c r="U18" s="64">
        <f t="shared" ca="1" si="7"/>
        <v>63.650220000000004</v>
      </c>
      <c r="V18" s="64">
        <f t="shared" ca="1" si="7"/>
        <v>5.58535</v>
      </c>
      <c r="W18" s="64">
        <f t="shared" ca="1" si="7"/>
        <v>4.85982</v>
      </c>
      <c r="X18" s="64">
        <f t="shared" ca="1" si="7"/>
        <v>3.9747199999999996</v>
      </c>
      <c r="Y18" s="64">
        <f t="shared" ca="1" si="7"/>
        <v>3.3685700000000001</v>
      </c>
      <c r="Z18" s="64">
        <f t="shared" ca="1" si="7"/>
        <v>3.2081500000000003</v>
      </c>
      <c r="AA18" s="64">
        <f t="shared" ca="1" si="7"/>
        <v>2.2499000000000002</v>
      </c>
      <c r="AB18" s="118">
        <f t="shared" ca="1" si="11"/>
        <v>201.24645000000001</v>
      </c>
      <c r="AC18" s="119">
        <f t="shared" ca="1" si="8"/>
        <v>-0.549045161032506</v>
      </c>
      <c r="AD18" s="119">
        <f t="shared" ca="1" si="9"/>
        <v>-9.1858096165566838E-3</v>
      </c>
      <c r="AE18" s="119">
        <v>-0.5</v>
      </c>
      <c r="AF18" s="119">
        <v>0.5</v>
      </c>
      <c r="AG18" s="119">
        <v>0</v>
      </c>
      <c r="AH18" s="120">
        <f t="shared" ca="1" si="10"/>
        <v>0</v>
      </c>
      <c r="AI18" s="115">
        <f t="shared" ca="1" si="12"/>
        <v>16.7705375</v>
      </c>
      <c r="AJ18" s="116">
        <f t="shared" ca="1" si="12"/>
        <v>16.7705375</v>
      </c>
      <c r="AK18" s="116">
        <f t="shared" ca="1" si="12"/>
        <v>16.7705375</v>
      </c>
      <c r="AL18" s="116">
        <f t="shared" ca="1" si="12"/>
        <v>16.7705375</v>
      </c>
      <c r="AM18" s="116">
        <f t="shared" ca="1" si="12"/>
        <v>16.7705375</v>
      </c>
      <c r="AN18" s="116">
        <f t="shared" ca="1" si="12"/>
        <v>16.7705375</v>
      </c>
      <c r="AO18" s="116">
        <f t="shared" ca="1" si="12"/>
        <v>16.7705375</v>
      </c>
      <c r="AP18" s="116">
        <f t="shared" ca="1" si="12"/>
        <v>16.7705375</v>
      </c>
      <c r="AQ18" s="116">
        <f t="shared" ca="1" si="13"/>
        <v>16.7705375</v>
      </c>
      <c r="AR18" s="116">
        <f t="shared" ca="1" si="13"/>
        <v>16.7705375</v>
      </c>
      <c r="AS18" s="116">
        <f t="shared" ca="1" si="13"/>
        <v>16.7705375</v>
      </c>
      <c r="AT18" s="116">
        <f t="shared" ca="1" si="13"/>
        <v>16.7705375</v>
      </c>
      <c r="AU18" s="117">
        <f t="shared" ca="1" si="14"/>
        <v>201.24644999999995</v>
      </c>
    </row>
    <row r="19" spans="2:47" ht="15" customHeight="1" thickBot="1" x14ac:dyDescent="0.25">
      <c r="B19" s="65" t="s">
        <v>20</v>
      </c>
      <c r="C19" s="67" t="s">
        <v>28</v>
      </c>
      <c r="D19" s="64">
        <f t="shared" ref="D19:M25" ca="1" si="15">AbraTurnover(URL,Username,Password,$C19,D$6,D$7)/1000</f>
        <v>0</v>
      </c>
      <c r="E19" s="64">
        <f t="shared" ca="1" si="15"/>
        <v>0</v>
      </c>
      <c r="F19" s="64">
        <f t="shared" ca="1" si="15"/>
        <v>0</v>
      </c>
      <c r="G19" s="64">
        <f t="shared" ca="1" si="15"/>
        <v>0</v>
      </c>
      <c r="H19" s="64">
        <f t="shared" ca="1" si="15"/>
        <v>0</v>
      </c>
      <c r="I19" s="64">
        <f t="shared" ca="1" si="15"/>
        <v>64.750950000000003</v>
      </c>
      <c r="J19" s="64">
        <f t="shared" ca="1" si="15"/>
        <v>0</v>
      </c>
      <c r="K19" s="64">
        <f t="shared" ca="1" si="15"/>
        <v>0</v>
      </c>
      <c r="L19" s="64">
        <f t="shared" ca="1" si="15"/>
        <v>0.54596</v>
      </c>
      <c r="M19" s="64">
        <f t="shared" ca="1" si="15"/>
        <v>0</v>
      </c>
      <c r="N19" s="64">
        <f t="shared" ref="N19:AA25" ca="1" si="16">AbraTurnover(URL,Username,Password,$C19,N$6,N$7)/1000</f>
        <v>0</v>
      </c>
      <c r="O19" s="64">
        <f t="shared" ca="1" si="16"/>
        <v>0</v>
      </c>
      <c r="P19" s="64">
        <f t="shared" ca="1" si="16"/>
        <v>0</v>
      </c>
      <c r="Q19" s="64">
        <f t="shared" ca="1" si="16"/>
        <v>0</v>
      </c>
      <c r="R19" s="64">
        <f t="shared" ca="1" si="16"/>
        <v>2.36294</v>
      </c>
      <c r="S19" s="64">
        <f t="shared" ca="1" si="16"/>
        <v>0</v>
      </c>
      <c r="T19" s="64">
        <f t="shared" ca="1" si="16"/>
        <v>1.09E-2</v>
      </c>
      <c r="U19" s="64">
        <f t="shared" ca="1" si="16"/>
        <v>16.121980000000001</v>
      </c>
      <c r="V19" s="64">
        <f t="shared" ca="1" si="16"/>
        <v>-9.7959999999999992E-2</v>
      </c>
      <c r="W19" s="64">
        <f t="shared" ca="1" si="16"/>
        <v>-0.56996000000000002</v>
      </c>
      <c r="X19" s="64">
        <f t="shared" ca="1" si="16"/>
        <v>6.1826999999999996</v>
      </c>
      <c r="Y19" s="64">
        <f t="shared" ca="1" si="16"/>
        <v>0</v>
      </c>
      <c r="Z19" s="64">
        <f t="shared" ca="1" si="16"/>
        <v>2.954E-2</v>
      </c>
      <c r="AA19" s="64">
        <f t="shared" ca="1" si="16"/>
        <v>1.6460000000000002E-2</v>
      </c>
      <c r="AB19" s="118">
        <f ca="1">SUM(P19:AA19)</f>
        <v>24.0566</v>
      </c>
      <c r="AC19" s="119">
        <f t="shared" ca="1" si="8"/>
        <v>9.1853249322294683</v>
      </c>
      <c r="AD19" s="119">
        <f t="shared" ca="1" si="9"/>
        <v>-0.63158134129164756</v>
      </c>
      <c r="AE19" s="119">
        <v>-0.5</v>
      </c>
      <c r="AF19" s="119">
        <v>0.5</v>
      </c>
      <c r="AG19" s="119">
        <v>0</v>
      </c>
      <c r="AH19" s="120">
        <f t="shared" ca="1" si="10"/>
        <v>0</v>
      </c>
      <c r="AI19" s="115">
        <f t="shared" ca="1" si="12"/>
        <v>2.0047166666666665</v>
      </c>
      <c r="AJ19" s="116">
        <f t="shared" ca="1" si="12"/>
        <v>2.0047166666666665</v>
      </c>
      <c r="AK19" s="116">
        <f t="shared" ca="1" si="12"/>
        <v>2.0047166666666665</v>
      </c>
      <c r="AL19" s="116">
        <f t="shared" ca="1" si="12"/>
        <v>2.0047166666666665</v>
      </c>
      <c r="AM19" s="116">
        <f t="shared" ca="1" si="12"/>
        <v>2.0047166666666665</v>
      </c>
      <c r="AN19" s="116">
        <f t="shared" ca="1" si="12"/>
        <v>2.0047166666666665</v>
      </c>
      <c r="AO19" s="116">
        <f t="shared" ca="1" si="12"/>
        <v>2.0047166666666665</v>
      </c>
      <c r="AP19" s="116">
        <f t="shared" ca="1" si="12"/>
        <v>2.0047166666666665</v>
      </c>
      <c r="AQ19" s="116">
        <f t="shared" ca="1" si="13"/>
        <v>2.0047166666666665</v>
      </c>
      <c r="AR19" s="116">
        <f t="shared" ca="1" si="13"/>
        <v>2.0047166666666665</v>
      </c>
      <c r="AS19" s="116">
        <f t="shared" ca="1" si="13"/>
        <v>2.0047166666666665</v>
      </c>
      <c r="AT19" s="116">
        <f t="shared" ca="1" si="13"/>
        <v>2.0047166666666665</v>
      </c>
      <c r="AU19" s="117">
        <f t="shared" ca="1" si="14"/>
        <v>24.0566</v>
      </c>
    </row>
    <row r="20" spans="2:47" ht="15" customHeight="1" thickBot="1" x14ac:dyDescent="0.25">
      <c r="B20" s="65" t="s">
        <v>21</v>
      </c>
      <c r="C20" s="67" t="s">
        <v>29</v>
      </c>
      <c r="D20" s="64">
        <f t="shared" ca="1" si="15"/>
        <v>0</v>
      </c>
      <c r="E20" s="64">
        <f t="shared" ca="1" si="15"/>
        <v>0</v>
      </c>
      <c r="F20" s="64">
        <f t="shared" ca="1" si="15"/>
        <v>0</v>
      </c>
      <c r="G20" s="64">
        <f t="shared" ca="1" si="15"/>
        <v>0</v>
      </c>
      <c r="H20" s="64">
        <f t="shared" ca="1" si="15"/>
        <v>0</v>
      </c>
      <c r="I20" s="64">
        <f t="shared" ca="1" si="15"/>
        <v>0</v>
      </c>
      <c r="J20" s="64">
        <f t="shared" ca="1" si="15"/>
        <v>0</v>
      </c>
      <c r="K20" s="64">
        <f t="shared" ca="1" si="15"/>
        <v>0</v>
      </c>
      <c r="L20" s="64">
        <f t="shared" ca="1" si="15"/>
        <v>0</v>
      </c>
      <c r="M20" s="64">
        <f t="shared" ca="1" si="15"/>
        <v>0</v>
      </c>
      <c r="N20" s="64">
        <f t="shared" ca="1" si="16"/>
        <v>0</v>
      </c>
      <c r="O20" s="64">
        <f t="shared" ca="1" si="16"/>
        <v>0</v>
      </c>
      <c r="P20" s="64">
        <f t="shared" ca="1" si="16"/>
        <v>0</v>
      </c>
      <c r="Q20" s="64">
        <f t="shared" ca="1" si="16"/>
        <v>0</v>
      </c>
      <c r="R20" s="64">
        <f t="shared" ca="1" si="16"/>
        <v>0</v>
      </c>
      <c r="S20" s="64">
        <f t="shared" ca="1" si="16"/>
        <v>0</v>
      </c>
      <c r="T20" s="64">
        <f t="shared" ca="1" si="16"/>
        <v>0</v>
      </c>
      <c r="U20" s="64">
        <f t="shared" ca="1" si="16"/>
        <v>0</v>
      </c>
      <c r="V20" s="64">
        <f t="shared" ca="1" si="16"/>
        <v>0</v>
      </c>
      <c r="W20" s="64">
        <f t="shared" ca="1" si="16"/>
        <v>0</v>
      </c>
      <c r="X20" s="64">
        <f t="shared" ca="1" si="16"/>
        <v>0</v>
      </c>
      <c r="Y20" s="64">
        <f t="shared" ca="1" si="16"/>
        <v>0</v>
      </c>
      <c r="Z20" s="64">
        <f t="shared" ca="1" si="16"/>
        <v>0</v>
      </c>
      <c r="AA20" s="64">
        <f t="shared" ca="1" si="16"/>
        <v>0</v>
      </c>
      <c r="AB20" s="118">
        <f t="shared" ca="1" si="11"/>
        <v>0</v>
      </c>
      <c r="AC20" s="119">
        <f t="shared" ca="1" si="8"/>
        <v>0</v>
      </c>
      <c r="AD20" s="119">
        <f t="shared" ca="1" si="9"/>
        <v>0</v>
      </c>
      <c r="AE20" s="119">
        <v>-0.5</v>
      </c>
      <c r="AF20" s="119">
        <v>0.5</v>
      </c>
      <c r="AG20" s="119">
        <v>0</v>
      </c>
      <c r="AH20" s="120">
        <f t="shared" ca="1" si="10"/>
        <v>0</v>
      </c>
      <c r="AI20" s="115">
        <f t="shared" ca="1" si="12"/>
        <v>0</v>
      </c>
      <c r="AJ20" s="116">
        <f t="shared" ca="1" si="12"/>
        <v>0</v>
      </c>
      <c r="AK20" s="116">
        <f t="shared" ca="1" si="12"/>
        <v>0</v>
      </c>
      <c r="AL20" s="116">
        <f t="shared" ca="1" si="12"/>
        <v>0</v>
      </c>
      <c r="AM20" s="116">
        <f t="shared" ca="1" si="12"/>
        <v>0</v>
      </c>
      <c r="AN20" s="116">
        <f t="shared" ca="1" si="12"/>
        <v>0</v>
      </c>
      <c r="AO20" s="116">
        <f t="shared" ca="1" si="12"/>
        <v>0</v>
      </c>
      <c r="AP20" s="116">
        <f t="shared" ca="1" si="12"/>
        <v>0</v>
      </c>
      <c r="AQ20" s="116">
        <f t="shared" ca="1" si="13"/>
        <v>0</v>
      </c>
      <c r="AR20" s="116">
        <f t="shared" ca="1" si="13"/>
        <v>0</v>
      </c>
      <c r="AS20" s="116">
        <f t="shared" ca="1" si="13"/>
        <v>0</v>
      </c>
      <c r="AT20" s="116">
        <f t="shared" ca="1" si="13"/>
        <v>0</v>
      </c>
      <c r="AU20" s="117">
        <f t="shared" ca="1" si="14"/>
        <v>0</v>
      </c>
    </row>
    <row r="21" spans="2:47" ht="15" customHeight="1" thickBot="1" x14ac:dyDescent="0.25">
      <c r="B21" s="65" t="s">
        <v>22</v>
      </c>
      <c r="C21" s="67" t="s">
        <v>30</v>
      </c>
      <c r="D21" s="64">
        <f t="shared" ca="1" si="15"/>
        <v>0</v>
      </c>
      <c r="E21" s="64">
        <f t="shared" ca="1" si="15"/>
        <v>0</v>
      </c>
      <c r="F21" s="64">
        <f t="shared" ca="1" si="15"/>
        <v>0</v>
      </c>
      <c r="G21" s="64">
        <f t="shared" ca="1" si="15"/>
        <v>0</v>
      </c>
      <c r="H21" s="64">
        <f t="shared" ca="1" si="15"/>
        <v>0</v>
      </c>
      <c r="I21" s="64">
        <f t="shared" ca="1" si="15"/>
        <v>0</v>
      </c>
      <c r="J21" s="64">
        <f t="shared" ca="1" si="15"/>
        <v>0</v>
      </c>
      <c r="K21" s="64">
        <f t="shared" ca="1" si="15"/>
        <v>0</v>
      </c>
      <c r="L21" s="64">
        <f t="shared" ca="1" si="15"/>
        <v>0</v>
      </c>
      <c r="M21" s="64">
        <f t="shared" ca="1" si="15"/>
        <v>0</v>
      </c>
      <c r="N21" s="64">
        <f t="shared" ca="1" si="16"/>
        <v>0</v>
      </c>
      <c r="O21" s="64">
        <f t="shared" ca="1" si="16"/>
        <v>0</v>
      </c>
      <c r="P21" s="64">
        <f t="shared" ca="1" si="16"/>
        <v>0</v>
      </c>
      <c r="Q21" s="64">
        <f t="shared" ca="1" si="16"/>
        <v>0</v>
      </c>
      <c r="R21" s="64">
        <f t="shared" ca="1" si="16"/>
        <v>0</v>
      </c>
      <c r="S21" s="64">
        <f t="shared" ca="1" si="16"/>
        <v>0</v>
      </c>
      <c r="T21" s="64">
        <f t="shared" ca="1" si="16"/>
        <v>0</v>
      </c>
      <c r="U21" s="64">
        <f t="shared" ca="1" si="16"/>
        <v>0</v>
      </c>
      <c r="V21" s="64">
        <f t="shared" ca="1" si="16"/>
        <v>0</v>
      </c>
      <c r="W21" s="64">
        <f t="shared" ca="1" si="16"/>
        <v>0</v>
      </c>
      <c r="X21" s="64">
        <f t="shared" ca="1" si="16"/>
        <v>0</v>
      </c>
      <c r="Y21" s="64">
        <f t="shared" ca="1" si="16"/>
        <v>0</v>
      </c>
      <c r="Z21" s="64">
        <f t="shared" ca="1" si="16"/>
        <v>0</v>
      </c>
      <c r="AA21" s="64">
        <f t="shared" ca="1" si="16"/>
        <v>0</v>
      </c>
      <c r="AB21" s="118">
        <f t="shared" ca="1" si="11"/>
        <v>0</v>
      </c>
      <c r="AC21" s="119">
        <f t="shared" ca="1" si="8"/>
        <v>0</v>
      </c>
      <c r="AD21" s="119">
        <f t="shared" ca="1" si="9"/>
        <v>0</v>
      </c>
      <c r="AE21" s="119">
        <v>-0.5</v>
      </c>
      <c r="AF21" s="119">
        <v>0.5</v>
      </c>
      <c r="AG21" s="119">
        <v>0</v>
      </c>
      <c r="AH21" s="120">
        <f t="shared" ca="1" si="10"/>
        <v>0</v>
      </c>
      <c r="AI21" s="115">
        <f t="shared" ca="1" si="12"/>
        <v>0</v>
      </c>
      <c r="AJ21" s="116">
        <f t="shared" ca="1" si="12"/>
        <v>0</v>
      </c>
      <c r="AK21" s="116">
        <f t="shared" ca="1" si="12"/>
        <v>0</v>
      </c>
      <c r="AL21" s="116">
        <f t="shared" ca="1" si="12"/>
        <v>0</v>
      </c>
      <c r="AM21" s="116">
        <f t="shared" ca="1" si="12"/>
        <v>0</v>
      </c>
      <c r="AN21" s="116">
        <f t="shared" ca="1" si="12"/>
        <v>0</v>
      </c>
      <c r="AO21" s="116">
        <f t="shared" ca="1" si="12"/>
        <v>0</v>
      </c>
      <c r="AP21" s="116">
        <f t="shared" ca="1" si="12"/>
        <v>0</v>
      </c>
      <c r="AQ21" s="116">
        <f t="shared" ca="1" si="13"/>
        <v>0</v>
      </c>
      <c r="AR21" s="116">
        <f t="shared" ca="1" si="13"/>
        <v>0</v>
      </c>
      <c r="AS21" s="116">
        <f t="shared" ca="1" si="13"/>
        <v>0</v>
      </c>
      <c r="AT21" s="116">
        <f t="shared" ca="1" si="13"/>
        <v>0</v>
      </c>
      <c r="AU21" s="117">
        <f t="shared" ca="1" si="14"/>
        <v>0</v>
      </c>
    </row>
    <row r="22" spans="2:47" ht="15" customHeight="1" thickBot="1" x14ac:dyDescent="0.25">
      <c r="B22" s="65" t="s">
        <v>23</v>
      </c>
      <c r="C22" s="67" t="s">
        <v>31</v>
      </c>
      <c r="D22" s="64">
        <f t="shared" ca="1" si="15"/>
        <v>0</v>
      </c>
      <c r="E22" s="64">
        <f t="shared" ca="1" si="15"/>
        <v>0</v>
      </c>
      <c r="F22" s="64">
        <f t="shared" ca="1" si="15"/>
        <v>0</v>
      </c>
      <c r="G22" s="64">
        <f t="shared" ca="1" si="15"/>
        <v>0</v>
      </c>
      <c r="H22" s="64">
        <f t="shared" ca="1" si="15"/>
        <v>0</v>
      </c>
      <c r="I22" s="64">
        <f t="shared" ca="1" si="15"/>
        <v>0</v>
      </c>
      <c r="J22" s="64">
        <f t="shared" ca="1" si="15"/>
        <v>0</v>
      </c>
      <c r="K22" s="64">
        <f t="shared" ca="1" si="15"/>
        <v>0</v>
      </c>
      <c r="L22" s="64">
        <f t="shared" ca="1" si="15"/>
        <v>0</v>
      </c>
      <c r="M22" s="64">
        <f t="shared" ca="1" si="15"/>
        <v>0</v>
      </c>
      <c r="N22" s="64">
        <f t="shared" ca="1" si="16"/>
        <v>0</v>
      </c>
      <c r="O22" s="64">
        <f t="shared" ca="1" si="16"/>
        <v>0</v>
      </c>
      <c r="P22" s="64">
        <f t="shared" ca="1" si="16"/>
        <v>0</v>
      </c>
      <c r="Q22" s="64">
        <f t="shared" ca="1" si="16"/>
        <v>0</v>
      </c>
      <c r="R22" s="64">
        <f t="shared" ca="1" si="16"/>
        <v>0</v>
      </c>
      <c r="S22" s="64">
        <f t="shared" ca="1" si="16"/>
        <v>0</v>
      </c>
      <c r="T22" s="64">
        <f t="shared" ca="1" si="16"/>
        <v>0</v>
      </c>
      <c r="U22" s="64">
        <f t="shared" ca="1" si="16"/>
        <v>0</v>
      </c>
      <c r="V22" s="64">
        <f t="shared" ca="1" si="16"/>
        <v>0</v>
      </c>
      <c r="W22" s="64">
        <f t="shared" ca="1" si="16"/>
        <v>0</v>
      </c>
      <c r="X22" s="64">
        <f t="shared" ca="1" si="16"/>
        <v>0</v>
      </c>
      <c r="Y22" s="64">
        <f t="shared" ca="1" si="16"/>
        <v>0</v>
      </c>
      <c r="Z22" s="64">
        <f t="shared" ca="1" si="16"/>
        <v>0</v>
      </c>
      <c r="AA22" s="64">
        <f t="shared" ca="1" si="16"/>
        <v>0</v>
      </c>
      <c r="AB22" s="118">
        <f t="shared" ca="1" si="11"/>
        <v>0</v>
      </c>
      <c r="AC22" s="119">
        <f t="shared" ca="1" si="8"/>
        <v>0</v>
      </c>
      <c r="AD22" s="119">
        <f t="shared" ca="1" si="9"/>
        <v>0</v>
      </c>
      <c r="AE22" s="119">
        <v>-0.5</v>
      </c>
      <c r="AF22" s="119">
        <v>0.5</v>
      </c>
      <c r="AG22" s="119">
        <v>0</v>
      </c>
      <c r="AH22" s="120">
        <f t="shared" ca="1" si="10"/>
        <v>0</v>
      </c>
      <c r="AI22" s="115">
        <f t="shared" ca="1" si="12"/>
        <v>0</v>
      </c>
      <c r="AJ22" s="116">
        <f t="shared" ca="1" si="12"/>
        <v>0</v>
      </c>
      <c r="AK22" s="116">
        <f t="shared" ca="1" si="12"/>
        <v>0</v>
      </c>
      <c r="AL22" s="116">
        <f t="shared" ca="1" si="12"/>
        <v>0</v>
      </c>
      <c r="AM22" s="116">
        <f t="shared" ca="1" si="12"/>
        <v>0</v>
      </c>
      <c r="AN22" s="116">
        <f t="shared" ca="1" si="12"/>
        <v>0</v>
      </c>
      <c r="AO22" s="116">
        <f t="shared" ca="1" si="12"/>
        <v>0</v>
      </c>
      <c r="AP22" s="116">
        <f t="shared" ca="1" si="12"/>
        <v>0</v>
      </c>
      <c r="AQ22" s="116">
        <f t="shared" ca="1" si="13"/>
        <v>0</v>
      </c>
      <c r="AR22" s="116">
        <f t="shared" ca="1" si="13"/>
        <v>0</v>
      </c>
      <c r="AS22" s="116">
        <f t="shared" ca="1" si="13"/>
        <v>0</v>
      </c>
      <c r="AT22" s="116">
        <f t="shared" ca="1" si="13"/>
        <v>0</v>
      </c>
      <c r="AU22" s="117">
        <f t="shared" ca="1" si="14"/>
        <v>0</v>
      </c>
    </row>
    <row r="23" spans="2:47" ht="15" customHeight="1" thickBot="1" x14ac:dyDescent="0.25">
      <c r="B23" s="65" t="s">
        <v>24</v>
      </c>
      <c r="C23" s="67" t="s">
        <v>32</v>
      </c>
      <c r="D23" s="64">
        <f t="shared" ca="1" si="15"/>
        <v>0</v>
      </c>
      <c r="E23" s="64">
        <f t="shared" ca="1" si="15"/>
        <v>0</v>
      </c>
      <c r="F23" s="64">
        <f t="shared" ca="1" si="15"/>
        <v>0</v>
      </c>
      <c r="G23" s="64">
        <f t="shared" ca="1" si="15"/>
        <v>0</v>
      </c>
      <c r="H23" s="64">
        <f t="shared" ca="1" si="15"/>
        <v>0</v>
      </c>
      <c r="I23" s="64">
        <f t="shared" ca="1" si="15"/>
        <v>0</v>
      </c>
      <c r="J23" s="64">
        <f t="shared" ca="1" si="15"/>
        <v>0</v>
      </c>
      <c r="K23" s="64">
        <f t="shared" ca="1" si="15"/>
        <v>0</v>
      </c>
      <c r="L23" s="64">
        <f t="shared" ca="1" si="15"/>
        <v>0</v>
      </c>
      <c r="M23" s="64">
        <f t="shared" ca="1" si="15"/>
        <v>0</v>
      </c>
      <c r="N23" s="64">
        <f t="shared" ca="1" si="16"/>
        <v>0</v>
      </c>
      <c r="O23" s="64">
        <f t="shared" ca="1" si="16"/>
        <v>0</v>
      </c>
      <c r="P23" s="64">
        <f t="shared" ca="1" si="16"/>
        <v>0</v>
      </c>
      <c r="Q23" s="64">
        <f t="shared" ca="1" si="16"/>
        <v>0</v>
      </c>
      <c r="R23" s="64">
        <f t="shared" ca="1" si="16"/>
        <v>0</v>
      </c>
      <c r="S23" s="64">
        <f t="shared" ca="1" si="16"/>
        <v>0</v>
      </c>
      <c r="T23" s="64">
        <f t="shared" ca="1" si="16"/>
        <v>0</v>
      </c>
      <c r="U23" s="64">
        <f t="shared" ca="1" si="16"/>
        <v>0</v>
      </c>
      <c r="V23" s="64">
        <f t="shared" ca="1" si="16"/>
        <v>0</v>
      </c>
      <c r="W23" s="64">
        <f t="shared" ca="1" si="16"/>
        <v>0</v>
      </c>
      <c r="X23" s="64">
        <f t="shared" ca="1" si="16"/>
        <v>0</v>
      </c>
      <c r="Y23" s="64">
        <f t="shared" ca="1" si="16"/>
        <v>0</v>
      </c>
      <c r="Z23" s="64">
        <f t="shared" ca="1" si="16"/>
        <v>0</v>
      </c>
      <c r="AA23" s="64">
        <f t="shared" ca="1" si="16"/>
        <v>0</v>
      </c>
      <c r="AB23" s="118">
        <f t="shared" ca="1" si="11"/>
        <v>0</v>
      </c>
      <c r="AC23" s="119">
        <f t="shared" ca="1" si="8"/>
        <v>0</v>
      </c>
      <c r="AD23" s="119">
        <f t="shared" ca="1" si="9"/>
        <v>0</v>
      </c>
      <c r="AE23" s="119">
        <v>-0.5</v>
      </c>
      <c r="AF23" s="119">
        <v>0.5</v>
      </c>
      <c r="AG23" s="119">
        <v>0</v>
      </c>
      <c r="AH23" s="120">
        <f t="shared" ca="1" si="10"/>
        <v>0</v>
      </c>
      <c r="AI23" s="115">
        <f t="shared" ca="1" si="12"/>
        <v>0</v>
      </c>
      <c r="AJ23" s="116">
        <f t="shared" ca="1" si="12"/>
        <v>0</v>
      </c>
      <c r="AK23" s="116">
        <f t="shared" ca="1" si="12"/>
        <v>0</v>
      </c>
      <c r="AL23" s="116">
        <f t="shared" ca="1" si="12"/>
        <v>0</v>
      </c>
      <c r="AM23" s="116">
        <f t="shared" ca="1" si="12"/>
        <v>0</v>
      </c>
      <c r="AN23" s="116">
        <f t="shared" ca="1" si="12"/>
        <v>0</v>
      </c>
      <c r="AO23" s="116">
        <f t="shared" ca="1" si="12"/>
        <v>0</v>
      </c>
      <c r="AP23" s="116">
        <f t="shared" ca="1" si="12"/>
        <v>0</v>
      </c>
      <c r="AQ23" s="116">
        <f t="shared" ca="1" si="13"/>
        <v>0</v>
      </c>
      <c r="AR23" s="116">
        <f t="shared" ca="1" si="13"/>
        <v>0</v>
      </c>
      <c r="AS23" s="116">
        <f t="shared" ca="1" si="13"/>
        <v>0</v>
      </c>
      <c r="AT23" s="116">
        <f t="shared" ca="1" si="13"/>
        <v>0</v>
      </c>
      <c r="AU23" s="117">
        <f t="shared" ca="1" si="14"/>
        <v>0</v>
      </c>
    </row>
    <row r="24" spans="2:47" ht="15" customHeight="1" thickBot="1" x14ac:dyDescent="0.25">
      <c r="B24" s="65" t="s">
        <v>25</v>
      </c>
      <c r="C24" s="67" t="s">
        <v>33</v>
      </c>
      <c r="D24" s="64">
        <f t="shared" ca="1" si="15"/>
        <v>0</v>
      </c>
      <c r="E24" s="64">
        <f t="shared" ca="1" si="15"/>
        <v>0</v>
      </c>
      <c r="F24" s="64">
        <f t="shared" ca="1" si="15"/>
        <v>0</v>
      </c>
      <c r="G24" s="64">
        <f t="shared" ca="1" si="15"/>
        <v>0</v>
      </c>
      <c r="H24" s="64">
        <f t="shared" ca="1" si="15"/>
        <v>0</v>
      </c>
      <c r="I24" s="64">
        <f t="shared" ca="1" si="15"/>
        <v>0</v>
      </c>
      <c r="J24" s="64">
        <f t="shared" ca="1" si="15"/>
        <v>0</v>
      </c>
      <c r="K24" s="64">
        <f t="shared" ca="1" si="15"/>
        <v>0</v>
      </c>
      <c r="L24" s="64">
        <f t="shared" ca="1" si="15"/>
        <v>0</v>
      </c>
      <c r="M24" s="64">
        <f t="shared" ca="1" si="15"/>
        <v>0</v>
      </c>
      <c r="N24" s="64">
        <f t="shared" ca="1" si="16"/>
        <v>0</v>
      </c>
      <c r="O24" s="64">
        <f t="shared" ca="1" si="16"/>
        <v>829.70368000000008</v>
      </c>
      <c r="P24" s="64">
        <f t="shared" ca="1" si="16"/>
        <v>0</v>
      </c>
      <c r="Q24" s="64">
        <f t="shared" ca="1" si="16"/>
        <v>0</v>
      </c>
      <c r="R24" s="64">
        <f t="shared" ca="1" si="16"/>
        <v>0</v>
      </c>
      <c r="S24" s="64">
        <f t="shared" ca="1" si="16"/>
        <v>0</v>
      </c>
      <c r="T24" s="64">
        <f t="shared" ca="1" si="16"/>
        <v>0</v>
      </c>
      <c r="U24" s="64">
        <f t="shared" ca="1" si="16"/>
        <v>0</v>
      </c>
      <c r="V24" s="64">
        <f t="shared" ca="1" si="16"/>
        <v>0</v>
      </c>
      <c r="W24" s="64">
        <f t="shared" ca="1" si="16"/>
        <v>0</v>
      </c>
      <c r="X24" s="64">
        <f t="shared" ca="1" si="16"/>
        <v>0</v>
      </c>
      <c r="Y24" s="64">
        <f t="shared" ca="1" si="16"/>
        <v>0</v>
      </c>
      <c r="Z24" s="64">
        <f t="shared" ca="1" si="16"/>
        <v>0</v>
      </c>
      <c r="AA24" s="64">
        <f t="shared" ca="1" si="16"/>
        <v>1121.2223899999999</v>
      </c>
      <c r="AB24" s="118">
        <f t="shared" ca="1" si="11"/>
        <v>1121.2223899999999</v>
      </c>
      <c r="AC24" s="119">
        <f t="shared" ca="1" si="8"/>
        <v>0.35135279862805935</v>
      </c>
      <c r="AD24" s="119">
        <f t="shared" ca="1" si="9"/>
        <v>0.35135279862805935</v>
      </c>
      <c r="AE24" s="119">
        <v>-0.5</v>
      </c>
      <c r="AF24" s="119">
        <v>0.5</v>
      </c>
      <c r="AG24" s="119">
        <v>-1</v>
      </c>
      <c r="AH24" s="120">
        <f t="shared" ca="1" si="10"/>
        <v>-1</v>
      </c>
      <c r="AI24" s="115">
        <f t="shared" ca="1" si="12"/>
        <v>0</v>
      </c>
      <c r="AJ24" s="116">
        <f t="shared" ca="1" si="12"/>
        <v>0</v>
      </c>
      <c r="AK24" s="116">
        <f t="shared" ca="1" si="12"/>
        <v>0</v>
      </c>
      <c r="AL24" s="116">
        <f t="shared" ca="1" si="12"/>
        <v>0</v>
      </c>
      <c r="AM24" s="116">
        <f t="shared" ca="1" si="12"/>
        <v>0</v>
      </c>
      <c r="AN24" s="116">
        <f t="shared" ca="1" si="12"/>
        <v>0</v>
      </c>
      <c r="AO24" s="116">
        <f t="shared" ca="1" si="12"/>
        <v>0</v>
      </c>
      <c r="AP24" s="116">
        <f t="shared" ca="1" si="12"/>
        <v>0</v>
      </c>
      <c r="AQ24" s="116">
        <f t="shared" ca="1" si="13"/>
        <v>0</v>
      </c>
      <c r="AR24" s="116">
        <f t="shared" ca="1" si="13"/>
        <v>0</v>
      </c>
      <c r="AS24" s="116">
        <f t="shared" ca="1" si="13"/>
        <v>0</v>
      </c>
      <c r="AT24" s="116">
        <f t="shared" ca="1" si="13"/>
        <v>0</v>
      </c>
      <c r="AU24" s="117">
        <f t="shared" ca="1" si="14"/>
        <v>0</v>
      </c>
    </row>
    <row r="25" spans="2:47" ht="15" customHeight="1" thickBot="1" x14ac:dyDescent="0.25">
      <c r="B25" s="121" t="s">
        <v>34</v>
      </c>
      <c r="C25" s="122" t="s">
        <v>35</v>
      </c>
      <c r="D25" s="64">
        <f t="shared" ca="1" si="15"/>
        <v>0</v>
      </c>
      <c r="E25" s="64">
        <f t="shared" ca="1" si="15"/>
        <v>0</v>
      </c>
      <c r="F25" s="64">
        <f t="shared" ca="1" si="15"/>
        <v>0</v>
      </c>
      <c r="G25" s="64">
        <f t="shared" ca="1" si="15"/>
        <v>0</v>
      </c>
      <c r="H25" s="64">
        <f t="shared" ca="1" si="15"/>
        <v>0</v>
      </c>
      <c r="I25" s="64">
        <f t="shared" ca="1" si="15"/>
        <v>0</v>
      </c>
      <c r="J25" s="64">
        <f t="shared" ca="1" si="15"/>
        <v>0</v>
      </c>
      <c r="K25" s="64">
        <f t="shared" ca="1" si="15"/>
        <v>0</v>
      </c>
      <c r="L25" s="64">
        <f t="shared" ca="1" si="15"/>
        <v>0</v>
      </c>
      <c r="M25" s="64">
        <f t="shared" ca="1" si="15"/>
        <v>0</v>
      </c>
      <c r="N25" s="64">
        <f t="shared" ca="1" si="16"/>
        <v>0</v>
      </c>
      <c r="O25" s="64">
        <f t="shared" ca="1" si="16"/>
        <v>0</v>
      </c>
      <c r="P25" s="64">
        <f t="shared" ca="1" si="16"/>
        <v>0</v>
      </c>
      <c r="Q25" s="64">
        <f t="shared" ca="1" si="16"/>
        <v>0</v>
      </c>
      <c r="R25" s="64">
        <f t="shared" ca="1" si="16"/>
        <v>0</v>
      </c>
      <c r="S25" s="64">
        <f t="shared" ca="1" si="16"/>
        <v>0</v>
      </c>
      <c r="T25" s="64">
        <f t="shared" ca="1" si="16"/>
        <v>0</v>
      </c>
      <c r="U25" s="64">
        <f t="shared" ca="1" si="16"/>
        <v>0</v>
      </c>
      <c r="V25" s="64">
        <f t="shared" ca="1" si="16"/>
        <v>0</v>
      </c>
      <c r="W25" s="64">
        <f t="shared" ca="1" si="16"/>
        <v>0</v>
      </c>
      <c r="X25" s="64">
        <f t="shared" ca="1" si="16"/>
        <v>0</v>
      </c>
      <c r="Y25" s="64">
        <f t="shared" ca="1" si="16"/>
        <v>0</v>
      </c>
      <c r="Z25" s="64">
        <f t="shared" ca="1" si="16"/>
        <v>0</v>
      </c>
      <c r="AA25" s="64">
        <f t="shared" ca="1" si="16"/>
        <v>0</v>
      </c>
      <c r="AB25" s="123">
        <f t="shared" ca="1" si="11"/>
        <v>0</v>
      </c>
      <c r="AC25" s="119">
        <f t="shared" ca="1" si="8"/>
        <v>0</v>
      </c>
      <c r="AD25" s="119">
        <f t="shared" ca="1" si="9"/>
        <v>0</v>
      </c>
      <c r="AE25" s="119">
        <v>-0.5</v>
      </c>
      <c r="AF25" s="119">
        <v>0.5</v>
      </c>
      <c r="AG25" s="119">
        <v>0</v>
      </c>
      <c r="AH25" s="120">
        <f t="shared" ca="1" si="10"/>
        <v>0</v>
      </c>
      <c r="AI25" s="124">
        <f t="shared" ca="1" si="12"/>
        <v>0</v>
      </c>
      <c r="AJ25" s="125">
        <f t="shared" ca="1" si="12"/>
        <v>0</v>
      </c>
      <c r="AK25" s="125">
        <f t="shared" ca="1" si="12"/>
        <v>0</v>
      </c>
      <c r="AL25" s="125">
        <f t="shared" ca="1" si="12"/>
        <v>0</v>
      </c>
      <c r="AM25" s="125">
        <f t="shared" ca="1" si="12"/>
        <v>0</v>
      </c>
      <c r="AN25" s="125">
        <f t="shared" ca="1" si="12"/>
        <v>0</v>
      </c>
      <c r="AO25" s="125">
        <f t="shared" ca="1" si="12"/>
        <v>0</v>
      </c>
      <c r="AP25" s="125">
        <f t="shared" ca="1" si="12"/>
        <v>0</v>
      </c>
      <c r="AQ25" s="125">
        <f t="shared" ref="AQ25:AT25" ca="1" si="17">$AB25*(1+$AH25)/12</f>
        <v>0</v>
      </c>
      <c r="AR25" s="125">
        <f t="shared" ca="1" si="17"/>
        <v>0</v>
      </c>
      <c r="AS25" s="125">
        <f t="shared" ca="1" si="17"/>
        <v>0</v>
      </c>
      <c r="AT25" s="125">
        <f t="shared" ca="1" si="17"/>
        <v>0</v>
      </c>
      <c r="AU25" s="126">
        <f t="shared" ca="1" si="14"/>
        <v>0</v>
      </c>
    </row>
    <row r="26" spans="2:47" ht="15" customHeight="1" thickBot="1" x14ac:dyDescent="0.25">
      <c r="B26" s="229" t="s">
        <v>2</v>
      </c>
      <c r="C26" s="230"/>
      <c r="D26" s="68">
        <f ca="1">SUM(D9:D25)</f>
        <v>12847.53659</v>
      </c>
      <c r="E26" s="69">
        <f t="shared" ref="E26:AA26" ca="1" si="18">SUM(E9:E25)</f>
        <v>13229.773969999998</v>
      </c>
      <c r="F26" s="69">
        <f t="shared" ca="1" si="18"/>
        <v>11770.315040000001</v>
      </c>
      <c r="G26" s="69">
        <f t="shared" ca="1" si="18"/>
        <v>10744.750699999999</v>
      </c>
      <c r="H26" s="69">
        <f t="shared" ca="1" si="18"/>
        <v>11396.610640000001</v>
      </c>
      <c r="I26" s="69">
        <f t="shared" ca="1" si="18"/>
        <v>11167.924559999999</v>
      </c>
      <c r="J26" s="69">
        <f t="shared" ca="1" si="18"/>
        <v>10721.521790000001</v>
      </c>
      <c r="K26" s="69">
        <f t="shared" ca="1" si="18"/>
        <v>9898.4798599999995</v>
      </c>
      <c r="L26" s="69">
        <f t="shared" ca="1" si="18"/>
        <v>10468.124069999998</v>
      </c>
      <c r="M26" s="69">
        <f t="shared" ca="1" si="18"/>
        <v>10678.36033</v>
      </c>
      <c r="N26" s="69">
        <f t="shared" ca="1" si="18"/>
        <v>13640.302119999998</v>
      </c>
      <c r="O26" s="69">
        <f t="shared" ca="1" si="18"/>
        <v>15310.199950000002</v>
      </c>
      <c r="P26" s="69">
        <f t="shared" ca="1" si="18"/>
        <v>12487.978610000002</v>
      </c>
      <c r="Q26" s="69">
        <f t="shared" ca="1" si="18"/>
        <v>12008.908149999999</v>
      </c>
      <c r="R26" s="69">
        <f t="shared" ca="1" si="18"/>
        <v>11653.58388</v>
      </c>
      <c r="S26" s="69">
        <f t="shared" ca="1" si="18"/>
        <v>11673.80755</v>
      </c>
      <c r="T26" s="69">
        <f t="shared" ca="1" si="18"/>
        <v>11775.082060000001</v>
      </c>
      <c r="U26" s="69">
        <f t="shared" ca="1" si="18"/>
        <v>12905.905240000002</v>
      </c>
      <c r="V26" s="69">
        <f t="shared" ca="1" si="18"/>
        <v>12175.346459999997</v>
      </c>
      <c r="W26" s="69">
        <f t="shared" ca="1" si="18"/>
        <v>11929.421759999999</v>
      </c>
      <c r="X26" s="69">
        <f t="shared" ca="1" si="18"/>
        <v>12831.687309999998</v>
      </c>
      <c r="Y26" s="69">
        <f t="shared" ca="1" si="18"/>
        <v>12259.901970000001</v>
      </c>
      <c r="Z26" s="69">
        <f t="shared" ca="1" si="18"/>
        <v>15652.715370000002</v>
      </c>
      <c r="AA26" s="69">
        <f t="shared" ca="1" si="18"/>
        <v>18627.123329999995</v>
      </c>
      <c r="AB26" s="127">
        <f ca="1">SUM(AB9:AB25)</f>
        <v>155981.46169000005</v>
      </c>
      <c r="AC26" s="128">
        <f ca="1">IF(SUM(J26:O26)+SUM(V26:AA26)&lt;0.001,0,IF(SUM(J26:O26)&lt;0.001,1,IF(SUM(V26:AA26)&lt;0.001,-1,SUM(V26:AA26)/(SUM(J26:O26))-1)))</f>
        <v>0.18042635043150912</v>
      </c>
      <c r="AD26" s="129">
        <f ca="1">IF(SUM(D26:O26)+SUM(P26:AA26)&lt;0.001,0,IF(SUM(D26:O26)&lt;0.001,1,IF(SUM(P26:AA26)&lt;0.001,-1,SUM(P26:AA26)/(SUM(D26:O26))-1)))</f>
        <v>9.9437332080010821E-2</v>
      </c>
      <c r="AE26" s="129">
        <f ca="1">AVERAGE(AE9:AE25)</f>
        <v>-0.44117647058823528</v>
      </c>
      <c r="AF26" s="129">
        <f ca="1">AVERAGE(AF9:AF25)</f>
        <v>0.5</v>
      </c>
      <c r="AG26" s="130" t="s">
        <v>48</v>
      </c>
      <c r="AH26" s="131">
        <f ca="1">IF(AB26&lt;&gt;0,AU26/AB26-1,0)</f>
        <v>0.20709329148878886</v>
      </c>
      <c r="AI26" s="132">
        <f t="shared" ref="AI26:AP26" ca="1" si="19">SUM(AI9:AI25)</f>
        <v>18531.400650458123</v>
      </c>
      <c r="AJ26" s="132">
        <f t="shared" ca="1" si="19"/>
        <v>16839.14018936898</v>
      </c>
      <c r="AK26" s="132">
        <f t="shared" ca="1" si="19"/>
        <v>15146.879728279831</v>
      </c>
      <c r="AL26" s="132">
        <f t="shared" ca="1" si="19"/>
        <v>13289.670879790689</v>
      </c>
      <c r="AM26" s="132">
        <f t="shared" ca="1" si="19"/>
        <v>13207.196686090687</v>
      </c>
      <c r="AN26" s="132">
        <f t="shared" ca="1" si="19"/>
        <v>11432.462031301538</v>
      </c>
      <c r="AO26" s="132">
        <f t="shared" ca="1" si="19"/>
        <v>11514.936225001538</v>
      </c>
      <c r="AP26" s="132">
        <f t="shared" ca="1" si="19"/>
        <v>11597.410418701538</v>
      </c>
      <c r="AQ26" s="132">
        <f t="shared" ref="AQ26:AT26" ca="1" si="20">SUM(AQ9:AQ25)</f>
        <v>13454.619267190688</v>
      </c>
      <c r="AR26" s="132">
        <f t="shared" ca="1" si="20"/>
        <v>17004.08857676898</v>
      </c>
      <c r="AS26" s="132">
        <f t="shared" ca="1" si="20"/>
        <v>20800.980467447269</v>
      </c>
      <c r="AT26" s="132">
        <f t="shared" ca="1" si="20"/>
        <v>25465.39088221471</v>
      </c>
      <c r="AU26" s="132">
        <f ca="1">SUM(AU9:AU25)</f>
        <v>188284.17600261458</v>
      </c>
    </row>
    <row r="27" spans="2:47" ht="15" customHeight="1" x14ac:dyDescent="0.2"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</row>
    <row r="28" spans="2:47" ht="15" customHeight="1" x14ac:dyDescent="0.2">
      <c r="D28" s="134"/>
      <c r="AA28" s="75"/>
      <c r="AB28" s="75"/>
      <c r="AC28" s="75"/>
    </row>
    <row r="29" spans="2:47" ht="15" customHeight="1" x14ac:dyDescent="0.2">
      <c r="AA29" s="75"/>
      <c r="AB29" s="75"/>
      <c r="AC29" s="75"/>
    </row>
    <row r="30" spans="2:47" ht="15" customHeight="1" x14ac:dyDescent="0.2">
      <c r="AA30" s="75"/>
      <c r="AB30" s="75"/>
      <c r="AC30" s="75"/>
    </row>
    <row r="31" spans="2:47" ht="15" customHeight="1" x14ac:dyDescent="0.2">
      <c r="AA31" s="75"/>
      <c r="AB31" s="75"/>
      <c r="AC31" s="75"/>
    </row>
    <row r="32" spans="2:47" ht="15" customHeight="1" x14ac:dyDescent="0.2">
      <c r="AA32" s="75"/>
      <c r="AB32" s="75"/>
      <c r="AC32" s="75"/>
    </row>
    <row r="33" spans="27:29" ht="15" customHeight="1" x14ac:dyDescent="0.2">
      <c r="AA33" s="75"/>
      <c r="AB33" s="75"/>
      <c r="AC33" s="75"/>
    </row>
    <row r="34" spans="27:29" ht="15" customHeight="1" x14ac:dyDescent="0.2">
      <c r="AA34" s="75"/>
      <c r="AB34" s="75"/>
      <c r="AC34" s="75"/>
    </row>
    <row r="35" spans="27:29" ht="15" customHeight="1" x14ac:dyDescent="0.2">
      <c r="AA35" s="75"/>
      <c r="AB35" s="75"/>
      <c r="AC35" s="75"/>
    </row>
    <row r="36" spans="27:29" ht="15" customHeight="1" x14ac:dyDescent="0.2">
      <c r="AA36" s="75"/>
      <c r="AB36" s="75"/>
      <c r="AC36" s="75"/>
    </row>
    <row r="37" spans="27:29" ht="15" customHeight="1" x14ac:dyDescent="0.2">
      <c r="AA37" s="75"/>
      <c r="AB37" s="75"/>
      <c r="AC37" s="75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zoomScale="85" zoomScaleNormal="85" workbookViewId="0">
      <selection activeCell="AZ26" sqref="AZ26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46" width="12.7109375" style="73" hidden="1" customWidth="1" outlineLevel="1"/>
    <col min="47" max="47" width="12.7109375" style="73" customWidth="1" collapsed="1"/>
    <col min="48" max="211" width="9.140625" style="73"/>
    <col min="212" max="16384" width="9.140625" style="94"/>
  </cols>
  <sheetData>
    <row r="1" spans="1:50" ht="10.35" customHeight="1" thickBot="1" x14ac:dyDescent="0.25"/>
    <row r="2" spans="1:50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  <c r="AI2" s="87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88" t="s">
        <v>38</v>
      </c>
    </row>
    <row r="3" spans="1:50" ht="15" customHeight="1" x14ac:dyDescent="0.2">
      <c r="B3" s="89" t="s">
        <v>121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  <c r="AI3" s="100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9"/>
    </row>
    <row r="4" spans="1:5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9"/>
    </row>
    <row r="5" spans="1:50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  <c r="AI5" s="103"/>
      <c r="AJ5" s="103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9"/>
    </row>
    <row r="6" spans="1:50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  <c r="AI6" s="54">
        <f ca="1">AA7+1</f>
        <v>43647</v>
      </c>
      <c r="AJ6" s="55">
        <f ca="1">AI7+1</f>
        <v>43678</v>
      </c>
      <c r="AK6" s="55">
        <f ca="1">AJ7+1</f>
        <v>43709</v>
      </c>
      <c r="AL6" s="55">
        <f ca="1">AK7+1</f>
        <v>43739</v>
      </c>
      <c r="AM6" s="55">
        <f ca="1">AL7+1</f>
        <v>43770</v>
      </c>
      <c r="AN6" s="55">
        <f t="shared" ref="AN6:AT6" ca="1" si="1">AM7+1</f>
        <v>43800</v>
      </c>
      <c r="AO6" s="55">
        <f t="shared" ca="1" si="1"/>
        <v>43831</v>
      </c>
      <c r="AP6" s="55">
        <f t="shared" ca="1" si="1"/>
        <v>43862</v>
      </c>
      <c r="AQ6" s="55">
        <f t="shared" ca="1" si="1"/>
        <v>43890</v>
      </c>
      <c r="AR6" s="55">
        <f t="shared" ca="1" si="1"/>
        <v>43918</v>
      </c>
      <c r="AS6" s="55">
        <f t="shared" ca="1" si="1"/>
        <v>43949</v>
      </c>
      <c r="AT6" s="105">
        <f t="shared" ca="1" si="1"/>
        <v>43979</v>
      </c>
      <c r="AU6" s="227"/>
    </row>
    <row r="7" spans="1:50" s="49" customFormat="1" ht="12" customHeight="1" thickBot="1" x14ac:dyDescent="0.25">
      <c r="A7" s="47"/>
      <c r="B7" s="237"/>
      <c r="C7" s="238"/>
      <c r="D7" s="56">
        <f t="shared" ref="D7:Z7" ca="1" si="2">E6-1</f>
        <v>42947</v>
      </c>
      <c r="E7" s="57">
        <f t="shared" ca="1" si="2"/>
        <v>42978</v>
      </c>
      <c r="F7" s="57">
        <f t="shared" ca="1" si="2"/>
        <v>43008</v>
      </c>
      <c r="G7" s="57">
        <f t="shared" ca="1" si="2"/>
        <v>43039</v>
      </c>
      <c r="H7" s="57">
        <f t="shared" ca="1" si="2"/>
        <v>43069</v>
      </c>
      <c r="I7" s="57">
        <f t="shared" ca="1" si="2"/>
        <v>43100</v>
      </c>
      <c r="J7" s="57">
        <f t="shared" ca="1" si="2"/>
        <v>43131</v>
      </c>
      <c r="K7" s="57">
        <f t="shared" ca="1" si="2"/>
        <v>43159</v>
      </c>
      <c r="L7" s="57">
        <f t="shared" ca="1" si="2"/>
        <v>43190</v>
      </c>
      <c r="M7" s="57">
        <f t="shared" ca="1" si="2"/>
        <v>43220</v>
      </c>
      <c r="N7" s="57">
        <f t="shared" ca="1" si="2"/>
        <v>43251</v>
      </c>
      <c r="O7" s="57">
        <f t="shared" ca="1" si="2"/>
        <v>43281</v>
      </c>
      <c r="P7" s="57">
        <f t="shared" ca="1" si="2"/>
        <v>43312</v>
      </c>
      <c r="Q7" s="57">
        <f t="shared" ca="1" si="2"/>
        <v>43343</v>
      </c>
      <c r="R7" s="57">
        <f t="shared" ca="1" si="2"/>
        <v>43373</v>
      </c>
      <c r="S7" s="57">
        <f t="shared" ca="1" si="2"/>
        <v>43404</v>
      </c>
      <c r="T7" s="57">
        <f t="shared" ca="1" si="2"/>
        <v>43434</v>
      </c>
      <c r="U7" s="57">
        <f t="shared" ca="1" si="2"/>
        <v>43465</v>
      </c>
      <c r="V7" s="57">
        <f t="shared" ca="1" si="2"/>
        <v>43496</v>
      </c>
      <c r="W7" s="57">
        <f t="shared" ca="1" si="2"/>
        <v>43524</v>
      </c>
      <c r="X7" s="57">
        <f t="shared" ca="1" si="2"/>
        <v>43555</v>
      </c>
      <c r="Y7" s="57">
        <f t="shared" ca="1" si="2"/>
        <v>43585</v>
      </c>
      <c r="Z7" s="57">
        <f t="shared" ca="1" si="2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  <c r="AI7" s="56">
        <f ca="1">AI6+IF(MONTH(AI6)=2,IF(OR(YEAR(AI6)=2008,YEAR(AI6)=2012,YEAR(AI6)=2016),29,28),IF(OR(MONTH(AI6)=4,MONTH(AI6)=6,MONTH(AI6)=9,MONTH(AI6)=11),30,31))-1</f>
        <v>43677</v>
      </c>
      <c r="AJ7" s="57">
        <f ca="1">AJ6+IF(MONTH(AJ6)=2,IF(OR(YEAR(AJ6)=2008,YEAR(AJ6)=2012,YEAR(AJ6)=2016),29,28),IF(OR(MONTH(AJ6)=4,MONTH(AJ6)=6,MONTH(AJ6)=9,MONTH(AJ6)=11),30,31))-1</f>
        <v>43708</v>
      </c>
      <c r="AK7" s="57">
        <f ca="1">AK6+IF(MONTH(AK6)=2,IF(OR(YEAR(AK6)=2008,YEAR(AK6)=2012,YEAR(AK6)=2016),29,28),IF(OR(MONTH(AK6)=4,MONTH(AK6)=6,MONTH(AK6)=9,MONTH(AK6)=11),30,31))-1</f>
        <v>43738</v>
      </c>
      <c r="AL7" s="57">
        <f ca="1">AL6+IF(MONTH(AL6)=2,IF(OR(YEAR(AL6)=2008,YEAR(AL6)=2012,YEAR(AL6)=2016),29,28),IF(OR(MONTH(AL6)=4,MONTH(AL6)=6,MONTH(AL6)=9,MONTH(AL6)=11),30,31))-1</f>
        <v>43769</v>
      </c>
      <c r="AM7" s="57">
        <f ca="1">AM6+IF(MONTH(AM6)=2,IF(OR(YEAR(AM6)=2008,YEAR(AM6)=2012,YEAR(AM6)=2016),29,28),IF(OR(MONTH(AM6)=4,MONTH(AM6)=6,MONTH(AM6)=9,MONTH(AM6)=11),30,31))-1</f>
        <v>43799</v>
      </c>
      <c r="AN7" s="57">
        <f t="shared" ref="AN7:AT7" ca="1" si="3">AN6+IF(MONTH(AN6)=2,IF(OR(YEAR(AN6)=2008,YEAR(AN6)=2012,YEAR(AN6)=2016),29,28),IF(OR(MONTH(AN6)=4,MONTH(AN6)=6,MONTH(AN6)=9,MONTH(AN6)=11),30,31))-1</f>
        <v>43830</v>
      </c>
      <c r="AO7" s="57">
        <f t="shared" ca="1" si="3"/>
        <v>43861</v>
      </c>
      <c r="AP7" s="57">
        <f t="shared" ca="1" si="3"/>
        <v>43889</v>
      </c>
      <c r="AQ7" s="57">
        <f t="shared" ca="1" si="3"/>
        <v>43917</v>
      </c>
      <c r="AR7" s="57">
        <f t="shared" ca="1" si="3"/>
        <v>43948</v>
      </c>
      <c r="AS7" s="57">
        <f t="shared" ca="1" si="3"/>
        <v>43978</v>
      </c>
      <c r="AT7" s="106">
        <f t="shared" ca="1" si="3"/>
        <v>44009</v>
      </c>
      <c r="AU7" s="228"/>
    </row>
    <row r="8" spans="1:50" s="49" customFormat="1" ht="12" customHeight="1" thickBot="1" x14ac:dyDescent="0.25">
      <c r="B8" s="31" t="s">
        <v>0</v>
      </c>
      <c r="C8" s="32" t="s">
        <v>46</v>
      </c>
      <c r="D8" s="58">
        <f t="shared" ref="D8:AA8" ca="1" si="4">D6</f>
        <v>42917</v>
      </c>
      <c r="E8" s="59">
        <f t="shared" ca="1" si="4"/>
        <v>42948</v>
      </c>
      <c r="F8" s="59">
        <f t="shared" ca="1" si="4"/>
        <v>42979</v>
      </c>
      <c r="G8" s="60">
        <f t="shared" ca="1" si="4"/>
        <v>43009</v>
      </c>
      <c r="H8" s="60">
        <f t="shared" ca="1" si="4"/>
        <v>43040</v>
      </c>
      <c r="I8" s="60">
        <f t="shared" ca="1" si="4"/>
        <v>43070</v>
      </c>
      <c r="J8" s="60">
        <f t="shared" ca="1" si="4"/>
        <v>43101</v>
      </c>
      <c r="K8" s="60">
        <f t="shared" ca="1" si="4"/>
        <v>43132</v>
      </c>
      <c r="L8" s="60">
        <f t="shared" ca="1" si="4"/>
        <v>43160</v>
      </c>
      <c r="M8" s="60">
        <f t="shared" ca="1" si="4"/>
        <v>43191</v>
      </c>
      <c r="N8" s="60">
        <f t="shared" ca="1" si="4"/>
        <v>43221</v>
      </c>
      <c r="O8" s="60">
        <f t="shared" ca="1" si="4"/>
        <v>43252</v>
      </c>
      <c r="P8" s="60">
        <f t="shared" ca="1" si="4"/>
        <v>43282</v>
      </c>
      <c r="Q8" s="60">
        <f t="shared" ca="1" si="4"/>
        <v>43313</v>
      </c>
      <c r="R8" s="60">
        <f t="shared" ca="1" si="4"/>
        <v>43344</v>
      </c>
      <c r="S8" s="60">
        <f t="shared" ca="1" si="4"/>
        <v>43374</v>
      </c>
      <c r="T8" s="60">
        <f t="shared" ca="1" si="4"/>
        <v>43405</v>
      </c>
      <c r="U8" s="60">
        <f t="shared" ca="1" si="4"/>
        <v>43435</v>
      </c>
      <c r="V8" s="60">
        <f t="shared" ca="1" si="4"/>
        <v>43466</v>
      </c>
      <c r="W8" s="60">
        <f t="shared" ca="1" si="4"/>
        <v>43497</v>
      </c>
      <c r="X8" s="60">
        <f t="shared" ca="1" si="4"/>
        <v>43525</v>
      </c>
      <c r="Y8" s="60">
        <f t="shared" ca="1" si="4"/>
        <v>43556</v>
      </c>
      <c r="Z8" s="60">
        <f t="shared" ca="1" si="4"/>
        <v>43586</v>
      </c>
      <c r="AA8" s="60">
        <f t="shared" ca="1" si="4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  <c r="AI8" s="110">
        <f t="shared" ref="AI8:AT8" ca="1" si="5">AI6</f>
        <v>43647</v>
      </c>
      <c r="AJ8" s="110">
        <f t="shared" ca="1" si="5"/>
        <v>43678</v>
      </c>
      <c r="AK8" s="110">
        <f t="shared" ca="1" si="5"/>
        <v>43709</v>
      </c>
      <c r="AL8" s="110">
        <f t="shared" ca="1" si="5"/>
        <v>43739</v>
      </c>
      <c r="AM8" s="110">
        <f t="shared" ca="1" si="5"/>
        <v>43770</v>
      </c>
      <c r="AN8" s="110">
        <f t="shared" ca="1" si="5"/>
        <v>43800</v>
      </c>
      <c r="AO8" s="110">
        <f t="shared" ca="1" si="5"/>
        <v>43831</v>
      </c>
      <c r="AP8" s="110">
        <f t="shared" ca="1" si="5"/>
        <v>43862</v>
      </c>
      <c r="AQ8" s="110">
        <f t="shared" ca="1" si="5"/>
        <v>43890</v>
      </c>
      <c r="AR8" s="110">
        <f t="shared" ca="1" si="5"/>
        <v>43918</v>
      </c>
      <c r="AS8" s="110">
        <f t="shared" ca="1" si="5"/>
        <v>43949</v>
      </c>
      <c r="AT8" s="110">
        <f t="shared" ca="1" si="5"/>
        <v>43979</v>
      </c>
      <c r="AU8" s="111" t="s">
        <v>37</v>
      </c>
    </row>
    <row r="9" spans="1:50" ht="15" customHeight="1" thickBot="1" x14ac:dyDescent="0.25">
      <c r="B9" s="61" t="s">
        <v>57</v>
      </c>
      <c r="C9" s="63" t="s">
        <v>54</v>
      </c>
      <c r="D9" s="64">
        <f t="shared" ref="D9" ca="1" si="6">AbraBalance(URL,Username,Password,$C9,(D$6-1))/1000+AbraTurnover(URL,Username,Password,$C9,D$6,D$7)/1000</f>
        <v>10.712560000000003</v>
      </c>
      <c r="E9" s="64">
        <f t="shared" ref="E9:AA9" ca="1" si="7">D9+AbraTurnover(URL,Username,Password,$C9,E$6,E$7)/1000</f>
        <v>61.573660000000004</v>
      </c>
      <c r="F9" s="64">
        <f t="shared" ca="1" si="7"/>
        <v>53.408800000000006</v>
      </c>
      <c r="G9" s="64">
        <f t="shared" ca="1" si="7"/>
        <v>42.192260000000005</v>
      </c>
      <c r="H9" s="64">
        <f t="shared" ca="1" si="7"/>
        <v>42.53877</v>
      </c>
      <c r="I9" s="64">
        <f t="shared" ca="1" si="7"/>
        <v>22.380589999999998</v>
      </c>
      <c r="J9" s="64">
        <f t="shared" ca="1" si="7"/>
        <v>43.075019999999995</v>
      </c>
      <c r="K9" s="64">
        <f t="shared" ca="1" si="7"/>
        <v>8.476629999999993</v>
      </c>
      <c r="L9" s="64">
        <f t="shared" ca="1" si="7"/>
        <v>321.15125999999998</v>
      </c>
      <c r="M9" s="64">
        <f t="shared" ca="1" si="7"/>
        <v>317.30977999999999</v>
      </c>
      <c r="N9" s="64">
        <f t="shared" ca="1" si="7"/>
        <v>268.86129</v>
      </c>
      <c r="O9" s="64">
        <f t="shared" ca="1" si="7"/>
        <v>345.99271999999996</v>
      </c>
      <c r="P9" s="64">
        <f t="shared" ca="1" si="7"/>
        <v>347.33971999999994</v>
      </c>
      <c r="Q9" s="64">
        <f t="shared" ca="1" si="7"/>
        <v>336.27959999999996</v>
      </c>
      <c r="R9" s="64">
        <f t="shared" ca="1" si="7"/>
        <v>272.07304999999997</v>
      </c>
      <c r="S9" s="64">
        <f t="shared" ca="1" si="7"/>
        <v>239.81754999999998</v>
      </c>
      <c r="T9" s="64">
        <f t="shared" ca="1" si="7"/>
        <v>170.10674</v>
      </c>
      <c r="U9" s="64">
        <f t="shared" ca="1" si="7"/>
        <v>192.81210999999999</v>
      </c>
      <c r="V9" s="64">
        <f t="shared" ca="1" si="7"/>
        <v>136.12894999999997</v>
      </c>
      <c r="W9" s="64">
        <f t="shared" ca="1" si="7"/>
        <v>133.96609999999998</v>
      </c>
      <c r="X9" s="64">
        <f t="shared" ca="1" si="7"/>
        <v>112.33609999999999</v>
      </c>
      <c r="Y9" s="64">
        <f t="shared" ca="1" si="7"/>
        <v>71.837699999999984</v>
      </c>
      <c r="Z9" s="64">
        <f t="shared" ca="1" si="7"/>
        <v>48.017969999999984</v>
      </c>
      <c r="AA9" s="64">
        <f t="shared" ca="1" si="7"/>
        <v>52.395909999999986</v>
      </c>
      <c r="AB9" s="112" t="b">
        <f ca="1">Prodej!AC9=SUM(P9:AA9)</f>
        <v>0</v>
      </c>
      <c r="AC9" s="113">
        <f t="shared" ref="AC9:AC10" ca="1" si="8">IF(SUM(J9:O9)+SUM(V9:AA9)&lt;0.001,0,IF(SUM(J9:O9)&lt;0.001,1,IF(SUM(V9:AA9)&lt;0.001,-1,SUM(V9:AA9)/(SUM(J9:O9))-1)))</f>
        <v>-0.57491234162079552</v>
      </c>
      <c r="AD9" s="113">
        <f t="shared" ref="AD9:AD10" ca="1" si="9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10">IF($AG9&lt;&gt;"-",$AG9,IF($AC9&lt;$AE9,$AE9,IF($AC9&gt;$AF9,$AF9,$AC9)))</f>
        <v>-0.5</v>
      </c>
      <c r="AI9" s="209">
        <f ca="1">$AB9*(1+$AH9)*VLOOKUP(MONTH(AI$8),Sezona!$B$4:$C$15,2)</f>
        <v>0</v>
      </c>
      <c r="AJ9" s="210">
        <f ca="1">$AB9*(1+$AH9)*VLOOKUP(MONTH(AJ$8),Sezona!$B$4:$C$15,2)</f>
        <v>0</v>
      </c>
      <c r="AK9" s="210">
        <f ca="1">$AB9*(1+$AH9)*VLOOKUP(MONTH(AK$8),Sezona!$B$4:$C$15,2)</f>
        <v>0</v>
      </c>
      <c r="AL9" s="210">
        <f ca="1">$AB9*(1+$AH9)*VLOOKUP(MONTH(AL$8),Sezona!$B$4:$C$15,2)</f>
        <v>0</v>
      </c>
      <c r="AM9" s="210">
        <f ca="1">$AB9*(1+$AH9)*VLOOKUP(MONTH(AM$8),Sezona!$B$4:$C$15,2)</f>
        <v>0</v>
      </c>
      <c r="AN9" s="210">
        <f ca="1">$AB9*(1+$AH9)*VLOOKUP(MONTH(AN$8),Sezona!$B$4:$C$15,2)</f>
        <v>0</v>
      </c>
      <c r="AO9" s="210">
        <f ca="1">$AB9*(1+$AH9)*VLOOKUP(MONTH(AO$8),Sezona!$B$4:$C$15,2)</f>
        <v>0</v>
      </c>
      <c r="AP9" s="210">
        <f ca="1">$AB9*(1+$AH9)*VLOOKUP(MONTH(AP$8),Sezona!$B$4:$C$15,2)</f>
        <v>0</v>
      </c>
      <c r="AQ9" s="210">
        <f ca="1">$AB9*(1+$AH9)*VLOOKUP(MONTH(AQ$8),Sezona!$B$4:$C$15,2)</f>
        <v>0</v>
      </c>
      <c r="AR9" s="210">
        <f ca="1">$AB9*(1+$AH9)*VLOOKUP(MONTH(AR$8),Sezona!$B$4:$C$15,2)</f>
        <v>0</v>
      </c>
      <c r="AS9" s="210">
        <f ca="1">$AB9*(1+$AH9)*VLOOKUP(MONTH(AS$8),Sezona!$B$4:$C$15,2)</f>
        <v>0</v>
      </c>
      <c r="AT9" s="210">
        <f ca="1">$AB9*(1+$AH9)*VLOOKUP(MONTH(AT$8),Sezona!$B$4:$C$15,2)</f>
        <v>0</v>
      </c>
      <c r="AU9" s="211">
        <f ca="1">SUM(AI9:AT9)</f>
        <v>0</v>
      </c>
      <c r="AW9" s="49"/>
      <c r="AX9" s="49"/>
    </row>
    <row r="10" spans="1:50" ht="15" customHeight="1" thickBot="1" x14ac:dyDescent="0.25">
      <c r="B10" s="65" t="s">
        <v>56</v>
      </c>
      <c r="C10" s="67" t="s">
        <v>55</v>
      </c>
      <c r="D10" s="64">
        <f ca="1">AbraBalance(URL,Username,Password,$C10,(D$6-1))/1000+AbraTurnover(URL,Username,Password,$C10,D$6,D$7)/1000</f>
        <v>15716.93146</v>
      </c>
      <c r="E10" s="64">
        <f t="shared" ref="E10:AA10" ca="1" si="11">D10+AbraTurnover(URL,Username,Password,$C10,E$6,E$7)/1000</f>
        <v>18571.66964</v>
      </c>
      <c r="F10" s="64">
        <f t="shared" ca="1" si="11"/>
        <v>15291.10658</v>
      </c>
      <c r="G10" s="64">
        <f t="shared" ca="1" si="11"/>
        <v>20424.614979999998</v>
      </c>
      <c r="H10" s="64">
        <f t="shared" ca="1" si="11"/>
        <v>14515.519839999999</v>
      </c>
      <c r="I10" s="64">
        <f t="shared" ca="1" si="11"/>
        <v>16639.65667</v>
      </c>
      <c r="J10" s="64">
        <f t="shared" ca="1" si="11"/>
        <v>18011.578020000001</v>
      </c>
      <c r="K10" s="64">
        <f t="shared" ca="1" si="11"/>
        <v>18616.08986</v>
      </c>
      <c r="L10" s="64">
        <f t="shared" ca="1" si="11"/>
        <v>11184.99677</v>
      </c>
      <c r="M10" s="64">
        <f t="shared" ca="1" si="11"/>
        <v>15659.922739999998</v>
      </c>
      <c r="N10" s="64">
        <f t="shared" ca="1" si="11"/>
        <v>21827.447560000001</v>
      </c>
      <c r="O10" s="64">
        <f t="shared" ca="1" si="11"/>
        <v>18356.588179999999</v>
      </c>
      <c r="P10" s="64">
        <f t="shared" ca="1" si="11"/>
        <v>19102.793980000002</v>
      </c>
      <c r="Q10" s="64">
        <f t="shared" ca="1" si="11"/>
        <v>25107.210160000002</v>
      </c>
      <c r="R10" s="64">
        <f t="shared" ca="1" si="11"/>
        <v>14190.116700000002</v>
      </c>
      <c r="S10" s="64">
        <f t="shared" ca="1" si="11"/>
        <v>17659.187020000001</v>
      </c>
      <c r="T10" s="64">
        <f t="shared" ca="1" si="11"/>
        <v>18091.243040000001</v>
      </c>
      <c r="U10" s="64">
        <f t="shared" ca="1" si="11"/>
        <v>15257.758380000001</v>
      </c>
      <c r="V10" s="64">
        <f t="shared" ca="1" si="11"/>
        <v>17085.259860000002</v>
      </c>
      <c r="W10" s="64">
        <f t="shared" ca="1" si="11"/>
        <v>20762.54176</v>
      </c>
      <c r="X10" s="64">
        <f t="shared" ca="1" si="11"/>
        <v>18742.719420000001</v>
      </c>
      <c r="Y10" s="64">
        <f t="shared" ca="1" si="11"/>
        <v>22924.185080000003</v>
      </c>
      <c r="Z10" s="64">
        <f t="shared" ca="1" si="11"/>
        <v>24727.065860000002</v>
      </c>
      <c r="AA10" s="64">
        <f t="shared" ca="1" si="11"/>
        <v>9112.4349700000021</v>
      </c>
      <c r="AB10" s="118">
        <f ca="1">SUM(P10:AA10)</f>
        <v>222762.51623000001</v>
      </c>
      <c r="AC10" s="119">
        <f t="shared" ca="1" si="8"/>
        <v>9.3554888507586087E-2</v>
      </c>
      <c r="AD10" s="119">
        <f t="shared" ca="1" si="9"/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10"/>
        <v>9.3554888507586087E-2</v>
      </c>
      <c r="AI10" s="207">
        <f ca="1">$AB10*(1+$AH10)*VLOOKUP(MONTH(AI$8),Sezona!$E$4:$F$15,2)</f>
        <v>14616.18231597402</v>
      </c>
      <c r="AJ10" s="207">
        <f ca="1">$AB10*(1+$AH10)*VLOOKUP(MONTH(AJ$8),Sezona!$E$4:$F$15,2)</f>
        <v>14616.18231597402</v>
      </c>
      <c r="AK10" s="207">
        <f ca="1">$AB10*(1+$AH10)*VLOOKUP(MONTH(AK$8),Sezona!$E$4:$F$15,2)</f>
        <v>17052.212701969693</v>
      </c>
      <c r="AL10" s="207">
        <f ca="1">$AB10*(1+$AH10)*VLOOKUP(MONTH(AL$8),Sezona!$E$4:$F$15,2)</f>
        <v>21924.273473961028</v>
      </c>
      <c r="AM10" s="207">
        <f ca="1">$AB10*(1+$AH10)*VLOOKUP(MONTH(AM$8),Sezona!$E$4:$F$15,2)</f>
        <v>26796.33424595237</v>
      </c>
      <c r="AN10" s="207">
        <f ca="1">$AB10*(1+$AH10)*VLOOKUP(MONTH(AN$8),Sezona!$E$4:$F$15,2)</f>
        <v>34104.425403939385</v>
      </c>
      <c r="AO10" s="207">
        <f ca="1">$AB10*(1+$AH10)*VLOOKUP(MONTH(AO$8),Sezona!$E$4:$F$15,2)</f>
        <v>24360.303859956701</v>
      </c>
      <c r="AP10" s="207">
        <f ca="1">$AB10*(1+$AH10)*VLOOKUP(MONTH(AP$8),Sezona!$E$4:$F$15,2)</f>
        <v>21924.273473961028</v>
      </c>
      <c r="AQ10" s="207">
        <f ca="1">$AB10*(1+$AH10)*VLOOKUP(MONTH(AQ$8),Sezona!$E$4:$F$15,2)</f>
        <v>21924.273473961028</v>
      </c>
      <c r="AR10" s="207">
        <f ca="1">$AB10*(1+$AH10)*VLOOKUP(MONTH(AR$8),Sezona!$E$4:$F$15,2)</f>
        <v>19488.243087965358</v>
      </c>
      <c r="AS10" s="207">
        <f ca="1">$AB10*(1+$AH10)*VLOOKUP(MONTH(AS$8),Sezona!$E$4:$F$15,2)</f>
        <v>17052.212701969693</v>
      </c>
      <c r="AT10" s="207">
        <f ca="1">$AB10*(1+$AH10)*VLOOKUP(MONTH(AT$8),Sezona!$E$4:$F$15,2)</f>
        <v>17052.212701969693</v>
      </c>
      <c r="AU10" s="208">
        <f ca="1">SUM(AI10:AT10)</f>
        <v>250911.12975755398</v>
      </c>
    </row>
    <row r="11" spans="1:50" ht="15" customHeight="1" thickBot="1" x14ac:dyDescent="0.25">
      <c r="B11" s="229" t="s">
        <v>58</v>
      </c>
      <c r="C11" s="230"/>
      <c r="D11" s="68">
        <f t="shared" ref="D11:AB11" ca="1" si="12">SUM(D9:D10)</f>
        <v>15727.64402</v>
      </c>
      <c r="E11" s="69">
        <f t="shared" ca="1" si="12"/>
        <v>18633.243299999998</v>
      </c>
      <c r="F11" s="69">
        <f t="shared" ca="1" si="12"/>
        <v>15344.515379999999</v>
      </c>
      <c r="G11" s="69">
        <f t="shared" ca="1" si="12"/>
        <v>20466.807239999998</v>
      </c>
      <c r="H11" s="69">
        <f t="shared" ca="1" si="12"/>
        <v>14558.058609999998</v>
      </c>
      <c r="I11" s="69">
        <f t="shared" ca="1" si="12"/>
        <v>16662.037260000001</v>
      </c>
      <c r="J11" s="69">
        <f t="shared" ca="1" si="12"/>
        <v>18054.653040000001</v>
      </c>
      <c r="K11" s="69">
        <f t="shared" ca="1" si="12"/>
        <v>18624.566490000001</v>
      </c>
      <c r="L11" s="69">
        <f t="shared" ca="1" si="12"/>
        <v>11506.14803</v>
      </c>
      <c r="M11" s="69">
        <f t="shared" ca="1" si="12"/>
        <v>15977.232519999998</v>
      </c>
      <c r="N11" s="69">
        <f t="shared" ca="1" si="12"/>
        <v>22096.308850000001</v>
      </c>
      <c r="O11" s="69">
        <f t="shared" ca="1" si="12"/>
        <v>18702.580899999997</v>
      </c>
      <c r="P11" s="69">
        <f t="shared" ca="1" si="12"/>
        <v>19450.133700000002</v>
      </c>
      <c r="Q11" s="69">
        <f t="shared" ca="1" si="12"/>
        <v>25443.489760000004</v>
      </c>
      <c r="R11" s="69">
        <f t="shared" ca="1" si="12"/>
        <v>14462.189750000001</v>
      </c>
      <c r="S11" s="69">
        <f t="shared" ca="1" si="12"/>
        <v>17899.004570000001</v>
      </c>
      <c r="T11" s="69">
        <f t="shared" ca="1" si="12"/>
        <v>18261.34978</v>
      </c>
      <c r="U11" s="69">
        <f t="shared" ca="1" si="12"/>
        <v>15450.570490000002</v>
      </c>
      <c r="V11" s="69">
        <f t="shared" ca="1" si="12"/>
        <v>17221.38881</v>
      </c>
      <c r="W11" s="69">
        <f t="shared" ca="1" si="12"/>
        <v>20896.507860000002</v>
      </c>
      <c r="X11" s="69">
        <f t="shared" ca="1" si="12"/>
        <v>18855.055520000002</v>
      </c>
      <c r="Y11" s="69">
        <f t="shared" ca="1" si="12"/>
        <v>22996.022780000003</v>
      </c>
      <c r="Z11" s="69">
        <f t="shared" ca="1" si="12"/>
        <v>24775.083830000003</v>
      </c>
      <c r="AA11" s="69">
        <f t="shared" ca="1" si="12"/>
        <v>9164.8308800000013</v>
      </c>
      <c r="AB11" s="127">
        <f t="shared" ca="1" si="12"/>
        <v>222762.51623000001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IF(AB11&lt;&gt;0,AU11/AB11-1,0)</f>
        <v>0.12636153516281357</v>
      </c>
      <c r="AI11" s="132">
        <f t="shared" ref="AI11:AU11" ca="1" si="13">SUM(AI9:AI10)</f>
        <v>14616.18231597402</v>
      </c>
      <c r="AJ11" s="132">
        <f t="shared" ca="1" si="13"/>
        <v>14616.18231597402</v>
      </c>
      <c r="AK11" s="132">
        <f t="shared" ca="1" si="13"/>
        <v>17052.212701969693</v>
      </c>
      <c r="AL11" s="132">
        <f t="shared" ca="1" si="13"/>
        <v>21924.273473961028</v>
      </c>
      <c r="AM11" s="132">
        <f t="shared" ca="1" si="13"/>
        <v>26796.33424595237</v>
      </c>
      <c r="AN11" s="132">
        <f t="shared" ca="1" si="13"/>
        <v>34104.425403939385</v>
      </c>
      <c r="AO11" s="132">
        <f t="shared" ca="1" si="13"/>
        <v>24360.303859956701</v>
      </c>
      <c r="AP11" s="132">
        <f t="shared" ca="1" si="13"/>
        <v>21924.273473961028</v>
      </c>
      <c r="AQ11" s="132">
        <f t="shared" ca="1" si="13"/>
        <v>21924.273473961028</v>
      </c>
      <c r="AR11" s="132">
        <f t="shared" ca="1" si="13"/>
        <v>19488.243087965358</v>
      </c>
      <c r="AS11" s="132">
        <f t="shared" ca="1" si="13"/>
        <v>17052.212701969693</v>
      </c>
      <c r="AT11" s="132">
        <f t="shared" ca="1" si="13"/>
        <v>17052.212701969693</v>
      </c>
      <c r="AU11" s="132">
        <f t="shared" ca="1" si="13"/>
        <v>250911.12975755398</v>
      </c>
    </row>
    <row r="12" spans="1:50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9"/>
  <sheetViews>
    <sheetView zoomScale="85" zoomScaleNormal="85" zoomScalePageLayoutView="115" workbookViewId="0">
      <selection activeCell="AI22" sqref="AI2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12.7109375" style="72" customWidth="1"/>
    <col min="4" max="20" width="12.7109375" style="73" hidden="1" customWidth="1" outlineLevel="1"/>
    <col min="21" max="21" width="12.7109375" style="74" hidden="1" customWidth="1" outlineLevel="1"/>
    <col min="22" max="26" width="12.7109375" style="75" hidden="1" customWidth="1" outlineLevel="1"/>
    <col min="27" max="27" width="12.7109375" style="73" hidden="1" customWidth="1" outlineLevel="1"/>
    <col min="28" max="28" width="12.7109375" style="73" customWidth="1" collapsed="1"/>
    <col min="29" max="33" width="12.7109375" style="93" hidden="1" customWidth="1" outlineLevel="1"/>
    <col min="34" max="34" width="12.7109375" style="93" customWidth="1" collapsed="1"/>
    <col min="35" max="197" width="9.140625" style="73"/>
    <col min="198" max="16384" width="9.140625" style="94"/>
  </cols>
  <sheetData>
    <row r="1" spans="1:36" ht="10.35" customHeight="1" thickBot="1" x14ac:dyDescent="0.25"/>
    <row r="2" spans="1:36" ht="15" customHeight="1" x14ac:dyDescent="0.2">
      <c r="B2" s="95" t="s">
        <v>59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7"/>
      <c r="AC2" s="96"/>
      <c r="AD2" s="87"/>
      <c r="AE2" s="87"/>
      <c r="AF2" s="87"/>
      <c r="AG2" s="87"/>
      <c r="AH2" s="88" t="s">
        <v>40</v>
      </c>
    </row>
    <row r="3" spans="1:36" ht="15" customHeight="1" x14ac:dyDescent="0.2">
      <c r="B3" s="89" t="s">
        <v>52</v>
      </c>
      <c r="C3" s="27">
        <v>43646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9"/>
      <c r="AC3" s="98"/>
      <c r="AD3" s="90"/>
      <c r="AE3" s="90"/>
      <c r="AF3" s="90"/>
      <c r="AG3" s="90"/>
      <c r="AH3" s="91"/>
    </row>
    <row r="4" spans="1:36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9"/>
      <c r="AC4" s="98"/>
      <c r="AD4" s="90"/>
      <c r="AE4" s="90"/>
      <c r="AF4" s="90"/>
      <c r="AG4" s="90"/>
      <c r="AH4" s="91"/>
    </row>
    <row r="5" spans="1:36" ht="12" customHeight="1" thickBot="1" x14ac:dyDescent="0.25">
      <c r="B5" s="102"/>
      <c r="C5" s="103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104"/>
      <c r="AC5" s="98"/>
      <c r="AD5" s="90"/>
      <c r="AE5" s="90"/>
      <c r="AF5" s="90"/>
      <c r="AG5" s="90"/>
      <c r="AH5" s="91"/>
    </row>
    <row r="6" spans="1:36" s="49" customFormat="1" ht="12" customHeight="1" x14ac:dyDescent="0.2">
      <c r="A6" s="47"/>
      <c r="B6" s="235"/>
      <c r="C6" s="236"/>
      <c r="D6" s="54">
        <f ca="1">D7-IF(MONTH(D7)=2,IF(OR(YEAR(D7)=2008,YEAR(D7)=2012,YEAR(D7)=2016),29,28),IF(OR(MONTH(D7)=4,MONTH(D7)=6,MONTH(D7)=9,MONTH(D7)=11),30,31))+1</f>
        <v>42917</v>
      </c>
      <c r="E6" s="55">
        <f t="shared" ref="E6:AA6" ca="1" si="0">E7-IF(MONTH(E7)=2,IF(OR(YEAR(E7)=2008,YEAR(E7)=2012,YEAR(E7)=2016),29,28),IF(OR(MONTH(E7)=4,MONTH(E7)=6,MONTH(E7)=9,MONTH(E7)=11),30,31))+1</f>
        <v>42948</v>
      </c>
      <c r="F6" s="55">
        <f t="shared" ca="1" si="0"/>
        <v>42979</v>
      </c>
      <c r="G6" s="55">
        <f t="shared" ca="1" si="0"/>
        <v>43009</v>
      </c>
      <c r="H6" s="55">
        <f t="shared" ca="1" si="0"/>
        <v>43040</v>
      </c>
      <c r="I6" s="55">
        <f t="shared" ca="1" si="0"/>
        <v>43070</v>
      </c>
      <c r="J6" s="55">
        <f t="shared" ca="1" si="0"/>
        <v>43101</v>
      </c>
      <c r="K6" s="55">
        <f t="shared" ca="1" si="0"/>
        <v>43132</v>
      </c>
      <c r="L6" s="55">
        <f t="shared" ca="1" si="0"/>
        <v>43160</v>
      </c>
      <c r="M6" s="55">
        <f t="shared" ca="1" si="0"/>
        <v>43191</v>
      </c>
      <c r="N6" s="55">
        <f t="shared" ca="1" si="0"/>
        <v>43221</v>
      </c>
      <c r="O6" s="55">
        <f t="shared" ca="1" si="0"/>
        <v>43252</v>
      </c>
      <c r="P6" s="55">
        <f t="shared" ca="1" si="0"/>
        <v>43282</v>
      </c>
      <c r="Q6" s="55">
        <f t="shared" ca="1" si="0"/>
        <v>43313</v>
      </c>
      <c r="R6" s="55">
        <f t="shared" ca="1" si="0"/>
        <v>43344</v>
      </c>
      <c r="S6" s="55">
        <f t="shared" ca="1" si="0"/>
        <v>43374</v>
      </c>
      <c r="T6" s="55">
        <f t="shared" ca="1" si="0"/>
        <v>43405</v>
      </c>
      <c r="U6" s="55">
        <f t="shared" ca="1" si="0"/>
        <v>43435</v>
      </c>
      <c r="V6" s="55">
        <f t="shared" ca="1" si="0"/>
        <v>43466</v>
      </c>
      <c r="W6" s="55">
        <f t="shared" ca="1" si="0"/>
        <v>43497</v>
      </c>
      <c r="X6" s="55">
        <f t="shared" ca="1" si="0"/>
        <v>43525</v>
      </c>
      <c r="Y6" s="55">
        <f t="shared" ca="1" si="0"/>
        <v>43556</v>
      </c>
      <c r="Z6" s="55">
        <f t="shared" ca="1" si="0"/>
        <v>43586</v>
      </c>
      <c r="AA6" s="55">
        <f t="shared" ca="1" si="0"/>
        <v>43617</v>
      </c>
      <c r="AB6" s="231"/>
      <c r="AC6" s="87"/>
      <c r="AD6" s="87"/>
      <c r="AE6" s="87"/>
      <c r="AF6" s="87"/>
      <c r="AG6" s="87"/>
      <c r="AH6" s="233"/>
    </row>
    <row r="7" spans="1:36" s="49" customFormat="1" ht="12" customHeight="1" thickBot="1" x14ac:dyDescent="0.25">
      <c r="A7" s="47"/>
      <c r="B7" s="237"/>
      <c r="C7" s="238"/>
      <c r="D7" s="56">
        <f t="shared" ref="D7:Z7" ca="1" si="1">E6-1</f>
        <v>42947</v>
      </c>
      <c r="E7" s="57">
        <f t="shared" ca="1" si="1"/>
        <v>42978</v>
      </c>
      <c r="F7" s="57">
        <f t="shared" ca="1" si="1"/>
        <v>43008</v>
      </c>
      <c r="G7" s="57">
        <f t="shared" ca="1" si="1"/>
        <v>43039</v>
      </c>
      <c r="H7" s="57">
        <f t="shared" ca="1" si="1"/>
        <v>43069</v>
      </c>
      <c r="I7" s="57">
        <f t="shared" ca="1" si="1"/>
        <v>43100</v>
      </c>
      <c r="J7" s="57">
        <f t="shared" ca="1" si="1"/>
        <v>43131</v>
      </c>
      <c r="K7" s="57">
        <f t="shared" ca="1" si="1"/>
        <v>43159</v>
      </c>
      <c r="L7" s="57">
        <f t="shared" ca="1" si="1"/>
        <v>43190</v>
      </c>
      <c r="M7" s="57">
        <f t="shared" ca="1" si="1"/>
        <v>43220</v>
      </c>
      <c r="N7" s="57">
        <f t="shared" ca="1" si="1"/>
        <v>43251</v>
      </c>
      <c r="O7" s="57">
        <f t="shared" ca="1" si="1"/>
        <v>43281</v>
      </c>
      <c r="P7" s="57">
        <f t="shared" ca="1" si="1"/>
        <v>43312</v>
      </c>
      <c r="Q7" s="57">
        <f t="shared" ca="1" si="1"/>
        <v>43343</v>
      </c>
      <c r="R7" s="57">
        <f t="shared" ca="1" si="1"/>
        <v>43373</v>
      </c>
      <c r="S7" s="57">
        <f t="shared" ca="1" si="1"/>
        <v>43404</v>
      </c>
      <c r="T7" s="57">
        <f t="shared" ca="1" si="1"/>
        <v>43434</v>
      </c>
      <c r="U7" s="57">
        <f t="shared" ca="1" si="1"/>
        <v>43465</v>
      </c>
      <c r="V7" s="57">
        <f t="shared" ca="1" si="1"/>
        <v>43496</v>
      </c>
      <c r="W7" s="57">
        <f t="shared" ca="1" si="1"/>
        <v>43524</v>
      </c>
      <c r="X7" s="57">
        <f t="shared" ca="1" si="1"/>
        <v>43555</v>
      </c>
      <c r="Y7" s="57">
        <f t="shared" ca="1" si="1"/>
        <v>43585</v>
      </c>
      <c r="Z7" s="57">
        <f t="shared" ca="1" si="1"/>
        <v>43616</v>
      </c>
      <c r="AA7" s="57">
        <f ca="1">C3</f>
        <v>43646</v>
      </c>
      <c r="AB7" s="232"/>
      <c r="AC7" s="92"/>
      <c r="AD7" s="92"/>
      <c r="AE7" s="92"/>
      <c r="AF7" s="92"/>
      <c r="AG7" s="92"/>
      <c r="AH7" s="234"/>
    </row>
    <row r="8" spans="1:36" s="49" customFormat="1" ht="12" customHeight="1" thickBot="1" x14ac:dyDescent="0.25">
      <c r="B8" s="31" t="s">
        <v>0</v>
      </c>
      <c r="C8" s="32" t="s">
        <v>46</v>
      </c>
      <c r="D8" s="58">
        <f t="shared" ref="D8:AA8" ca="1" si="2">D6</f>
        <v>42917</v>
      </c>
      <c r="E8" s="59">
        <f t="shared" ca="1" si="2"/>
        <v>42948</v>
      </c>
      <c r="F8" s="59">
        <f t="shared" ca="1" si="2"/>
        <v>42979</v>
      </c>
      <c r="G8" s="60">
        <f t="shared" ca="1" si="2"/>
        <v>43009</v>
      </c>
      <c r="H8" s="60">
        <f t="shared" ca="1" si="2"/>
        <v>43040</v>
      </c>
      <c r="I8" s="60">
        <f t="shared" ca="1" si="2"/>
        <v>43070</v>
      </c>
      <c r="J8" s="60">
        <f t="shared" ca="1" si="2"/>
        <v>43101</v>
      </c>
      <c r="K8" s="60">
        <f t="shared" ca="1" si="2"/>
        <v>43132</v>
      </c>
      <c r="L8" s="60">
        <f t="shared" ca="1" si="2"/>
        <v>43160</v>
      </c>
      <c r="M8" s="60">
        <f t="shared" ca="1" si="2"/>
        <v>43191</v>
      </c>
      <c r="N8" s="60">
        <f t="shared" ca="1" si="2"/>
        <v>43221</v>
      </c>
      <c r="O8" s="60">
        <f t="shared" ca="1" si="2"/>
        <v>43252</v>
      </c>
      <c r="P8" s="60">
        <f t="shared" ca="1" si="2"/>
        <v>43282</v>
      </c>
      <c r="Q8" s="60">
        <f t="shared" ca="1" si="2"/>
        <v>43313</v>
      </c>
      <c r="R8" s="60">
        <f t="shared" ca="1" si="2"/>
        <v>43344</v>
      </c>
      <c r="S8" s="60">
        <f t="shared" ca="1" si="2"/>
        <v>43374</v>
      </c>
      <c r="T8" s="60">
        <f t="shared" ca="1" si="2"/>
        <v>43405</v>
      </c>
      <c r="U8" s="60">
        <f t="shared" ca="1" si="2"/>
        <v>43435</v>
      </c>
      <c r="V8" s="60">
        <f t="shared" ca="1" si="2"/>
        <v>43466</v>
      </c>
      <c r="W8" s="60">
        <f t="shared" ca="1" si="2"/>
        <v>43497</v>
      </c>
      <c r="X8" s="60">
        <f t="shared" ca="1" si="2"/>
        <v>43525</v>
      </c>
      <c r="Y8" s="60">
        <f t="shared" ca="1" si="2"/>
        <v>43556</v>
      </c>
      <c r="Z8" s="60">
        <f t="shared" ca="1" si="2"/>
        <v>43586</v>
      </c>
      <c r="AA8" s="60">
        <f t="shared" ca="1" si="2"/>
        <v>43617</v>
      </c>
      <c r="AB8" s="107" t="s">
        <v>36</v>
      </c>
      <c r="AC8" s="108" t="s">
        <v>42</v>
      </c>
      <c r="AD8" s="109" t="s">
        <v>43</v>
      </c>
      <c r="AE8" s="109" t="s">
        <v>44</v>
      </c>
      <c r="AF8" s="109" t="s">
        <v>45</v>
      </c>
      <c r="AG8" s="109" t="s">
        <v>39</v>
      </c>
      <c r="AH8" s="107" t="s">
        <v>41</v>
      </c>
    </row>
    <row r="9" spans="1:36" ht="15" customHeight="1" thickBot="1" x14ac:dyDescent="0.25">
      <c r="B9" s="61" t="s">
        <v>57</v>
      </c>
      <c r="C9" s="63" t="s">
        <v>54</v>
      </c>
      <c r="D9" s="64">
        <f ca="1">AbraBalance(URL,Username,Password,$C9,(D$6-1))/1000+AbraTurnover(URL,Username,Password,$C9,D$6,D$7)/1000</f>
        <v>10.712560000000003</v>
      </c>
      <c r="E9" s="64">
        <f t="shared" ref="E9:AA9" ca="1" si="3">D9+AbraTurnover(URL,Username,Password,$C9,E$6,E$7)/1000</f>
        <v>61.573660000000004</v>
      </c>
      <c r="F9" s="64">
        <f t="shared" ca="1" si="3"/>
        <v>53.408800000000006</v>
      </c>
      <c r="G9" s="64">
        <f t="shared" ca="1" si="3"/>
        <v>42.192260000000005</v>
      </c>
      <c r="H9" s="64">
        <f t="shared" ca="1" si="3"/>
        <v>42.53877</v>
      </c>
      <c r="I9" s="64">
        <f t="shared" ca="1" si="3"/>
        <v>22.380589999999998</v>
      </c>
      <c r="J9" s="64">
        <f t="shared" ca="1" si="3"/>
        <v>43.075019999999995</v>
      </c>
      <c r="K9" s="64">
        <f t="shared" ca="1" si="3"/>
        <v>8.476629999999993</v>
      </c>
      <c r="L9" s="64">
        <f t="shared" ca="1" si="3"/>
        <v>321.15125999999998</v>
      </c>
      <c r="M9" s="64">
        <f t="shared" ca="1" si="3"/>
        <v>317.30977999999999</v>
      </c>
      <c r="N9" s="64">
        <f t="shared" ca="1" si="3"/>
        <v>268.86129</v>
      </c>
      <c r="O9" s="64">
        <f t="shared" ca="1" si="3"/>
        <v>345.99271999999996</v>
      </c>
      <c r="P9" s="64">
        <f t="shared" ca="1" si="3"/>
        <v>347.33971999999994</v>
      </c>
      <c r="Q9" s="64">
        <f t="shared" ca="1" si="3"/>
        <v>336.27959999999996</v>
      </c>
      <c r="R9" s="64">
        <f t="shared" ca="1" si="3"/>
        <v>272.07304999999997</v>
      </c>
      <c r="S9" s="64">
        <f t="shared" ca="1" si="3"/>
        <v>239.81754999999998</v>
      </c>
      <c r="T9" s="64">
        <f t="shared" ca="1" si="3"/>
        <v>170.10674</v>
      </c>
      <c r="U9" s="64">
        <f t="shared" ca="1" si="3"/>
        <v>192.81210999999999</v>
      </c>
      <c r="V9" s="64">
        <f t="shared" ca="1" si="3"/>
        <v>136.12894999999997</v>
      </c>
      <c r="W9" s="64">
        <f t="shared" ca="1" si="3"/>
        <v>133.96609999999998</v>
      </c>
      <c r="X9" s="64">
        <f t="shared" ca="1" si="3"/>
        <v>112.33609999999999</v>
      </c>
      <c r="Y9" s="64">
        <f t="shared" ca="1" si="3"/>
        <v>71.837699999999984</v>
      </c>
      <c r="Z9" s="64">
        <f t="shared" ca="1" si="3"/>
        <v>48.017969999999984</v>
      </c>
      <c r="AA9" s="64">
        <f t="shared" ca="1" si="3"/>
        <v>52.395909999999986</v>
      </c>
      <c r="AB9" s="112">
        <f ca="1">SUM(P9:AA9)</f>
        <v>2113.1115</v>
      </c>
      <c r="AC9" s="113">
        <f ca="1">IF(SUM(J9:O9)+SUM(V9:AA9)&lt;0.001,0,IF(SUM(J9:O9)&lt;0.001,1,IF(SUM(V9:AA9)&lt;0.001,-1,SUM(V9:AA9)/(SUM(J9:O9))-1)))</f>
        <v>-0.57491234162079552</v>
      </c>
      <c r="AD9" s="113">
        <f ca="1">IF(SUM(D9:O9)+SUM(P9:AA9)&lt;0.001,0,IF(SUM(D9:O9)&lt;0.001,1,IF(SUM(P9:AA9)&lt;0.001,-1,SUM(P9:AA9)/(SUM(D9:O9))-1)))</f>
        <v>0.37422653110445414</v>
      </c>
      <c r="AE9" s="113">
        <v>-0.5</v>
      </c>
      <c r="AF9" s="113">
        <v>0.5</v>
      </c>
      <c r="AG9" s="113" t="s">
        <v>48</v>
      </c>
      <c r="AH9" s="114">
        <f t="shared" ref="AH9:AH10" ca="1" si="4">IF($AG9&lt;&gt;"-",$AG9,IF($AC9&lt;$AE9,$AE9,IF($AC9&gt;$AF9,$AF9,$AC9)))</f>
        <v>-0.5</v>
      </c>
      <c r="AI9" s="49"/>
      <c r="AJ9" s="49"/>
    </row>
    <row r="10" spans="1:36" ht="15" customHeight="1" thickBot="1" x14ac:dyDescent="0.25">
      <c r="B10" s="65" t="s">
        <v>56</v>
      </c>
      <c r="C10" s="67" t="s">
        <v>55</v>
      </c>
      <c r="D10" s="64">
        <f t="shared" ref="D10" ca="1" si="5">AbraBalance(URL,Username,Password,$C10,(D$6-1))/1000+AbraTurnover(URL,Username,Password,$C10,D$6,D$7)/1000</f>
        <v>15716.93146</v>
      </c>
      <c r="E10" s="64">
        <f t="shared" ref="E10:AA10" ca="1" si="6">D10+AbraTurnover(URL,Username,Password,$C10,E$6,E$7)/1000</f>
        <v>18571.66964</v>
      </c>
      <c r="F10" s="64">
        <f t="shared" ca="1" si="6"/>
        <v>15291.10658</v>
      </c>
      <c r="G10" s="64">
        <f t="shared" ca="1" si="6"/>
        <v>20424.614979999998</v>
      </c>
      <c r="H10" s="64">
        <f t="shared" ca="1" si="6"/>
        <v>14515.519839999999</v>
      </c>
      <c r="I10" s="64">
        <f t="shared" ca="1" si="6"/>
        <v>16639.65667</v>
      </c>
      <c r="J10" s="64">
        <f t="shared" ca="1" si="6"/>
        <v>18011.578020000001</v>
      </c>
      <c r="K10" s="64">
        <f t="shared" ca="1" si="6"/>
        <v>18616.08986</v>
      </c>
      <c r="L10" s="64">
        <f t="shared" ca="1" si="6"/>
        <v>11184.99677</v>
      </c>
      <c r="M10" s="64">
        <f t="shared" ca="1" si="6"/>
        <v>15659.922739999998</v>
      </c>
      <c r="N10" s="64">
        <f t="shared" ca="1" si="6"/>
        <v>21827.447560000001</v>
      </c>
      <c r="O10" s="64">
        <f t="shared" ca="1" si="6"/>
        <v>18356.588179999999</v>
      </c>
      <c r="P10" s="64">
        <f t="shared" ca="1" si="6"/>
        <v>19102.793980000002</v>
      </c>
      <c r="Q10" s="64">
        <f t="shared" ca="1" si="6"/>
        <v>25107.210160000002</v>
      </c>
      <c r="R10" s="64">
        <f t="shared" ca="1" si="6"/>
        <v>14190.116700000002</v>
      </c>
      <c r="S10" s="64">
        <f t="shared" ca="1" si="6"/>
        <v>17659.187020000001</v>
      </c>
      <c r="T10" s="64">
        <f t="shared" ca="1" si="6"/>
        <v>18091.243040000001</v>
      </c>
      <c r="U10" s="64">
        <f t="shared" ca="1" si="6"/>
        <v>15257.758380000001</v>
      </c>
      <c r="V10" s="64">
        <f t="shared" ca="1" si="6"/>
        <v>17085.259860000002</v>
      </c>
      <c r="W10" s="64">
        <f t="shared" ca="1" si="6"/>
        <v>20762.54176</v>
      </c>
      <c r="X10" s="64">
        <f t="shared" ca="1" si="6"/>
        <v>18742.719420000001</v>
      </c>
      <c r="Y10" s="64">
        <f t="shared" ca="1" si="6"/>
        <v>22924.185080000003</v>
      </c>
      <c r="Z10" s="64">
        <f t="shared" ca="1" si="6"/>
        <v>24727.065860000002</v>
      </c>
      <c r="AA10" s="64">
        <f t="shared" ca="1" si="6"/>
        <v>9112.4349700000021</v>
      </c>
      <c r="AB10" s="118">
        <f ca="1">SUM(P10:AA10)</f>
        <v>222762.51623000001</v>
      </c>
      <c r="AC10" s="119">
        <f t="shared" ref="AC10" ca="1" si="7">IF(SUM(J10:O10)+SUM(V10:AA10)&lt;0.001,0,IF(SUM(J10:O10)&lt;0.001,1,IF(SUM(V10:AA10)&lt;0.001,-1,SUM(V10:AA10)/(SUM(J10:O10))-1)))</f>
        <v>9.3554888507586087E-2</v>
      </c>
      <c r="AD10" s="119">
        <f t="shared" ref="AD10" ca="1" si="8">IF(SUM(D10:O10)+SUM(P10:AA10)&lt;0.001,0,IF(SUM(D10:O10)&lt;0.001,1,IF(SUM(P10:AA10)&lt;0.001,-1,SUM(P10:AA10)/(SUM(D10:O10))-1)))</f>
        <v>8.7621978819193869E-2</v>
      </c>
      <c r="AE10" s="119">
        <v>-0.5</v>
      </c>
      <c r="AF10" s="119">
        <v>0.5</v>
      </c>
      <c r="AG10" s="119" t="s">
        <v>48</v>
      </c>
      <c r="AH10" s="120">
        <f t="shared" ca="1" si="4"/>
        <v>9.3554888507586087E-2</v>
      </c>
    </row>
    <row r="11" spans="1:36" ht="15" customHeight="1" thickBot="1" x14ac:dyDescent="0.25">
      <c r="B11" s="229" t="s">
        <v>58</v>
      </c>
      <c r="C11" s="230"/>
      <c r="D11" s="68">
        <f t="shared" ref="D11:AB11" ca="1" si="9">SUM(D9:D10)</f>
        <v>15727.64402</v>
      </c>
      <c r="E11" s="69">
        <f t="shared" ca="1" si="9"/>
        <v>18633.243299999998</v>
      </c>
      <c r="F11" s="69">
        <f t="shared" ca="1" si="9"/>
        <v>15344.515379999999</v>
      </c>
      <c r="G11" s="69">
        <f t="shared" ca="1" si="9"/>
        <v>20466.807239999998</v>
      </c>
      <c r="H11" s="69">
        <f t="shared" ca="1" si="9"/>
        <v>14558.058609999998</v>
      </c>
      <c r="I11" s="69">
        <f t="shared" ca="1" si="9"/>
        <v>16662.037260000001</v>
      </c>
      <c r="J11" s="69">
        <f t="shared" ca="1" si="9"/>
        <v>18054.653040000001</v>
      </c>
      <c r="K11" s="69">
        <f t="shared" ca="1" si="9"/>
        <v>18624.566490000001</v>
      </c>
      <c r="L11" s="69">
        <f t="shared" ca="1" si="9"/>
        <v>11506.14803</v>
      </c>
      <c r="M11" s="69">
        <f t="shared" ca="1" si="9"/>
        <v>15977.232519999998</v>
      </c>
      <c r="N11" s="69">
        <f t="shared" ca="1" si="9"/>
        <v>22096.308850000001</v>
      </c>
      <c r="O11" s="69">
        <f t="shared" ca="1" si="9"/>
        <v>18702.580899999997</v>
      </c>
      <c r="P11" s="69">
        <f t="shared" ca="1" si="9"/>
        <v>19450.133700000002</v>
      </c>
      <c r="Q11" s="69">
        <f t="shared" ca="1" si="9"/>
        <v>25443.489760000004</v>
      </c>
      <c r="R11" s="69">
        <f t="shared" ca="1" si="9"/>
        <v>14462.189750000001</v>
      </c>
      <c r="S11" s="69">
        <f t="shared" ca="1" si="9"/>
        <v>17899.004570000001</v>
      </c>
      <c r="T11" s="69">
        <f t="shared" ca="1" si="9"/>
        <v>18261.34978</v>
      </c>
      <c r="U11" s="69">
        <f t="shared" ca="1" si="9"/>
        <v>15450.570490000002</v>
      </c>
      <c r="V11" s="69">
        <f t="shared" ca="1" si="9"/>
        <v>17221.38881</v>
      </c>
      <c r="W11" s="69">
        <f t="shared" ca="1" si="9"/>
        <v>20896.507860000002</v>
      </c>
      <c r="X11" s="69">
        <f t="shared" ca="1" si="9"/>
        <v>18855.055520000002</v>
      </c>
      <c r="Y11" s="69">
        <f t="shared" ca="1" si="9"/>
        <v>22996.022780000003</v>
      </c>
      <c r="Z11" s="69">
        <f t="shared" ca="1" si="9"/>
        <v>24775.083830000003</v>
      </c>
      <c r="AA11" s="69">
        <f t="shared" ca="1" si="9"/>
        <v>9164.8308800000013</v>
      </c>
      <c r="AB11" s="127">
        <f t="shared" ca="1" si="9"/>
        <v>224875.62773000001</v>
      </c>
      <c r="AC11" s="128">
        <f ca="1">IF(SUM(J11:O11)+SUM(V11:AA11)&lt;0.001,0,IF(SUM(J11:O11)&lt;0.001,1,IF(SUM(V11:AA11)&lt;0.001,-1,SUM(V11:AA11)/(SUM(J11:O11))-1)))</f>
        <v>8.5244596513365023E-2</v>
      </c>
      <c r="AD11" s="129">
        <f ca="1">IF(SUM(D11:O11)+SUM(P11:AA11)&lt;0.001,0,IF(SUM(D11:O11)&lt;0.001,1,IF(SUM(P11:AA11)&lt;0.001,-1,SUM(P11:AA11)/(SUM(D11:O11))-1)))</f>
        <v>8.9757651573866726E-2</v>
      </c>
      <c r="AE11" s="129">
        <f ca="1">AVERAGE(AE9:AE10)</f>
        <v>-0.5</v>
      </c>
      <c r="AF11" s="129">
        <f ca="1">AVERAGE(AF9:AF10)</f>
        <v>0.5</v>
      </c>
      <c r="AG11" s="130" t="s">
        <v>48</v>
      </c>
      <c r="AH11" s="131">
        <f ca="1">IF(AB11&lt;&gt;0,AB10/AB11-1,0)</f>
        <v>-9.3968008953693172E-3</v>
      </c>
    </row>
    <row r="12" spans="1:36" ht="15" customHeight="1" x14ac:dyDescent="0.2"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</row>
    <row r="16" spans="1:36" x14ac:dyDescent="0.2">
      <c r="Q16" s="135"/>
    </row>
    <row r="17" spans="17:17" x14ac:dyDescent="0.2">
      <c r="Q17" s="135"/>
    </row>
    <row r="18" spans="17:17" x14ac:dyDescent="0.2">
      <c r="Q18" s="135"/>
    </row>
    <row r="19" spans="17:17" x14ac:dyDescent="0.2">
      <c r="Q19" s="135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="55" zoomScaleNormal="55" zoomScalePageLayoutView="130" workbookViewId="0">
      <selection activeCell="AD52" sqref="AD52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33" bestFit="1" customWidth="1"/>
    <col min="3" max="3" width="28.85546875" style="33" customWidth="1"/>
    <col min="4" max="4" width="13.42578125" style="33" customWidth="1"/>
    <col min="5" max="7" width="12.7109375" style="42" customWidth="1"/>
    <col min="8" max="21" width="12.7109375" style="42" hidden="1" customWidth="1" outlineLevel="1"/>
    <col min="22" max="22" width="12.7109375" style="43" hidden="1" customWidth="1" outlineLevel="1"/>
    <col min="23" max="27" width="12.7109375" style="44" hidden="1" customWidth="1" outlineLevel="1"/>
    <col min="28" max="28" width="12.7109375" style="42" hidden="1" customWidth="1" outlineLevel="1"/>
    <col min="29" max="29" width="9.140625" style="42" collapsed="1"/>
    <col min="30" max="191" width="9.140625" style="42"/>
    <col min="192" max="16384" width="9.140625" style="45"/>
  </cols>
  <sheetData>
    <row r="1" spans="1:191" ht="10.35" customHeight="1" thickBot="1" x14ac:dyDescent="0.25"/>
    <row r="2" spans="1:191" ht="15" customHeight="1" x14ac:dyDescent="0.2">
      <c r="B2" s="25" t="s">
        <v>60</v>
      </c>
      <c r="C2" s="37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</row>
    <row r="3" spans="1:191" ht="15" customHeight="1" x14ac:dyDescent="0.15">
      <c r="B3" s="40" t="s">
        <v>100</v>
      </c>
      <c r="C3" s="38" t="s">
        <v>99</v>
      </c>
      <c r="D3" s="27">
        <v>43830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</row>
    <row r="4" spans="1:191" ht="15" customHeight="1" x14ac:dyDescent="0.15">
      <c r="B4" s="39"/>
      <c r="C4" s="28"/>
      <c r="D4" s="28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</row>
    <row r="5" spans="1:191" ht="15" customHeight="1" thickBot="1" x14ac:dyDescent="0.2">
      <c r="B5" s="29"/>
      <c r="C5" s="30"/>
      <c r="D5" s="30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</row>
    <row r="6" spans="1:191" s="48" customFormat="1" ht="15" customHeight="1" x14ac:dyDescent="0.15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43101</v>
      </c>
      <c r="F6" s="55">
        <f t="shared" ref="F6:AB6" ca="1" si="0">F7-IF(MONTH(F7)=2,IF(OR(YEAR(F7)=2008,YEAR(F7)=2012,YEAR(F7)=2016),29,28),IF(OR(MONTH(F7)=4,MONTH(F7)=6,MONTH(F7)=9,MONTH(F7)=11),30,31))+1</f>
        <v>43132</v>
      </c>
      <c r="G6" s="55">
        <f t="shared" ca="1" si="0"/>
        <v>43160</v>
      </c>
      <c r="H6" s="55">
        <f t="shared" ca="1" si="0"/>
        <v>43191</v>
      </c>
      <c r="I6" s="55">
        <f t="shared" ca="1" si="0"/>
        <v>43221</v>
      </c>
      <c r="J6" s="55">
        <f t="shared" ca="1" si="0"/>
        <v>43252</v>
      </c>
      <c r="K6" s="55">
        <f t="shared" ca="1" si="0"/>
        <v>43282</v>
      </c>
      <c r="L6" s="55">
        <f t="shared" ca="1" si="0"/>
        <v>43313</v>
      </c>
      <c r="M6" s="55">
        <f t="shared" ca="1" si="0"/>
        <v>43344</v>
      </c>
      <c r="N6" s="55">
        <f t="shared" ca="1" si="0"/>
        <v>43374</v>
      </c>
      <c r="O6" s="55">
        <f t="shared" ca="1" si="0"/>
        <v>43405</v>
      </c>
      <c r="P6" s="55">
        <f t="shared" ca="1" si="0"/>
        <v>43435</v>
      </c>
      <c r="Q6" s="55">
        <f t="shared" ca="1" si="0"/>
        <v>43466</v>
      </c>
      <c r="R6" s="55">
        <f t="shared" ca="1" si="0"/>
        <v>43497</v>
      </c>
      <c r="S6" s="55">
        <f t="shared" ca="1" si="0"/>
        <v>43525</v>
      </c>
      <c r="T6" s="55">
        <f t="shared" ca="1" si="0"/>
        <v>43556</v>
      </c>
      <c r="U6" s="55">
        <f t="shared" ca="1" si="0"/>
        <v>43586</v>
      </c>
      <c r="V6" s="55">
        <f t="shared" ca="1" si="0"/>
        <v>43617</v>
      </c>
      <c r="W6" s="55">
        <f t="shared" ca="1" si="0"/>
        <v>43647</v>
      </c>
      <c r="X6" s="55">
        <f t="shared" ca="1" si="0"/>
        <v>43678</v>
      </c>
      <c r="Y6" s="55">
        <f t="shared" ca="1" si="0"/>
        <v>43709</v>
      </c>
      <c r="Z6" s="55">
        <f t="shared" ca="1" si="0"/>
        <v>43739</v>
      </c>
      <c r="AA6" s="55">
        <f t="shared" ca="1" si="0"/>
        <v>43770</v>
      </c>
      <c r="AB6" s="55">
        <f t="shared" ca="1" si="0"/>
        <v>43800</v>
      </c>
    </row>
    <row r="7" spans="1:191" s="48" customFormat="1" ht="15" customHeight="1" thickBot="1" x14ac:dyDescent="0.2">
      <c r="A7" s="47"/>
      <c r="B7" s="237"/>
      <c r="C7" s="241"/>
      <c r="D7" s="238"/>
      <c r="E7" s="56">
        <f t="shared" ref="E7:AA7" ca="1" si="1">F6-1</f>
        <v>43131</v>
      </c>
      <c r="F7" s="57">
        <f t="shared" ca="1" si="1"/>
        <v>43159</v>
      </c>
      <c r="G7" s="57">
        <f t="shared" ca="1" si="1"/>
        <v>43190</v>
      </c>
      <c r="H7" s="57">
        <f t="shared" ca="1" si="1"/>
        <v>43220</v>
      </c>
      <c r="I7" s="57">
        <f t="shared" ca="1" si="1"/>
        <v>43251</v>
      </c>
      <c r="J7" s="57">
        <f t="shared" ca="1" si="1"/>
        <v>43281</v>
      </c>
      <c r="K7" s="57">
        <f t="shared" ca="1" si="1"/>
        <v>43312</v>
      </c>
      <c r="L7" s="57">
        <f t="shared" ca="1" si="1"/>
        <v>43343</v>
      </c>
      <c r="M7" s="57">
        <f t="shared" ca="1" si="1"/>
        <v>43373</v>
      </c>
      <c r="N7" s="57">
        <f t="shared" ca="1" si="1"/>
        <v>43404</v>
      </c>
      <c r="O7" s="57">
        <f t="shared" ca="1" si="1"/>
        <v>43434</v>
      </c>
      <c r="P7" s="57">
        <f t="shared" ca="1" si="1"/>
        <v>43465</v>
      </c>
      <c r="Q7" s="57">
        <f t="shared" ca="1" si="1"/>
        <v>43496</v>
      </c>
      <c r="R7" s="57">
        <f t="shared" ca="1" si="1"/>
        <v>43524</v>
      </c>
      <c r="S7" s="57">
        <f t="shared" ca="1" si="1"/>
        <v>43555</v>
      </c>
      <c r="T7" s="57">
        <f t="shared" ca="1" si="1"/>
        <v>43585</v>
      </c>
      <c r="U7" s="57">
        <f t="shared" ca="1" si="1"/>
        <v>43616</v>
      </c>
      <c r="V7" s="57">
        <f t="shared" ca="1" si="1"/>
        <v>43646</v>
      </c>
      <c r="W7" s="57">
        <f t="shared" ca="1" si="1"/>
        <v>43677</v>
      </c>
      <c r="X7" s="57">
        <f t="shared" ca="1" si="1"/>
        <v>43708</v>
      </c>
      <c r="Y7" s="57">
        <f t="shared" ca="1" si="1"/>
        <v>43738</v>
      </c>
      <c r="Z7" s="57">
        <f t="shared" ca="1" si="1"/>
        <v>43769</v>
      </c>
      <c r="AA7" s="57">
        <f t="shared" ca="1" si="1"/>
        <v>43799</v>
      </c>
      <c r="AB7" s="57">
        <f ca="1">D3</f>
        <v>43830</v>
      </c>
    </row>
    <row r="8" spans="1:191" s="48" customFormat="1" ht="15" customHeight="1" thickBot="1" x14ac:dyDescent="0.2">
      <c r="A8" s="49"/>
      <c r="B8" s="31" t="s">
        <v>0</v>
      </c>
      <c r="C8" s="32" t="s">
        <v>63</v>
      </c>
      <c r="D8" s="32" t="s">
        <v>101</v>
      </c>
      <c r="E8" s="58">
        <f t="shared" ref="E8:AB8" ca="1" si="2">E6</f>
        <v>43101</v>
      </c>
      <c r="F8" s="59">
        <f t="shared" ca="1" si="2"/>
        <v>43132</v>
      </c>
      <c r="G8" s="59">
        <f t="shared" ca="1" si="2"/>
        <v>43160</v>
      </c>
      <c r="H8" s="60">
        <f t="shared" ca="1" si="2"/>
        <v>43191</v>
      </c>
      <c r="I8" s="60">
        <f t="shared" ca="1" si="2"/>
        <v>43221</v>
      </c>
      <c r="J8" s="60">
        <f t="shared" ca="1" si="2"/>
        <v>43252</v>
      </c>
      <c r="K8" s="60">
        <f t="shared" ca="1" si="2"/>
        <v>43282</v>
      </c>
      <c r="L8" s="219">
        <f t="shared" ca="1" si="2"/>
        <v>43313</v>
      </c>
      <c r="M8" s="60">
        <f t="shared" ca="1" si="2"/>
        <v>43344</v>
      </c>
      <c r="N8" s="60">
        <f t="shared" ca="1" si="2"/>
        <v>43374</v>
      </c>
      <c r="O8" s="60">
        <f t="shared" ca="1" si="2"/>
        <v>43405</v>
      </c>
      <c r="P8" s="60">
        <f t="shared" ca="1" si="2"/>
        <v>43435</v>
      </c>
      <c r="Q8" s="60">
        <f t="shared" ca="1" si="2"/>
        <v>43466</v>
      </c>
      <c r="R8" s="60">
        <f t="shared" ca="1" si="2"/>
        <v>43497</v>
      </c>
      <c r="S8" s="60">
        <f t="shared" ca="1" si="2"/>
        <v>43525</v>
      </c>
      <c r="T8" s="60">
        <f t="shared" ca="1" si="2"/>
        <v>43556</v>
      </c>
      <c r="U8" s="60">
        <f t="shared" ca="1" si="2"/>
        <v>43586</v>
      </c>
      <c r="V8" s="60">
        <f t="shared" ca="1" si="2"/>
        <v>43617</v>
      </c>
      <c r="W8" s="60">
        <f t="shared" ca="1" si="2"/>
        <v>43647</v>
      </c>
      <c r="X8" s="60">
        <f t="shared" ca="1" si="2"/>
        <v>43678</v>
      </c>
      <c r="Y8" s="60">
        <f t="shared" ca="1" si="2"/>
        <v>43709</v>
      </c>
      <c r="Z8" s="60">
        <f t="shared" ca="1" si="2"/>
        <v>43739</v>
      </c>
      <c r="AA8" s="60">
        <f t="shared" ca="1" si="2"/>
        <v>43770</v>
      </c>
      <c r="AB8" s="60">
        <f t="shared" ca="1" si="2"/>
        <v>43800</v>
      </c>
    </row>
    <row r="9" spans="1:191" ht="15" customHeight="1" x14ac:dyDescent="0.15">
      <c r="B9" s="61"/>
      <c r="C9" s="62" t="s">
        <v>102</v>
      </c>
      <c r="D9" s="63" t="s">
        <v>53</v>
      </c>
      <c r="E9" s="213">
        <f t="shared" ref="E9:N10" ca="1" si="3">AbraStock(URL,Username,Password,$D9,E$6)/1000</f>
        <v>20646.15122</v>
      </c>
      <c r="F9" s="213">
        <f t="shared" ca="1" si="3"/>
        <v>16197.20614</v>
      </c>
      <c r="G9" s="213">
        <f t="shared" ca="1" si="3"/>
        <v>15803.66504</v>
      </c>
      <c r="H9" s="213">
        <f t="shared" ca="1" si="3"/>
        <v>15545.943070000001</v>
      </c>
      <c r="I9" s="213">
        <f t="shared" ca="1" si="3"/>
        <v>16099.115310000001</v>
      </c>
      <c r="J9" s="213">
        <f t="shared" ca="1" si="3"/>
        <v>15849.412350000001</v>
      </c>
      <c r="K9" s="213">
        <f t="shared" ca="1" si="3"/>
        <v>17026.774940000003</v>
      </c>
      <c r="L9" s="220">
        <f t="shared" ca="1" si="3"/>
        <v>17577.1113</v>
      </c>
      <c r="M9" s="213">
        <f t="shared" ca="1" si="3"/>
        <v>17286.15166</v>
      </c>
      <c r="N9" s="213">
        <f t="shared" ca="1" si="3"/>
        <v>17053.826949999999</v>
      </c>
      <c r="O9" s="213">
        <f t="shared" ref="O9:AB10" ca="1" si="4">AbraStock(URL,Username,Password,$D9,O$6)/1000</f>
        <v>17620.04104</v>
      </c>
      <c r="P9" s="213">
        <f t="shared" ca="1" si="4"/>
        <v>17252.07546</v>
      </c>
      <c r="Q9" s="213">
        <f t="shared" ca="1" si="4"/>
        <v>19466.685229999999</v>
      </c>
      <c r="R9" s="213">
        <f t="shared" ca="1" si="4"/>
        <v>16718.571550000001</v>
      </c>
      <c r="S9" s="213">
        <f t="shared" ca="1" si="4"/>
        <v>17383.443940000001</v>
      </c>
      <c r="T9" s="213">
        <f t="shared" ca="1" si="4"/>
        <v>17413.978950000001</v>
      </c>
      <c r="U9" s="213">
        <f t="shared" ca="1" si="4"/>
        <v>19678.929410000001</v>
      </c>
      <c r="V9" s="213">
        <f t="shared" ca="1" si="4"/>
        <v>19095.6089300001</v>
      </c>
      <c r="W9" s="213">
        <f t="shared" ca="1" si="4"/>
        <v>18015.26828</v>
      </c>
      <c r="X9" s="213">
        <f t="shared" ca="1" si="4"/>
        <v>18773.586960000001</v>
      </c>
      <c r="Y9" s="213">
        <f t="shared" ca="1" si="4"/>
        <v>18752.417020000001</v>
      </c>
      <c r="Z9" s="213">
        <f t="shared" ca="1" si="4"/>
        <v>18752.417020000001</v>
      </c>
      <c r="AA9" s="213">
        <f t="shared" ca="1" si="4"/>
        <v>18752.417020000001</v>
      </c>
      <c r="AB9" s="213">
        <f t="shared" ca="1" si="4"/>
        <v>18752.417020000001</v>
      </c>
      <c r="AC9" s="48"/>
      <c r="AD9" s="48"/>
    </row>
    <row r="10" spans="1:191" ht="15" customHeight="1" thickBot="1" x14ac:dyDescent="0.2">
      <c r="B10" s="65"/>
      <c r="C10" s="66" t="s">
        <v>103</v>
      </c>
      <c r="D10" s="85" t="s">
        <v>86</v>
      </c>
      <c r="E10" s="216">
        <f t="shared" ca="1" si="3"/>
        <v>40.077019999999997</v>
      </c>
      <c r="F10" s="217">
        <f t="shared" ca="1" si="3"/>
        <v>31.30622</v>
      </c>
      <c r="G10" s="217">
        <f t="shared" ca="1" si="3"/>
        <v>32.111820000000002</v>
      </c>
      <c r="H10" s="217">
        <f t="shared" ca="1" si="3"/>
        <v>30.92812</v>
      </c>
      <c r="I10" s="217">
        <f t="shared" ca="1" si="3"/>
        <v>32.157119999999999</v>
      </c>
      <c r="J10" s="217">
        <f t="shared" ca="1" si="3"/>
        <v>31.232119999999998</v>
      </c>
      <c r="K10" s="217">
        <f t="shared" ca="1" si="3"/>
        <v>31.227439999999998</v>
      </c>
      <c r="L10" s="217">
        <f t="shared" ca="1" si="3"/>
        <v>35.917439999999999</v>
      </c>
      <c r="M10" s="217">
        <f t="shared" ca="1" si="3"/>
        <v>34.526440000000001</v>
      </c>
      <c r="N10" s="217">
        <f t="shared" ca="1" si="3"/>
        <v>35.478439999999999</v>
      </c>
      <c r="O10" s="217">
        <f t="shared" ca="1" si="4"/>
        <v>40.028839999999995</v>
      </c>
      <c r="P10" s="217">
        <f t="shared" ca="1" si="4"/>
        <v>36.063739999999996</v>
      </c>
      <c r="Q10" s="217">
        <f t="shared" ca="1" si="4"/>
        <v>37.318739999999998</v>
      </c>
      <c r="R10" s="217">
        <f t="shared" ca="1" si="4"/>
        <v>34.458739999999999</v>
      </c>
      <c r="S10" s="217">
        <f t="shared" ca="1" si="4"/>
        <v>33.11674</v>
      </c>
      <c r="T10" s="217">
        <f t="shared" ca="1" si="4"/>
        <v>34.283739999999995</v>
      </c>
      <c r="U10" s="217">
        <f t="shared" ca="1" si="4"/>
        <v>37.937739999999998</v>
      </c>
      <c r="V10" s="217">
        <f t="shared" ca="1" si="4"/>
        <v>35.909990000000001</v>
      </c>
      <c r="W10" s="217">
        <f t="shared" ca="1" si="4"/>
        <v>35.248989999999999</v>
      </c>
      <c r="X10" s="217">
        <f t="shared" ca="1" si="4"/>
        <v>36.08999</v>
      </c>
      <c r="Y10" s="217">
        <f t="shared" ca="1" si="4"/>
        <v>35.107990000000001</v>
      </c>
      <c r="Z10" s="217">
        <f t="shared" ca="1" si="4"/>
        <v>35.107990000000001</v>
      </c>
      <c r="AA10" s="217">
        <f t="shared" ca="1" si="4"/>
        <v>35.107990000000001</v>
      </c>
      <c r="AB10" s="218">
        <f t="shared" ca="1" si="4"/>
        <v>35.107990000000001</v>
      </c>
      <c r="AC10" s="53"/>
    </row>
    <row r="11" spans="1:191" s="52" customFormat="1" ht="15" customHeight="1" thickBot="1" x14ac:dyDescent="0.25">
      <c r="A11" s="50"/>
      <c r="B11" s="229" t="s">
        <v>37</v>
      </c>
      <c r="C11" s="239"/>
      <c r="D11" s="230"/>
      <c r="E11" s="86">
        <f t="shared" ref="E11:AB11" ca="1" si="5">SUM(E9:E10)</f>
        <v>20686.22824</v>
      </c>
      <c r="F11" s="215">
        <f t="shared" ca="1" si="5"/>
        <v>16228.512360000001</v>
      </c>
      <c r="G11" s="215">
        <f t="shared" ca="1" si="5"/>
        <v>15835.77686</v>
      </c>
      <c r="H11" s="215">
        <f t="shared" ca="1" si="5"/>
        <v>15576.871190000002</v>
      </c>
      <c r="I11" s="215">
        <f t="shared" ca="1" si="5"/>
        <v>16131.272430000001</v>
      </c>
      <c r="J11" s="215">
        <f t="shared" ca="1" si="5"/>
        <v>15880.644470000001</v>
      </c>
      <c r="K11" s="215">
        <f t="shared" ca="1" si="5"/>
        <v>17058.002380000002</v>
      </c>
      <c r="L11" s="215">
        <f t="shared" ca="1" si="5"/>
        <v>17613.028740000002</v>
      </c>
      <c r="M11" s="215">
        <f t="shared" ca="1" si="5"/>
        <v>17320.678100000001</v>
      </c>
      <c r="N11" s="215">
        <f t="shared" ca="1" si="5"/>
        <v>17089.305389999998</v>
      </c>
      <c r="O11" s="215">
        <f t="shared" ca="1" si="5"/>
        <v>17660.069879999999</v>
      </c>
      <c r="P11" s="215">
        <f t="shared" ca="1" si="5"/>
        <v>17288.139200000001</v>
      </c>
      <c r="Q11" s="215">
        <f t="shared" ca="1" si="5"/>
        <v>19504.003969999998</v>
      </c>
      <c r="R11" s="215">
        <f t="shared" ca="1" si="5"/>
        <v>16753.030289999999</v>
      </c>
      <c r="S11" s="215">
        <f t="shared" ca="1" si="5"/>
        <v>17416.560680000002</v>
      </c>
      <c r="T11" s="215">
        <f t="shared" ca="1" si="5"/>
        <v>17448.26269</v>
      </c>
      <c r="U11" s="215">
        <f t="shared" ca="1" si="5"/>
        <v>19716.867150000002</v>
      </c>
      <c r="V11" s="215">
        <f t="shared" ca="1" si="5"/>
        <v>19131.5189200001</v>
      </c>
      <c r="W11" s="215">
        <f t="shared" ca="1" si="5"/>
        <v>18050.51727</v>
      </c>
      <c r="X11" s="215">
        <f t="shared" ca="1" si="5"/>
        <v>18809.676950000001</v>
      </c>
      <c r="Y11" s="215">
        <f t="shared" ca="1" si="5"/>
        <v>18787.525010000001</v>
      </c>
      <c r="Z11" s="215">
        <f t="shared" ca="1" si="5"/>
        <v>18787.525010000001</v>
      </c>
      <c r="AA11" s="215">
        <f t="shared" ca="1" si="5"/>
        <v>18787.525010000001</v>
      </c>
      <c r="AB11" s="215">
        <f t="shared" ca="1" si="5"/>
        <v>18787.525010000001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  <c r="EB11" s="51"/>
      <c r="EC11" s="51"/>
      <c r="ED11" s="51"/>
      <c r="EE11" s="51"/>
      <c r="EF11" s="51"/>
      <c r="EG11" s="51"/>
      <c r="EH11" s="51"/>
      <c r="EI11" s="51"/>
      <c r="EJ11" s="51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51"/>
      <c r="EV11" s="51"/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</row>
    <row r="12" spans="1:191" s="52" customFormat="1" ht="15" customHeight="1" x14ac:dyDescent="0.2">
      <c r="A12" s="50"/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</row>
    <row r="13" spans="1:191" x14ac:dyDescent="0.15">
      <c r="B13" s="72"/>
      <c r="C13" s="72"/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4"/>
      <c r="W13" s="75"/>
      <c r="X13" s="75"/>
      <c r="Y13" s="75"/>
      <c r="Z13" s="75"/>
      <c r="AA13" s="75"/>
      <c r="AB13" s="73"/>
    </row>
    <row r="14" spans="1:191" ht="15" customHeight="1" thickBot="1" x14ac:dyDescent="0.2">
      <c r="B14" s="76" t="s">
        <v>119</v>
      </c>
      <c r="C14" s="76"/>
      <c r="D14" s="7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8"/>
      <c r="W14" s="79"/>
      <c r="X14" s="79"/>
      <c r="Y14" s="79"/>
      <c r="Z14" s="79"/>
      <c r="AA14" s="79"/>
      <c r="AB14" s="77"/>
    </row>
    <row r="15" spans="1:191" ht="15" customHeight="1" x14ac:dyDescent="0.15">
      <c r="B15" s="80"/>
      <c r="C15" s="81"/>
      <c r="D15" s="82" t="s">
        <v>97</v>
      </c>
      <c r="E15" s="214">
        <f t="shared" ref="E15:N16" ca="1" si="6">AbraMoves(URL,Username,Password,"a",E$6,E$7,$D15)/1000</f>
        <v>6358.6280299999999</v>
      </c>
      <c r="F15" s="214">
        <f t="shared" ca="1" si="6"/>
        <v>5509.2333699999999</v>
      </c>
      <c r="G15" s="214">
        <f t="shared" ca="1" si="6"/>
        <v>5013.28755000001</v>
      </c>
      <c r="H15" s="214">
        <f t="shared" ca="1" si="6"/>
        <v>5325.59105000001</v>
      </c>
      <c r="I15" s="214">
        <f t="shared" ca="1" si="6"/>
        <v>6361.2065700000003</v>
      </c>
      <c r="J15" s="214">
        <f t="shared" ca="1" si="6"/>
        <v>5509.0300600000201</v>
      </c>
      <c r="K15" s="214">
        <f t="shared" ca="1" si="6"/>
        <v>5987.0018499999906</v>
      </c>
      <c r="L15" s="214">
        <f t="shared" ca="1" si="6"/>
        <v>5341.00875000001</v>
      </c>
      <c r="M15" s="214">
        <f t="shared" ca="1" si="6"/>
        <v>4879.3624500000005</v>
      </c>
      <c r="N15" s="214">
        <f t="shared" ca="1" si="6"/>
        <v>7733.8308899999902</v>
      </c>
      <c r="O15" s="214">
        <f t="shared" ref="O15:AB16" ca="1" si="7">AbraMoves(URL,Username,Password,"a",O$6,O$7,$D15)/1000</f>
        <v>6432.9680900000003</v>
      </c>
      <c r="P15" s="214">
        <f t="shared" ca="1" si="7"/>
        <v>5697.4748099999997</v>
      </c>
      <c r="Q15" s="214">
        <f t="shared" ca="1" si="7"/>
        <v>5799.8059899999898</v>
      </c>
      <c r="R15" s="214">
        <f t="shared" ca="1" si="7"/>
        <v>8182.9633800000001</v>
      </c>
      <c r="S15" s="214">
        <f t="shared" ca="1" si="7"/>
        <v>6192.8534300000101</v>
      </c>
      <c r="T15" s="214">
        <f t="shared" ca="1" si="7"/>
        <v>6410.6853599999904</v>
      </c>
      <c r="U15" s="214">
        <f t="shared" ca="1" si="7"/>
        <v>5842.3294900000001</v>
      </c>
      <c r="V15" s="214">
        <f t="shared" ca="1" si="7"/>
        <v>4874.72613000001</v>
      </c>
      <c r="W15" s="214">
        <f t="shared" ca="1" si="7"/>
        <v>6566.1855600000099</v>
      </c>
      <c r="X15" s="214">
        <f t="shared" ca="1" si="7"/>
        <v>295.50428999999997</v>
      </c>
      <c r="Y15" s="214">
        <f t="shared" ca="1" si="7"/>
        <v>0</v>
      </c>
      <c r="Z15" s="214">
        <f t="shared" ca="1" si="7"/>
        <v>0</v>
      </c>
      <c r="AA15" s="214">
        <f t="shared" ca="1" si="7"/>
        <v>0</v>
      </c>
      <c r="AB15" s="214">
        <f t="shared" ca="1" si="7"/>
        <v>0</v>
      </c>
      <c r="AC15" s="53"/>
    </row>
    <row r="16" spans="1:191" ht="15" customHeight="1" thickBot="1" x14ac:dyDescent="0.2">
      <c r="B16" s="65"/>
      <c r="C16" s="84"/>
      <c r="D16" s="85" t="s">
        <v>98</v>
      </c>
      <c r="E16" s="212">
        <f t="shared" ca="1" si="6"/>
        <v>1112.31306</v>
      </c>
      <c r="F16" s="212">
        <f t="shared" ca="1" si="6"/>
        <v>563.63409999999999</v>
      </c>
      <c r="G16" s="212">
        <f t="shared" ca="1" si="6"/>
        <v>1551.0356200000001</v>
      </c>
      <c r="H16" s="212">
        <f t="shared" ca="1" si="6"/>
        <v>1213.2177099999999</v>
      </c>
      <c r="I16" s="212">
        <f t="shared" ca="1" si="6"/>
        <v>885.78075000000001</v>
      </c>
      <c r="J16" s="212">
        <f t="shared" ca="1" si="6"/>
        <v>1462.2623799999999</v>
      </c>
      <c r="K16" s="212">
        <f t="shared" ca="1" si="6"/>
        <v>1056.34465</v>
      </c>
      <c r="L16" s="212">
        <f t="shared" ca="1" si="6"/>
        <v>1374.3991899999999</v>
      </c>
      <c r="M16" s="212">
        <f t="shared" ca="1" si="6"/>
        <v>1870.7558600000002</v>
      </c>
      <c r="N16" s="212">
        <f t="shared" ca="1" si="6"/>
        <v>1659.7623100000001</v>
      </c>
      <c r="O16" s="212">
        <f t="shared" ca="1" si="7"/>
        <v>1842.2133100000001</v>
      </c>
      <c r="P16" s="212">
        <f t="shared" ca="1" si="7"/>
        <v>628.27733999999998</v>
      </c>
      <c r="Q16" s="212">
        <f t="shared" ca="1" si="7"/>
        <v>1852.22903</v>
      </c>
      <c r="R16" s="212">
        <f t="shared" ca="1" si="7"/>
        <v>2658.2552999999998</v>
      </c>
      <c r="S16" s="212">
        <f t="shared" ca="1" si="7"/>
        <v>1461.1490100000001</v>
      </c>
      <c r="T16" s="212">
        <f t="shared" ca="1" si="7"/>
        <v>1534.6659299999999</v>
      </c>
      <c r="U16" s="212">
        <f t="shared" ca="1" si="7"/>
        <v>3051.0996</v>
      </c>
      <c r="V16" s="212">
        <f t="shared" ca="1" si="7"/>
        <v>984.82362999999998</v>
      </c>
      <c r="W16" s="212">
        <f t="shared" ca="1" si="7"/>
        <v>1705.7972199999999</v>
      </c>
      <c r="X16" s="212">
        <f t="shared" ca="1" si="7"/>
        <v>177.90545</v>
      </c>
      <c r="Y16" s="212">
        <f t="shared" ca="1" si="7"/>
        <v>0</v>
      </c>
      <c r="Z16" s="212">
        <f t="shared" ca="1" si="7"/>
        <v>0</v>
      </c>
      <c r="AA16" s="212">
        <f t="shared" ca="1" si="7"/>
        <v>0</v>
      </c>
      <c r="AB16" s="212">
        <f t="shared" ca="1" si="7"/>
        <v>0</v>
      </c>
      <c r="AC16" s="53"/>
    </row>
    <row r="17" spans="2:28" ht="15" customHeight="1" thickBot="1" x14ac:dyDescent="0.2">
      <c r="B17" s="229" t="s">
        <v>37</v>
      </c>
      <c r="C17" s="239"/>
      <c r="D17" s="230"/>
      <c r="E17" s="86">
        <f ca="1">SUM(E15:E16)</f>
        <v>7470.9410900000003</v>
      </c>
      <c r="F17" s="86">
        <f t="shared" ref="F17:AB17" ca="1" si="8">SUM(F15:F16)</f>
        <v>6072.8674700000001</v>
      </c>
      <c r="G17" s="86">
        <f t="shared" ca="1" si="8"/>
        <v>6564.3231700000106</v>
      </c>
      <c r="H17" s="86">
        <f t="shared" ca="1" si="8"/>
        <v>6538.8087600000099</v>
      </c>
      <c r="I17" s="86">
        <f t="shared" ca="1" si="8"/>
        <v>7246.9873200000002</v>
      </c>
      <c r="J17" s="86">
        <f t="shared" ca="1" si="8"/>
        <v>6971.2924400000202</v>
      </c>
      <c r="K17" s="86">
        <f t="shared" ca="1" si="8"/>
        <v>7043.3464999999906</v>
      </c>
      <c r="L17" s="86">
        <f t="shared" ca="1" si="8"/>
        <v>6715.4079400000101</v>
      </c>
      <c r="M17" s="86">
        <f t="shared" ca="1" si="8"/>
        <v>6750.1183100000007</v>
      </c>
      <c r="N17" s="86">
        <f t="shared" ca="1" si="8"/>
        <v>9393.5931999999902</v>
      </c>
      <c r="O17" s="86">
        <f t="shared" ca="1" si="8"/>
        <v>8275.1814000000013</v>
      </c>
      <c r="P17" s="86">
        <f t="shared" ca="1" si="8"/>
        <v>6325.7521499999993</v>
      </c>
      <c r="Q17" s="86">
        <f t="shared" ca="1" si="8"/>
        <v>7652.0350199999903</v>
      </c>
      <c r="R17" s="86">
        <f t="shared" ca="1" si="8"/>
        <v>10841.21868</v>
      </c>
      <c r="S17" s="86">
        <f t="shared" ca="1" si="8"/>
        <v>7654.0024400000102</v>
      </c>
      <c r="T17" s="86">
        <f t="shared" ca="1" si="8"/>
        <v>7945.3512899999905</v>
      </c>
      <c r="U17" s="86">
        <f t="shared" ca="1" si="8"/>
        <v>8893.4290899999996</v>
      </c>
      <c r="V17" s="86">
        <f t="shared" ca="1" si="8"/>
        <v>5859.5497600000099</v>
      </c>
      <c r="W17" s="86">
        <f t="shared" ca="1" si="8"/>
        <v>8271.9827800000094</v>
      </c>
      <c r="X17" s="86">
        <f t="shared" ca="1" si="8"/>
        <v>473.40973999999994</v>
      </c>
      <c r="Y17" s="86">
        <f t="shared" ca="1" si="8"/>
        <v>0</v>
      </c>
      <c r="Z17" s="86">
        <f t="shared" ca="1" si="8"/>
        <v>0</v>
      </c>
      <c r="AA17" s="86">
        <f t="shared" ca="1" si="8"/>
        <v>0</v>
      </c>
      <c r="AB17" s="86">
        <f t="shared" ca="1" si="8"/>
        <v>0</v>
      </c>
    </row>
    <row r="19" spans="2:28" x14ac:dyDescent="0.2">
      <c r="B19" s="34"/>
      <c r="C19" s="34"/>
    </row>
    <row r="21" spans="2:28" x14ac:dyDescent="0.2">
      <c r="B21" s="35"/>
      <c r="C21" s="35"/>
    </row>
    <row r="22" spans="2:28" x14ac:dyDescent="0.2">
      <c r="B22" s="36"/>
      <c r="C22" s="36"/>
    </row>
    <row r="23" spans="2:28" x14ac:dyDescent="0.2">
      <c r="B23" s="35"/>
      <c r="C23" s="3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topLeftCell="A8" zoomScaleNormal="100" zoomScalePageLayoutView="130" workbookViewId="0">
      <selection activeCell="O43" sqref="O43"/>
    </sheetView>
  </sheetViews>
  <sheetFormatPr defaultColWidth="9.140625" defaultRowHeight="15" outlineLevelCol="1" x14ac:dyDescent="0.2"/>
  <cols>
    <col min="1" max="1" width="1.7109375" style="136" customWidth="1"/>
    <col min="2" max="2" width="30.28515625" style="139" bestFit="1" customWidth="1"/>
    <col min="3" max="3" width="23" style="139" customWidth="1"/>
    <col min="4" max="4" width="12.7109375" style="139" customWidth="1"/>
    <col min="5" max="7" width="12.7109375" style="93" customWidth="1"/>
    <col min="8" max="21" width="12.7109375" style="93" hidden="1" customWidth="1" outlineLevel="1"/>
    <col min="22" max="22" width="12.7109375" style="140" hidden="1" customWidth="1" outlineLevel="1"/>
    <col min="23" max="27" width="12.7109375" style="141" hidden="1" customWidth="1" outlineLevel="1"/>
    <col min="28" max="28" width="12.7109375" style="93" hidden="1" customWidth="1" outlineLevel="1"/>
    <col min="29" max="29" width="15.7109375" style="93" customWidth="1" collapsed="1"/>
    <col min="30" max="191" width="9.140625" style="93"/>
    <col min="192" max="16384" width="9.140625" style="142"/>
  </cols>
  <sheetData>
    <row r="1" spans="1:30" ht="10.35" customHeight="1" thickBot="1" x14ac:dyDescent="0.25"/>
    <row r="2" spans="1:30" ht="15" customHeight="1" x14ac:dyDescent="0.2">
      <c r="B2" s="159" t="s">
        <v>61</v>
      </c>
      <c r="C2" s="160"/>
      <c r="D2" s="161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</row>
    <row r="3" spans="1:30" ht="15" customHeight="1" x14ac:dyDescent="0.2">
      <c r="B3" s="40" t="s">
        <v>100</v>
      </c>
      <c r="C3" s="38" t="s">
        <v>99</v>
      </c>
      <c r="D3" s="163">
        <v>43465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</row>
    <row r="4" spans="1:30" ht="15" customHeight="1" x14ac:dyDescent="0.2">
      <c r="B4" s="40"/>
      <c r="C4" s="162"/>
      <c r="D4" s="162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1:30" ht="15" customHeight="1" thickBot="1" x14ac:dyDescent="0.25">
      <c r="B5" s="164"/>
      <c r="C5" s="165"/>
      <c r="D5" s="165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1:30" s="138" customFormat="1" ht="15" customHeight="1" x14ac:dyDescent="0.2">
      <c r="A6" s="137"/>
      <c r="B6" s="242"/>
      <c r="C6" s="243"/>
      <c r="D6" s="244"/>
      <c r="E6" s="144">
        <f ca="1">E7-IF(MONTH(E7)=2,IF(OR(YEAR(E7)=2008,YEAR(E7)=2012,YEAR(E7)=2016),29,28),IF(OR(MONTH(E7)=4,MONTH(E7)=6,MONTH(E7)=9,MONTH(E7)=11),30,31))+1</f>
        <v>42736</v>
      </c>
      <c r="F6" s="145">
        <f t="shared" ref="F6:AB6" ca="1" si="0">F7-IF(MONTH(F7)=2,IF(OR(YEAR(F7)=2008,YEAR(F7)=2012,YEAR(F7)=2016),29,28),IF(OR(MONTH(F7)=4,MONTH(F7)=6,MONTH(F7)=9,MONTH(F7)=11),30,31))+1</f>
        <v>42767</v>
      </c>
      <c r="G6" s="145">
        <f t="shared" ca="1" si="0"/>
        <v>42795</v>
      </c>
      <c r="H6" s="145">
        <f t="shared" ca="1" si="0"/>
        <v>42826</v>
      </c>
      <c r="I6" s="145">
        <f t="shared" ca="1" si="0"/>
        <v>42856</v>
      </c>
      <c r="J6" s="145">
        <f t="shared" ca="1" si="0"/>
        <v>42887</v>
      </c>
      <c r="K6" s="145">
        <f t="shared" ca="1" si="0"/>
        <v>42917</v>
      </c>
      <c r="L6" s="145">
        <f t="shared" ca="1" si="0"/>
        <v>42948</v>
      </c>
      <c r="M6" s="145">
        <f t="shared" ca="1" si="0"/>
        <v>42979</v>
      </c>
      <c r="N6" s="145">
        <f t="shared" ca="1" si="0"/>
        <v>43009</v>
      </c>
      <c r="O6" s="145">
        <f t="shared" ca="1" si="0"/>
        <v>43040</v>
      </c>
      <c r="P6" s="145">
        <f t="shared" ca="1" si="0"/>
        <v>43070</v>
      </c>
      <c r="Q6" s="145">
        <f t="shared" ca="1" si="0"/>
        <v>43101</v>
      </c>
      <c r="R6" s="145">
        <f t="shared" ca="1" si="0"/>
        <v>43132</v>
      </c>
      <c r="S6" s="145">
        <f t="shared" ca="1" si="0"/>
        <v>43160</v>
      </c>
      <c r="T6" s="145">
        <f t="shared" ca="1" si="0"/>
        <v>43191</v>
      </c>
      <c r="U6" s="145">
        <f t="shared" ca="1" si="0"/>
        <v>43221</v>
      </c>
      <c r="V6" s="145">
        <f t="shared" ca="1" si="0"/>
        <v>43252</v>
      </c>
      <c r="W6" s="145">
        <f t="shared" ca="1" si="0"/>
        <v>43282</v>
      </c>
      <c r="X6" s="145">
        <f t="shared" ca="1" si="0"/>
        <v>43313</v>
      </c>
      <c r="Y6" s="145">
        <f t="shared" ca="1" si="0"/>
        <v>43344</v>
      </c>
      <c r="Z6" s="145">
        <f t="shared" ca="1" si="0"/>
        <v>43374</v>
      </c>
      <c r="AA6" s="145">
        <f t="shared" ca="1" si="0"/>
        <v>43405</v>
      </c>
      <c r="AB6" s="145">
        <f t="shared" ca="1" si="0"/>
        <v>43435</v>
      </c>
    </row>
    <row r="7" spans="1:30" s="138" customFormat="1" ht="15" customHeight="1" thickBot="1" x14ac:dyDescent="0.25">
      <c r="A7" s="137"/>
      <c r="B7" s="245"/>
      <c r="C7" s="246"/>
      <c r="D7" s="247"/>
      <c r="E7" s="146">
        <f t="shared" ref="E7:AA7" ca="1" si="1">F6-1</f>
        <v>42766</v>
      </c>
      <c r="F7" s="147">
        <f t="shared" ca="1" si="1"/>
        <v>42794</v>
      </c>
      <c r="G7" s="147">
        <f t="shared" ca="1" si="1"/>
        <v>42825</v>
      </c>
      <c r="H7" s="147">
        <f t="shared" ca="1" si="1"/>
        <v>42855</v>
      </c>
      <c r="I7" s="147">
        <f t="shared" ca="1" si="1"/>
        <v>42886</v>
      </c>
      <c r="J7" s="147">
        <f t="shared" ca="1" si="1"/>
        <v>42916</v>
      </c>
      <c r="K7" s="147">
        <f t="shared" ca="1" si="1"/>
        <v>42947</v>
      </c>
      <c r="L7" s="147">
        <f t="shared" ca="1" si="1"/>
        <v>42978</v>
      </c>
      <c r="M7" s="147">
        <f t="shared" ca="1" si="1"/>
        <v>43008</v>
      </c>
      <c r="N7" s="147">
        <f t="shared" ca="1" si="1"/>
        <v>43039</v>
      </c>
      <c r="O7" s="147">
        <f t="shared" ca="1" si="1"/>
        <v>43069</v>
      </c>
      <c r="P7" s="147">
        <f t="shared" ca="1" si="1"/>
        <v>43100</v>
      </c>
      <c r="Q7" s="147">
        <f t="shared" ca="1" si="1"/>
        <v>43131</v>
      </c>
      <c r="R7" s="147">
        <f t="shared" ca="1" si="1"/>
        <v>43159</v>
      </c>
      <c r="S7" s="147">
        <f t="shared" ca="1" si="1"/>
        <v>43190</v>
      </c>
      <c r="T7" s="147">
        <f t="shared" ca="1" si="1"/>
        <v>43220</v>
      </c>
      <c r="U7" s="147">
        <f t="shared" ca="1" si="1"/>
        <v>43251</v>
      </c>
      <c r="V7" s="147">
        <f t="shared" ca="1" si="1"/>
        <v>43281</v>
      </c>
      <c r="W7" s="147">
        <f t="shared" ca="1" si="1"/>
        <v>43312</v>
      </c>
      <c r="X7" s="147">
        <f t="shared" ca="1" si="1"/>
        <v>43343</v>
      </c>
      <c r="Y7" s="147">
        <f t="shared" ca="1" si="1"/>
        <v>43373</v>
      </c>
      <c r="Z7" s="147">
        <f t="shared" ca="1" si="1"/>
        <v>43404</v>
      </c>
      <c r="AA7" s="147">
        <f t="shared" ca="1" si="1"/>
        <v>43434</v>
      </c>
      <c r="AB7" s="147">
        <f ca="1">D3</f>
        <v>43465</v>
      </c>
    </row>
    <row r="8" spans="1:30" s="138" customFormat="1" ht="15" customHeight="1" thickBot="1" x14ac:dyDescent="0.25">
      <c r="B8" s="166" t="s">
        <v>0</v>
      </c>
      <c r="C8" s="156" t="s">
        <v>63</v>
      </c>
      <c r="D8" s="167" t="s">
        <v>101</v>
      </c>
      <c r="E8" s="148">
        <f t="shared" ref="E8:AB8" ca="1" si="2">E6</f>
        <v>42736</v>
      </c>
      <c r="F8" s="60">
        <f t="shared" ca="1" si="2"/>
        <v>42767</v>
      </c>
      <c r="G8" s="60">
        <f t="shared" ca="1" si="2"/>
        <v>42795</v>
      </c>
      <c r="H8" s="60">
        <f t="shared" ca="1" si="2"/>
        <v>42826</v>
      </c>
      <c r="I8" s="60">
        <f t="shared" ca="1" si="2"/>
        <v>42856</v>
      </c>
      <c r="J8" s="60">
        <f t="shared" ca="1" si="2"/>
        <v>42887</v>
      </c>
      <c r="K8" s="60">
        <f t="shared" ca="1" si="2"/>
        <v>42917</v>
      </c>
      <c r="L8" s="60">
        <f t="shared" ca="1" si="2"/>
        <v>42948</v>
      </c>
      <c r="M8" s="60">
        <f t="shared" ca="1" si="2"/>
        <v>42979</v>
      </c>
      <c r="N8" s="60">
        <f t="shared" ca="1" si="2"/>
        <v>43009</v>
      </c>
      <c r="O8" s="60">
        <f t="shared" ca="1" si="2"/>
        <v>43040</v>
      </c>
      <c r="P8" s="60">
        <f t="shared" ca="1" si="2"/>
        <v>43070</v>
      </c>
      <c r="Q8" s="60">
        <f t="shared" ca="1" si="2"/>
        <v>43101</v>
      </c>
      <c r="R8" s="60">
        <f t="shared" ca="1" si="2"/>
        <v>43132</v>
      </c>
      <c r="S8" s="60">
        <f t="shared" ca="1" si="2"/>
        <v>43160</v>
      </c>
      <c r="T8" s="60">
        <f t="shared" ca="1" si="2"/>
        <v>43191</v>
      </c>
      <c r="U8" s="60">
        <f t="shared" ca="1" si="2"/>
        <v>43221</v>
      </c>
      <c r="V8" s="60">
        <f t="shared" ca="1" si="2"/>
        <v>43252</v>
      </c>
      <c r="W8" s="60">
        <f t="shared" ca="1" si="2"/>
        <v>43282</v>
      </c>
      <c r="X8" s="60">
        <f t="shared" ca="1" si="2"/>
        <v>43313</v>
      </c>
      <c r="Y8" s="60">
        <f t="shared" ca="1" si="2"/>
        <v>43344</v>
      </c>
      <c r="Z8" s="60">
        <f t="shared" ca="1" si="2"/>
        <v>43374</v>
      </c>
      <c r="AA8" s="60">
        <f t="shared" ca="1" si="2"/>
        <v>43405</v>
      </c>
      <c r="AB8" s="60">
        <f t="shared" ca="1" si="2"/>
        <v>43435</v>
      </c>
    </row>
    <row r="9" spans="1:30" ht="15" customHeight="1" thickBot="1" x14ac:dyDescent="0.25">
      <c r="B9" s="168"/>
      <c r="C9" s="169" t="s">
        <v>103</v>
      </c>
      <c r="D9" s="170" t="s">
        <v>86</v>
      </c>
      <c r="E9" s="149">
        <f t="shared" ref="E9:N10" ca="1" si="3">AbraSale(URL,Username,Password,$D9,E$6,E$7)/1000</f>
        <v>28.84</v>
      </c>
      <c r="F9" s="149">
        <f t="shared" ca="1" si="3"/>
        <v>28.543700000000001</v>
      </c>
      <c r="G9" s="149">
        <f t="shared" ca="1" si="3"/>
        <v>39.680999999999997</v>
      </c>
      <c r="H9" s="149">
        <f t="shared" ca="1" si="3"/>
        <v>28.494499999999999</v>
      </c>
      <c r="I9" s="149">
        <f t="shared" ca="1" si="3"/>
        <v>33.405000000000001</v>
      </c>
      <c r="J9" s="149">
        <f t="shared" ca="1" si="3"/>
        <v>32.275500000000001</v>
      </c>
      <c r="K9" s="149">
        <f t="shared" ca="1" si="3"/>
        <v>25.109000000000002</v>
      </c>
      <c r="L9" s="149">
        <f t="shared" ca="1" si="3"/>
        <v>25.003499999999999</v>
      </c>
      <c r="M9" s="149">
        <f t="shared" ca="1" si="3"/>
        <v>30.5642</v>
      </c>
      <c r="N9" s="149">
        <f t="shared" ca="1" si="3"/>
        <v>27.687200000000001</v>
      </c>
      <c r="O9" s="149">
        <f t="shared" ref="O9:AB10" ca="1" si="4">AbraSale(URL,Username,Password,$D9,O$6,O$7)/1000</f>
        <v>22.764599999999998</v>
      </c>
      <c r="P9" s="149">
        <f t="shared" ca="1" si="4"/>
        <v>20.879000000000001</v>
      </c>
      <c r="Q9" s="149">
        <f t="shared" ca="1" si="4"/>
        <v>39.531800000000004</v>
      </c>
      <c r="R9" s="149">
        <f t="shared" ca="1" si="4"/>
        <v>23.730400000000003</v>
      </c>
      <c r="S9" s="149">
        <f t="shared" ca="1" si="4"/>
        <v>22.6647</v>
      </c>
      <c r="T9" s="149">
        <f t="shared" ca="1" si="4"/>
        <v>25.734999999999999</v>
      </c>
      <c r="U9" s="149">
        <f t="shared" ca="1" si="4"/>
        <v>34.337000000000003</v>
      </c>
      <c r="V9" s="149">
        <f t="shared" ca="1" si="4"/>
        <v>31.862680000000001</v>
      </c>
      <c r="W9" s="149">
        <f t="shared" ca="1" si="4"/>
        <v>24.2</v>
      </c>
      <c r="X9" s="149">
        <f t="shared" ca="1" si="4"/>
        <v>29.811</v>
      </c>
      <c r="Y9" s="149">
        <f t="shared" ca="1" si="4"/>
        <v>21.311</v>
      </c>
      <c r="Z9" s="149">
        <f t="shared" ca="1" si="4"/>
        <v>38.104599999999998</v>
      </c>
      <c r="AA9" s="149">
        <f t="shared" ca="1" si="4"/>
        <v>33.650100000000002</v>
      </c>
      <c r="AB9" s="149">
        <f t="shared" ca="1" si="4"/>
        <v>23.562000000000001</v>
      </c>
      <c r="AC9" s="150"/>
      <c r="AD9" s="138"/>
    </row>
    <row r="10" spans="1:30" ht="15" customHeight="1" thickBot="1" x14ac:dyDescent="0.25">
      <c r="B10" s="171"/>
      <c r="C10" s="172" t="s">
        <v>104</v>
      </c>
      <c r="D10" s="173" t="s">
        <v>53</v>
      </c>
      <c r="E10" s="149">
        <f t="shared" ca="1" si="3"/>
        <v>18224.176760000002</v>
      </c>
      <c r="F10" s="149">
        <f t="shared" ca="1" si="3"/>
        <v>18194.10094</v>
      </c>
      <c r="G10" s="149">
        <f t="shared" ca="1" si="3"/>
        <v>24597.111870000001</v>
      </c>
      <c r="H10" s="149">
        <f t="shared" ca="1" si="3"/>
        <v>19531.072039999999</v>
      </c>
      <c r="I10" s="149">
        <f t="shared" ca="1" si="3"/>
        <v>22936.207690000003</v>
      </c>
      <c r="J10" s="149">
        <f t="shared" ca="1" si="3"/>
        <v>18891.573769999999</v>
      </c>
      <c r="K10" s="149">
        <f t="shared" ca="1" si="3"/>
        <v>18267.563030000001</v>
      </c>
      <c r="L10" s="149">
        <f t="shared" ca="1" si="3"/>
        <v>20597.285359999998</v>
      </c>
      <c r="M10" s="149">
        <f t="shared" ca="1" si="3"/>
        <v>19155.685460000001</v>
      </c>
      <c r="N10" s="149">
        <f t="shared" ca="1" si="3"/>
        <v>21012.614600000001</v>
      </c>
      <c r="O10" s="149">
        <f t="shared" ca="1" si="4"/>
        <v>18696.901379999999</v>
      </c>
      <c r="P10" s="149">
        <f t="shared" ca="1" si="4"/>
        <v>13829.15307</v>
      </c>
      <c r="Q10" s="149">
        <f t="shared" ca="1" si="4"/>
        <v>28696.167000000001</v>
      </c>
      <c r="R10" s="149">
        <f t="shared" ca="1" si="4"/>
        <v>18425.401300000001</v>
      </c>
      <c r="S10" s="149">
        <f t="shared" ca="1" si="4"/>
        <v>18131.689269999999</v>
      </c>
      <c r="T10" s="149">
        <f t="shared" ca="1" si="4"/>
        <v>16459.205099999999</v>
      </c>
      <c r="U10" s="149">
        <f t="shared" ca="1" si="4"/>
        <v>23430.481329999999</v>
      </c>
      <c r="V10" s="149">
        <f t="shared" ca="1" si="4"/>
        <v>22842.317859999999</v>
      </c>
      <c r="W10" s="149">
        <f t="shared" ca="1" si="4"/>
        <v>18201.113260000002</v>
      </c>
      <c r="X10" s="149">
        <f t="shared" ca="1" si="4"/>
        <v>20331.243829999999</v>
      </c>
      <c r="Y10" s="149">
        <f t="shared" ca="1" si="4"/>
        <v>17130.39486</v>
      </c>
      <c r="Z10" s="149">
        <f t="shared" ca="1" si="4"/>
        <v>22971.675440000003</v>
      </c>
      <c r="AA10" s="149">
        <f t="shared" ca="1" si="4"/>
        <v>21545.777760000001</v>
      </c>
      <c r="AB10" s="149">
        <f t="shared" ca="1" si="4"/>
        <v>17304.713359999998</v>
      </c>
      <c r="AC10" s="150"/>
    </row>
    <row r="11" spans="1:30" ht="15" customHeight="1" thickBot="1" x14ac:dyDescent="0.25">
      <c r="B11" s="229" t="s">
        <v>87</v>
      </c>
      <c r="C11" s="239"/>
      <c r="D11" s="230"/>
      <c r="E11" s="151">
        <f ca="1">E10/E9</f>
        <v>631.90626768377263</v>
      </c>
      <c r="F11" s="151">
        <f t="shared" ref="F11:AB11" ca="1" si="5">F10/F9</f>
        <v>637.41214138321243</v>
      </c>
      <c r="G11" s="151">
        <f t="shared" ca="1" si="5"/>
        <v>619.87127012928113</v>
      </c>
      <c r="H11" s="151">
        <f t="shared" ca="1" si="5"/>
        <v>685.4330498868203</v>
      </c>
      <c r="I11" s="151">
        <f t="shared" ca="1" si="5"/>
        <v>686.61001915880865</v>
      </c>
      <c r="J11" s="151">
        <f t="shared" ca="1" si="5"/>
        <v>585.32242010193488</v>
      </c>
      <c r="K11" s="151">
        <f t="shared" ca="1" si="5"/>
        <v>727.53048827113787</v>
      </c>
      <c r="L11" s="151">
        <f t="shared" ca="1" si="5"/>
        <v>823.77608574799524</v>
      </c>
      <c r="M11" s="151">
        <f t="shared" ca="1" si="5"/>
        <v>626.73603300593504</v>
      </c>
      <c r="N11" s="151">
        <f t="shared" ca="1" si="5"/>
        <v>758.92884076396319</v>
      </c>
      <c r="O11" s="151">
        <f t="shared" ca="1" si="5"/>
        <v>821.31473340186085</v>
      </c>
      <c r="P11" s="151">
        <f t="shared" ca="1" si="5"/>
        <v>662.3474816801571</v>
      </c>
      <c r="Q11" s="151">
        <f t="shared" ca="1" si="5"/>
        <v>725.90084438350891</v>
      </c>
      <c r="R11" s="151">
        <f t="shared" ca="1" si="5"/>
        <v>776.4471437481036</v>
      </c>
      <c r="S11" s="151">
        <f t="shared" ca="1" si="5"/>
        <v>799.99687928805588</v>
      </c>
      <c r="T11" s="151">
        <f t="shared" ca="1" si="5"/>
        <v>639.56499319992224</v>
      </c>
      <c r="U11" s="151">
        <f t="shared" ca="1" si="5"/>
        <v>682.36832949879124</v>
      </c>
      <c r="V11" s="151">
        <f t="shared" ca="1" si="5"/>
        <v>716.89882520867673</v>
      </c>
      <c r="W11" s="151">
        <f t="shared" ca="1" si="5"/>
        <v>752.11211818181823</v>
      </c>
      <c r="X11" s="151">
        <f t="shared" ca="1" si="5"/>
        <v>682.00475763979739</v>
      </c>
      <c r="Y11" s="151">
        <f t="shared" ca="1" si="5"/>
        <v>803.82876730327064</v>
      </c>
      <c r="Z11" s="151">
        <f t="shared" ca="1" si="5"/>
        <v>602.85832786592709</v>
      </c>
      <c r="AA11" s="151">
        <f t="shared" ca="1" si="5"/>
        <v>640.28866957304729</v>
      </c>
      <c r="AB11" s="151">
        <f t="shared" ca="1" si="5"/>
        <v>734.43312791783364</v>
      </c>
    </row>
    <row r="12" spans="1:30" ht="15" customHeight="1" x14ac:dyDescent="0.2">
      <c r="B12" s="70"/>
      <c r="C12" s="70"/>
      <c r="D12" s="70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</row>
    <row r="13" spans="1:30" x14ac:dyDescent="0.2">
      <c r="B13" s="174"/>
      <c r="C13" s="174"/>
      <c r="D13" s="72"/>
    </row>
    <row r="14" spans="1:30" x14ac:dyDescent="0.2">
      <c r="B14" s="72"/>
      <c r="C14" s="72"/>
      <c r="D14" s="72"/>
    </row>
    <row r="15" spans="1:30" x14ac:dyDescent="0.2">
      <c r="B15" s="153"/>
      <c r="C15" s="153"/>
    </row>
    <row r="17" spans="2:3" x14ac:dyDescent="0.2">
      <c r="B17" s="154"/>
      <c r="C17" s="154"/>
    </row>
    <row r="18" spans="2:3" x14ac:dyDescent="0.2">
      <c r="B18" s="155"/>
      <c r="C18" s="155"/>
    </row>
    <row r="19" spans="2:3" x14ac:dyDescent="0.2">
      <c r="B19" s="154"/>
      <c r="C19" s="154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topLeftCell="A4" zoomScale="55" zoomScaleNormal="55" zoomScalePageLayoutView="130" workbookViewId="0">
      <selection activeCell="AJ47" sqref="AJ47"/>
    </sheetView>
  </sheetViews>
  <sheetFormatPr defaultColWidth="9.140625" defaultRowHeight="15" outlineLevelCol="1" x14ac:dyDescent="0.2"/>
  <cols>
    <col min="1" max="1" width="1.7109375" style="175" customWidth="1"/>
    <col min="2" max="2" width="30.28515625" style="72" bestFit="1" customWidth="1"/>
    <col min="3" max="3" width="22.85546875" style="72" customWidth="1"/>
    <col min="4" max="4" width="12.7109375" style="72" customWidth="1"/>
    <col min="5" max="7" width="12.7109375" style="178" customWidth="1"/>
    <col min="8" max="21" width="12.7109375" style="178" hidden="1" customWidth="1" outlineLevel="1"/>
    <col min="22" max="22" width="12.7109375" style="179" hidden="1" customWidth="1" outlineLevel="1"/>
    <col min="23" max="27" width="12.7109375" style="180" hidden="1" customWidth="1" outlineLevel="1"/>
    <col min="28" max="28" width="12.7109375" style="178" hidden="1" customWidth="1" outlineLevel="1"/>
    <col min="29" max="29" width="15.7109375" style="178" customWidth="1" collapsed="1"/>
    <col min="30" max="191" width="9.140625" style="178"/>
    <col min="192" max="16384" width="9.140625" style="181"/>
  </cols>
  <sheetData>
    <row r="1" spans="1:30" ht="10.35" customHeight="1" thickBot="1" x14ac:dyDescent="0.25"/>
    <row r="2" spans="1:30" ht="15" customHeight="1" x14ac:dyDescent="0.2">
      <c r="B2" s="159" t="s">
        <v>64</v>
      </c>
      <c r="C2" s="160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</row>
    <row r="3" spans="1:30" ht="15" customHeight="1" x14ac:dyDescent="0.2">
      <c r="B3" s="40" t="s">
        <v>105</v>
      </c>
      <c r="C3" s="162" t="s">
        <v>106</v>
      </c>
      <c r="D3" s="163">
        <v>42369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</row>
    <row r="4" spans="1:30" ht="15" customHeight="1" x14ac:dyDescent="0.2">
      <c r="B4" s="4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</row>
    <row r="5" spans="1:30" ht="15" customHeight="1" thickBot="1" x14ac:dyDescent="0.25">
      <c r="B5" s="164"/>
      <c r="C5" s="165"/>
      <c r="D5" s="165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</row>
    <row r="6" spans="1:30" s="177" customFormat="1" ht="15" customHeight="1" x14ac:dyDescent="0.2">
      <c r="A6" s="176"/>
      <c r="B6" s="242"/>
      <c r="C6" s="243"/>
      <c r="D6" s="244"/>
      <c r="E6" s="182">
        <f ca="1">E7-IF(MONTH(E7)=2,IF(OR(YEAR(E7)=2008,YEAR(E7)=2012,YEAR(E7)=2016),29,28),IF(OR(MONTH(E7)=4,MONTH(E7)=6,MONTH(E7)=9,MONTH(E7)=11),30,31))+1</f>
        <v>41640</v>
      </c>
      <c r="F6" s="183">
        <f t="shared" ref="F6:AB6" ca="1" si="0">F7-IF(MONTH(F7)=2,IF(OR(YEAR(F7)=2008,YEAR(F7)=2012,YEAR(F7)=2016),29,28),IF(OR(MONTH(F7)=4,MONTH(F7)=6,MONTH(F7)=9,MONTH(F7)=11),30,31))+1</f>
        <v>41671</v>
      </c>
      <c r="G6" s="183">
        <f t="shared" ca="1" si="0"/>
        <v>41699</v>
      </c>
      <c r="H6" s="183">
        <f t="shared" ca="1" si="0"/>
        <v>41730</v>
      </c>
      <c r="I6" s="183">
        <f t="shared" ca="1" si="0"/>
        <v>41760</v>
      </c>
      <c r="J6" s="183">
        <f t="shared" ca="1" si="0"/>
        <v>41791</v>
      </c>
      <c r="K6" s="183">
        <f t="shared" ca="1" si="0"/>
        <v>41821</v>
      </c>
      <c r="L6" s="183">
        <f t="shared" ca="1" si="0"/>
        <v>41852</v>
      </c>
      <c r="M6" s="183">
        <f t="shared" ca="1" si="0"/>
        <v>41883</v>
      </c>
      <c r="N6" s="183">
        <f t="shared" ca="1" si="0"/>
        <v>41913</v>
      </c>
      <c r="O6" s="183">
        <f t="shared" ca="1" si="0"/>
        <v>41944</v>
      </c>
      <c r="P6" s="183">
        <f t="shared" ca="1" si="0"/>
        <v>41974</v>
      </c>
      <c r="Q6" s="183">
        <f t="shared" ca="1" si="0"/>
        <v>42005</v>
      </c>
      <c r="R6" s="183">
        <f t="shared" ca="1" si="0"/>
        <v>42036</v>
      </c>
      <c r="S6" s="183">
        <f t="shared" ca="1" si="0"/>
        <v>42064</v>
      </c>
      <c r="T6" s="183">
        <f t="shared" ca="1" si="0"/>
        <v>42095</v>
      </c>
      <c r="U6" s="183">
        <f t="shared" ca="1" si="0"/>
        <v>42125</v>
      </c>
      <c r="V6" s="183">
        <f t="shared" ca="1" si="0"/>
        <v>42156</v>
      </c>
      <c r="W6" s="183">
        <f t="shared" ca="1" si="0"/>
        <v>42186</v>
      </c>
      <c r="X6" s="183">
        <f t="shared" ca="1" si="0"/>
        <v>42217</v>
      </c>
      <c r="Y6" s="183">
        <f t="shared" ca="1" si="0"/>
        <v>42248</v>
      </c>
      <c r="Z6" s="183">
        <f t="shared" ca="1" si="0"/>
        <v>42278</v>
      </c>
      <c r="AA6" s="183">
        <f t="shared" ca="1" si="0"/>
        <v>42309</v>
      </c>
      <c r="AB6" s="183">
        <f t="shared" ca="1" si="0"/>
        <v>42339</v>
      </c>
    </row>
    <row r="7" spans="1:30" s="177" customFormat="1" ht="15" customHeight="1" thickBot="1" x14ac:dyDescent="0.25">
      <c r="A7" s="176"/>
      <c r="B7" s="245"/>
      <c r="C7" s="246"/>
      <c r="D7" s="247"/>
      <c r="E7" s="184">
        <f t="shared" ref="E7:AA7" ca="1" si="1">F6-1</f>
        <v>41670</v>
      </c>
      <c r="F7" s="185">
        <f t="shared" ca="1" si="1"/>
        <v>41698</v>
      </c>
      <c r="G7" s="185">
        <f t="shared" ca="1" si="1"/>
        <v>41729</v>
      </c>
      <c r="H7" s="185">
        <f t="shared" ca="1" si="1"/>
        <v>41759</v>
      </c>
      <c r="I7" s="185">
        <f t="shared" ca="1" si="1"/>
        <v>41790</v>
      </c>
      <c r="J7" s="185">
        <f t="shared" ca="1" si="1"/>
        <v>41820</v>
      </c>
      <c r="K7" s="185">
        <f t="shared" ca="1" si="1"/>
        <v>41851</v>
      </c>
      <c r="L7" s="185">
        <f t="shared" ca="1" si="1"/>
        <v>41882</v>
      </c>
      <c r="M7" s="185">
        <f t="shared" ca="1" si="1"/>
        <v>41912</v>
      </c>
      <c r="N7" s="185">
        <f t="shared" ca="1" si="1"/>
        <v>41943</v>
      </c>
      <c r="O7" s="185">
        <f t="shared" ca="1" si="1"/>
        <v>41973</v>
      </c>
      <c r="P7" s="185">
        <f t="shared" ca="1" si="1"/>
        <v>42004</v>
      </c>
      <c r="Q7" s="185">
        <f t="shared" ca="1" si="1"/>
        <v>42035</v>
      </c>
      <c r="R7" s="185">
        <f t="shared" ca="1" si="1"/>
        <v>42063</v>
      </c>
      <c r="S7" s="185">
        <f t="shared" ca="1" si="1"/>
        <v>42094</v>
      </c>
      <c r="T7" s="185">
        <f t="shared" ca="1" si="1"/>
        <v>42124</v>
      </c>
      <c r="U7" s="185">
        <f t="shared" ca="1" si="1"/>
        <v>42155</v>
      </c>
      <c r="V7" s="185">
        <f t="shared" ca="1" si="1"/>
        <v>42185</v>
      </c>
      <c r="W7" s="185">
        <f t="shared" ca="1" si="1"/>
        <v>42216</v>
      </c>
      <c r="X7" s="185">
        <f t="shared" ca="1" si="1"/>
        <v>42247</v>
      </c>
      <c r="Y7" s="185">
        <f t="shared" ca="1" si="1"/>
        <v>42277</v>
      </c>
      <c r="Z7" s="185">
        <f t="shared" ca="1" si="1"/>
        <v>42308</v>
      </c>
      <c r="AA7" s="185">
        <f t="shared" ca="1" si="1"/>
        <v>42338</v>
      </c>
      <c r="AB7" s="185">
        <f ca="1">D3</f>
        <v>42369</v>
      </c>
    </row>
    <row r="8" spans="1:30" s="177" customFormat="1" ht="15" customHeight="1" thickBot="1" x14ac:dyDescent="0.25">
      <c r="B8" s="166" t="s">
        <v>0</v>
      </c>
      <c r="C8" s="158" t="s">
        <v>63</v>
      </c>
      <c r="D8" s="167" t="s">
        <v>101</v>
      </c>
      <c r="E8" s="186">
        <f t="shared" ref="E8:AB8" ca="1" si="2">E6</f>
        <v>41640</v>
      </c>
      <c r="F8" s="187">
        <f t="shared" ca="1" si="2"/>
        <v>41671</v>
      </c>
      <c r="G8" s="187">
        <f t="shared" ca="1" si="2"/>
        <v>41699</v>
      </c>
      <c r="H8" s="187">
        <f t="shared" ca="1" si="2"/>
        <v>41730</v>
      </c>
      <c r="I8" s="187">
        <f t="shared" ca="1" si="2"/>
        <v>41760</v>
      </c>
      <c r="J8" s="187">
        <f t="shared" ca="1" si="2"/>
        <v>41791</v>
      </c>
      <c r="K8" s="187">
        <f t="shared" ca="1" si="2"/>
        <v>41821</v>
      </c>
      <c r="L8" s="187">
        <f t="shared" ca="1" si="2"/>
        <v>41852</v>
      </c>
      <c r="M8" s="187">
        <f t="shared" ca="1" si="2"/>
        <v>41883</v>
      </c>
      <c r="N8" s="187">
        <f t="shared" ca="1" si="2"/>
        <v>41913</v>
      </c>
      <c r="O8" s="187">
        <f t="shared" ca="1" si="2"/>
        <v>41944</v>
      </c>
      <c r="P8" s="187">
        <f t="shared" ca="1" si="2"/>
        <v>41974</v>
      </c>
      <c r="Q8" s="187">
        <f t="shared" ca="1" si="2"/>
        <v>42005</v>
      </c>
      <c r="R8" s="187">
        <f t="shared" ca="1" si="2"/>
        <v>42036</v>
      </c>
      <c r="S8" s="187">
        <f t="shared" ca="1" si="2"/>
        <v>42064</v>
      </c>
      <c r="T8" s="187">
        <f t="shared" ca="1" si="2"/>
        <v>42095</v>
      </c>
      <c r="U8" s="187">
        <f t="shared" ca="1" si="2"/>
        <v>42125</v>
      </c>
      <c r="V8" s="187">
        <f t="shared" ca="1" si="2"/>
        <v>42156</v>
      </c>
      <c r="W8" s="187">
        <f t="shared" ca="1" si="2"/>
        <v>42186</v>
      </c>
      <c r="X8" s="187">
        <f t="shared" ca="1" si="2"/>
        <v>42217</v>
      </c>
      <c r="Y8" s="187">
        <f t="shared" ca="1" si="2"/>
        <v>42248</v>
      </c>
      <c r="Z8" s="187">
        <f t="shared" ca="1" si="2"/>
        <v>42278</v>
      </c>
      <c r="AA8" s="187">
        <f t="shared" ca="1" si="2"/>
        <v>42309</v>
      </c>
      <c r="AB8" s="187">
        <f t="shared" ca="1" si="2"/>
        <v>42339</v>
      </c>
    </row>
    <row r="9" spans="1:30" ht="15" customHeight="1" thickBot="1" x14ac:dyDescent="0.25">
      <c r="B9" s="168"/>
      <c r="C9" s="169" t="s">
        <v>37</v>
      </c>
      <c r="D9" s="170" t="s">
        <v>66</v>
      </c>
      <c r="E9" s="188">
        <f t="shared" ref="E9:N12" ca="1" si="3">AbraReceivable(URL,Username,Password,$D9,E$6,E$7)/1000</f>
        <v>0</v>
      </c>
      <c r="F9" s="188">
        <f t="shared" ca="1" si="3"/>
        <v>0</v>
      </c>
      <c r="G9" s="188">
        <f t="shared" ca="1" si="3"/>
        <v>0</v>
      </c>
      <c r="H9" s="188">
        <f t="shared" ca="1" si="3"/>
        <v>0</v>
      </c>
      <c r="I9" s="188">
        <f t="shared" ca="1" si="3"/>
        <v>0</v>
      </c>
      <c r="J9" s="188">
        <f t="shared" ca="1" si="3"/>
        <v>0</v>
      </c>
      <c r="K9" s="188">
        <f t="shared" ca="1" si="3"/>
        <v>0</v>
      </c>
      <c r="L9" s="188">
        <f t="shared" ca="1" si="3"/>
        <v>0</v>
      </c>
      <c r="M9" s="188">
        <f t="shared" ca="1" si="3"/>
        <v>0</v>
      </c>
      <c r="N9" s="188">
        <f t="shared" ca="1" si="3"/>
        <v>0</v>
      </c>
      <c r="O9" s="188">
        <f t="shared" ref="O9:AB12" ca="1" si="4">AbraReceivable(URL,Username,Password,$D9,O$6,O$7)/1000</f>
        <v>25.337</v>
      </c>
      <c r="P9" s="188">
        <f t="shared" ca="1" si="4"/>
        <v>0</v>
      </c>
      <c r="Q9" s="188">
        <f t="shared" ca="1" si="4"/>
        <v>0</v>
      </c>
      <c r="R9" s="188">
        <f t="shared" ca="1" si="4"/>
        <v>11.785</v>
      </c>
      <c r="S9" s="188">
        <f t="shared" ca="1" si="4"/>
        <v>32.652000000000001</v>
      </c>
      <c r="T9" s="188">
        <f t="shared" ca="1" si="4"/>
        <v>0</v>
      </c>
      <c r="U9" s="188">
        <f t="shared" ca="1" si="4"/>
        <v>19.367999999999999</v>
      </c>
      <c r="V9" s="188">
        <f t="shared" ca="1" si="4"/>
        <v>32.58</v>
      </c>
      <c r="W9" s="188">
        <f t="shared" ca="1" si="4"/>
        <v>23.907</v>
      </c>
      <c r="X9" s="188">
        <f t="shared" ca="1" si="4"/>
        <v>0</v>
      </c>
      <c r="Y9" s="188">
        <f t="shared" ca="1" si="4"/>
        <v>26.745000000000001</v>
      </c>
      <c r="Z9" s="188">
        <f t="shared" ca="1" si="4"/>
        <v>0</v>
      </c>
      <c r="AA9" s="188">
        <f t="shared" ca="1" si="4"/>
        <v>0</v>
      </c>
      <c r="AB9" s="188">
        <f t="shared" ca="1" si="4"/>
        <v>16.948</v>
      </c>
      <c r="AC9" s="189"/>
      <c r="AD9" s="177"/>
    </row>
    <row r="10" spans="1:30" ht="15" customHeight="1" thickBot="1" x14ac:dyDescent="0.25">
      <c r="B10" s="190"/>
      <c r="C10" s="191" t="s">
        <v>107</v>
      </c>
      <c r="D10" s="192" t="s">
        <v>67</v>
      </c>
      <c r="E10" s="188">
        <f t="shared" ca="1" si="3"/>
        <v>0</v>
      </c>
      <c r="F10" s="188">
        <f t="shared" ca="1" si="3"/>
        <v>0</v>
      </c>
      <c r="G10" s="188">
        <f t="shared" ca="1" si="3"/>
        <v>0</v>
      </c>
      <c r="H10" s="188">
        <f t="shared" ca="1" si="3"/>
        <v>0</v>
      </c>
      <c r="I10" s="188">
        <f t="shared" ca="1" si="3"/>
        <v>0</v>
      </c>
      <c r="J10" s="188">
        <f t="shared" ca="1" si="3"/>
        <v>0</v>
      </c>
      <c r="K10" s="188">
        <f t="shared" ca="1" si="3"/>
        <v>0</v>
      </c>
      <c r="L10" s="188">
        <f t="shared" ca="1" si="3"/>
        <v>0</v>
      </c>
      <c r="M10" s="188">
        <f t="shared" ca="1" si="3"/>
        <v>0</v>
      </c>
      <c r="N10" s="188">
        <f t="shared" ca="1" si="3"/>
        <v>0</v>
      </c>
      <c r="O10" s="188">
        <f t="shared" ca="1" si="4"/>
        <v>0</v>
      </c>
      <c r="P10" s="188">
        <f t="shared" ca="1" si="4"/>
        <v>0</v>
      </c>
      <c r="Q10" s="188">
        <f t="shared" ca="1" si="4"/>
        <v>0</v>
      </c>
      <c r="R10" s="188">
        <f t="shared" ca="1" si="4"/>
        <v>0</v>
      </c>
      <c r="S10" s="188">
        <f t="shared" ca="1" si="4"/>
        <v>0</v>
      </c>
      <c r="T10" s="188">
        <f t="shared" ca="1" si="4"/>
        <v>0</v>
      </c>
      <c r="U10" s="188">
        <f t="shared" ca="1" si="4"/>
        <v>0</v>
      </c>
      <c r="V10" s="188">
        <f t="shared" ca="1" si="4"/>
        <v>0</v>
      </c>
      <c r="W10" s="188">
        <f t="shared" ca="1" si="4"/>
        <v>0</v>
      </c>
      <c r="X10" s="188">
        <f t="shared" ca="1" si="4"/>
        <v>0</v>
      </c>
      <c r="Y10" s="188">
        <f t="shared" ca="1" si="4"/>
        <v>0</v>
      </c>
      <c r="Z10" s="188">
        <f t="shared" ca="1" si="4"/>
        <v>0</v>
      </c>
      <c r="AA10" s="188">
        <f t="shared" ca="1" si="4"/>
        <v>0</v>
      </c>
      <c r="AB10" s="188">
        <f t="shared" ca="1" si="4"/>
        <v>0</v>
      </c>
      <c r="AC10" s="189"/>
      <c r="AD10" s="177"/>
    </row>
    <row r="11" spans="1:30" ht="15" customHeight="1" thickBot="1" x14ac:dyDescent="0.25">
      <c r="B11" s="190"/>
      <c r="C11" s="191" t="s">
        <v>108</v>
      </c>
      <c r="D11" s="192" t="s">
        <v>68</v>
      </c>
      <c r="E11" s="188">
        <f t="shared" ca="1" si="3"/>
        <v>0</v>
      </c>
      <c r="F11" s="188">
        <f t="shared" ca="1" si="3"/>
        <v>0</v>
      </c>
      <c r="G11" s="188">
        <f t="shared" ca="1" si="3"/>
        <v>0</v>
      </c>
      <c r="H11" s="188">
        <f t="shared" ca="1" si="3"/>
        <v>0</v>
      </c>
      <c r="I11" s="188">
        <f t="shared" ca="1" si="3"/>
        <v>0</v>
      </c>
      <c r="J11" s="188">
        <f t="shared" ca="1" si="3"/>
        <v>0</v>
      </c>
      <c r="K11" s="188">
        <f t="shared" ca="1" si="3"/>
        <v>0</v>
      </c>
      <c r="L11" s="188">
        <f t="shared" ca="1" si="3"/>
        <v>0</v>
      </c>
      <c r="M11" s="188">
        <f t="shared" ca="1" si="3"/>
        <v>0</v>
      </c>
      <c r="N11" s="188">
        <f t="shared" ca="1" si="3"/>
        <v>0</v>
      </c>
      <c r="O11" s="188">
        <f t="shared" ca="1" si="4"/>
        <v>25.337</v>
      </c>
      <c r="P11" s="188">
        <f t="shared" ca="1" si="4"/>
        <v>0</v>
      </c>
      <c r="Q11" s="188">
        <f t="shared" ca="1" si="4"/>
        <v>0</v>
      </c>
      <c r="R11" s="188">
        <f t="shared" ca="1" si="4"/>
        <v>11.785</v>
      </c>
      <c r="S11" s="188">
        <f t="shared" ca="1" si="4"/>
        <v>32.652000000000001</v>
      </c>
      <c r="T11" s="188">
        <f t="shared" ca="1" si="4"/>
        <v>0</v>
      </c>
      <c r="U11" s="188">
        <f t="shared" ca="1" si="4"/>
        <v>19.367999999999999</v>
      </c>
      <c r="V11" s="188">
        <f t="shared" ca="1" si="4"/>
        <v>32.58</v>
      </c>
      <c r="W11" s="188">
        <f t="shared" ca="1" si="4"/>
        <v>23.907</v>
      </c>
      <c r="X11" s="188">
        <f t="shared" ca="1" si="4"/>
        <v>0</v>
      </c>
      <c r="Y11" s="188">
        <f t="shared" ca="1" si="4"/>
        <v>26.745000000000001</v>
      </c>
      <c r="Z11" s="188">
        <f t="shared" ca="1" si="4"/>
        <v>0</v>
      </c>
      <c r="AA11" s="188">
        <f t="shared" ca="1" si="4"/>
        <v>0</v>
      </c>
      <c r="AB11" s="188">
        <f t="shared" ca="1" si="4"/>
        <v>16.948</v>
      </c>
      <c r="AC11" s="189"/>
      <c r="AD11" s="177"/>
    </row>
    <row r="12" spans="1:30" ht="15" customHeight="1" x14ac:dyDescent="0.2">
      <c r="B12" s="171"/>
      <c r="C12" s="172" t="s">
        <v>109</v>
      </c>
      <c r="D12" s="173" t="s">
        <v>69</v>
      </c>
      <c r="E12" s="188">
        <f t="shared" ca="1" si="3"/>
        <v>0</v>
      </c>
      <c r="F12" s="188">
        <f t="shared" ca="1" si="3"/>
        <v>0</v>
      </c>
      <c r="G12" s="188">
        <f t="shared" ca="1" si="3"/>
        <v>0</v>
      </c>
      <c r="H12" s="188">
        <f t="shared" ca="1" si="3"/>
        <v>0</v>
      </c>
      <c r="I12" s="188">
        <f t="shared" ca="1" si="3"/>
        <v>0</v>
      </c>
      <c r="J12" s="188">
        <f t="shared" ca="1" si="3"/>
        <v>0</v>
      </c>
      <c r="K12" s="188">
        <f t="shared" ca="1" si="3"/>
        <v>0</v>
      </c>
      <c r="L12" s="188">
        <f t="shared" ca="1" si="3"/>
        <v>0</v>
      </c>
      <c r="M12" s="188">
        <f t="shared" ca="1" si="3"/>
        <v>0</v>
      </c>
      <c r="N12" s="188">
        <f t="shared" ca="1" si="3"/>
        <v>0</v>
      </c>
      <c r="O12" s="188">
        <f t="shared" ca="1" si="4"/>
        <v>0</v>
      </c>
      <c r="P12" s="188">
        <f t="shared" ca="1" si="4"/>
        <v>0</v>
      </c>
      <c r="Q12" s="188">
        <f t="shared" ca="1" si="4"/>
        <v>0</v>
      </c>
      <c r="R12" s="188">
        <f t="shared" ca="1" si="4"/>
        <v>0</v>
      </c>
      <c r="S12" s="188">
        <f t="shared" ca="1" si="4"/>
        <v>0</v>
      </c>
      <c r="T12" s="188">
        <f t="shared" ca="1" si="4"/>
        <v>0</v>
      </c>
      <c r="U12" s="188">
        <f t="shared" ca="1" si="4"/>
        <v>0</v>
      </c>
      <c r="V12" s="188">
        <f t="shared" ca="1" si="4"/>
        <v>0</v>
      </c>
      <c r="W12" s="188">
        <f t="shared" ca="1" si="4"/>
        <v>0</v>
      </c>
      <c r="X12" s="188">
        <f t="shared" ca="1" si="4"/>
        <v>0</v>
      </c>
      <c r="Y12" s="188">
        <f t="shared" ca="1" si="4"/>
        <v>0</v>
      </c>
      <c r="Z12" s="188">
        <f t="shared" ca="1" si="4"/>
        <v>0</v>
      </c>
      <c r="AA12" s="188">
        <f t="shared" ca="1" si="4"/>
        <v>0</v>
      </c>
      <c r="AB12" s="188">
        <f t="shared" ca="1" si="4"/>
        <v>0</v>
      </c>
      <c r="AC12" s="189"/>
    </row>
    <row r="13" spans="1:30" ht="15" customHeight="1" x14ac:dyDescent="0.2">
      <c r="B13" s="70"/>
      <c r="C13" s="70"/>
      <c r="D13" s="70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</row>
    <row r="14" spans="1:30" ht="15" customHeight="1" x14ac:dyDescent="0.2">
      <c r="B14" s="70"/>
      <c r="C14" s="70"/>
      <c r="D14" s="70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</row>
    <row r="15" spans="1:30" ht="15.75" thickBot="1" x14ac:dyDescent="0.25">
      <c r="B15" s="174"/>
      <c r="C15" s="174"/>
    </row>
    <row r="16" spans="1:30" x14ac:dyDescent="0.2">
      <c r="B16" s="159" t="s">
        <v>65</v>
      </c>
      <c r="C16" s="160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</row>
    <row r="17" spans="2:29" x14ac:dyDescent="0.2">
      <c r="B17" s="40" t="s">
        <v>110</v>
      </c>
      <c r="C17" s="162" t="s">
        <v>99</v>
      </c>
      <c r="D17" s="163">
        <v>42369</v>
      </c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</row>
    <row r="18" spans="2:29" x14ac:dyDescent="0.2">
      <c r="B18" s="40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</row>
    <row r="19" spans="2:29" ht="15.75" thickBot="1" x14ac:dyDescent="0.25">
      <c r="B19" s="164"/>
      <c r="C19" s="165"/>
      <c r="D19" s="165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</row>
    <row r="20" spans="2:29" x14ac:dyDescent="0.2">
      <c r="B20" s="242"/>
      <c r="C20" s="243"/>
      <c r="D20" s="244"/>
      <c r="E20" s="182">
        <f ca="1">E21-IF(MONTH(E21)=2,IF(OR(YEAR(E21)=2008,YEAR(E21)=2012,YEAR(E21)=2016),29,28),IF(OR(MONTH(E21)=4,MONTH(E21)=6,MONTH(E21)=9,MONTH(E21)=11),30,31))+1</f>
        <v>41640</v>
      </c>
      <c r="F20" s="183">
        <f t="shared" ref="F20:AB20" ca="1" si="5">F21-IF(MONTH(F21)=2,IF(OR(YEAR(F21)=2008,YEAR(F21)=2012,YEAR(F21)=2016),29,28),IF(OR(MONTH(F21)=4,MONTH(F21)=6,MONTH(F21)=9,MONTH(F21)=11),30,31))+1</f>
        <v>41671</v>
      </c>
      <c r="G20" s="183">
        <f t="shared" ca="1" si="5"/>
        <v>41699</v>
      </c>
      <c r="H20" s="183">
        <f t="shared" ca="1" si="5"/>
        <v>41730</v>
      </c>
      <c r="I20" s="183">
        <f t="shared" ca="1" si="5"/>
        <v>41760</v>
      </c>
      <c r="J20" s="183">
        <f t="shared" ca="1" si="5"/>
        <v>41791</v>
      </c>
      <c r="K20" s="183">
        <f t="shared" ca="1" si="5"/>
        <v>41821</v>
      </c>
      <c r="L20" s="183">
        <f t="shared" ca="1" si="5"/>
        <v>41852</v>
      </c>
      <c r="M20" s="183">
        <f t="shared" ca="1" si="5"/>
        <v>41883</v>
      </c>
      <c r="N20" s="183">
        <f t="shared" ca="1" si="5"/>
        <v>41913</v>
      </c>
      <c r="O20" s="183">
        <f t="shared" ca="1" si="5"/>
        <v>41944</v>
      </c>
      <c r="P20" s="183">
        <f t="shared" ca="1" si="5"/>
        <v>41974</v>
      </c>
      <c r="Q20" s="183">
        <f t="shared" ca="1" si="5"/>
        <v>42005</v>
      </c>
      <c r="R20" s="183">
        <f t="shared" ca="1" si="5"/>
        <v>42036</v>
      </c>
      <c r="S20" s="183">
        <f t="shared" ca="1" si="5"/>
        <v>42064</v>
      </c>
      <c r="T20" s="183">
        <f t="shared" ca="1" si="5"/>
        <v>42095</v>
      </c>
      <c r="U20" s="183">
        <f t="shared" ca="1" si="5"/>
        <v>42125</v>
      </c>
      <c r="V20" s="183">
        <f t="shared" ca="1" si="5"/>
        <v>42156</v>
      </c>
      <c r="W20" s="183">
        <f t="shared" ca="1" si="5"/>
        <v>42186</v>
      </c>
      <c r="X20" s="183">
        <f t="shared" ca="1" si="5"/>
        <v>42217</v>
      </c>
      <c r="Y20" s="183">
        <f t="shared" ca="1" si="5"/>
        <v>42248</v>
      </c>
      <c r="Z20" s="183">
        <f t="shared" ca="1" si="5"/>
        <v>42278</v>
      </c>
      <c r="AA20" s="183">
        <f t="shared" ca="1" si="5"/>
        <v>42309</v>
      </c>
      <c r="AB20" s="183">
        <f t="shared" ca="1" si="5"/>
        <v>42339</v>
      </c>
      <c r="AC20" s="177"/>
    </row>
    <row r="21" spans="2:29" ht="15.75" thickBot="1" x14ac:dyDescent="0.25">
      <c r="B21" s="245"/>
      <c r="C21" s="246"/>
      <c r="D21" s="247"/>
      <c r="E21" s="184">
        <f t="shared" ref="E21" ca="1" si="6">F20-1</f>
        <v>41670</v>
      </c>
      <c r="F21" s="185">
        <f t="shared" ref="F21" ca="1" si="7">G20-1</f>
        <v>41698</v>
      </c>
      <c r="G21" s="185">
        <f t="shared" ref="G21" ca="1" si="8">H20-1</f>
        <v>41729</v>
      </c>
      <c r="H21" s="185">
        <f t="shared" ref="H21" ca="1" si="9">I20-1</f>
        <v>41759</v>
      </c>
      <c r="I21" s="185">
        <f t="shared" ref="I21" ca="1" si="10">J20-1</f>
        <v>41790</v>
      </c>
      <c r="J21" s="185">
        <f t="shared" ref="J21" ca="1" si="11">K20-1</f>
        <v>41820</v>
      </c>
      <c r="K21" s="185">
        <f t="shared" ref="K21" ca="1" si="12">L20-1</f>
        <v>41851</v>
      </c>
      <c r="L21" s="185">
        <f t="shared" ref="L21" ca="1" si="13">M20-1</f>
        <v>41882</v>
      </c>
      <c r="M21" s="185">
        <f t="shared" ref="M21" ca="1" si="14">N20-1</f>
        <v>41912</v>
      </c>
      <c r="N21" s="185">
        <f t="shared" ref="N21" ca="1" si="15">O20-1</f>
        <v>41943</v>
      </c>
      <c r="O21" s="185">
        <f t="shared" ref="O21" ca="1" si="16">P20-1</f>
        <v>41973</v>
      </c>
      <c r="P21" s="185">
        <f t="shared" ref="P21" ca="1" si="17">Q20-1</f>
        <v>42004</v>
      </c>
      <c r="Q21" s="185">
        <f t="shared" ref="Q21" ca="1" si="18">R20-1</f>
        <v>42035</v>
      </c>
      <c r="R21" s="185">
        <f t="shared" ref="R21" ca="1" si="19">S20-1</f>
        <v>42063</v>
      </c>
      <c r="S21" s="185">
        <f t="shared" ref="S21" ca="1" si="20">T20-1</f>
        <v>42094</v>
      </c>
      <c r="T21" s="185">
        <f t="shared" ref="T21" ca="1" si="21">U20-1</f>
        <v>42124</v>
      </c>
      <c r="U21" s="185">
        <f t="shared" ref="U21" ca="1" si="22">V20-1</f>
        <v>42155</v>
      </c>
      <c r="V21" s="185">
        <f t="shared" ref="V21" ca="1" si="23">W20-1</f>
        <v>42185</v>
      </c>
      <c r="W21" s="185">
        <f t="shared" ref="W21" ca="1" si="24">X20-1</f>
        <v>42216</v>
      </c>
      <c r="X21" s="185">
        <f t="shared" ref="X21" ca="1" si="25">Y20-1</f>
        <v>42247</v>
      </c>
      <c r="Y21" s="185">
        <f t="shared" ref="Y21" ca="1" si="26">Z20-1</f>
        <v>42277</v>
      </c>
      <c r="Z21" s="185">
        <f t="shared" ref="Z21" ca="1" si="27">AA20-1</f>
        <v>42308</v>
      </c>
      <c r="AA21" s="185">
        <f t="shared" ref="AA21" ca="1" si="28">AB20-1</f>
        <v>42338</v>
      </c>
      <c r="AB21" s="185">
        <f ca="1">D17</f>
        <v>42369</v>
      </c>
      <c r="AC21" s="177"/>
    </row>
    <row r="22" spans="2:29" ht="15.75" thickBot="1" x14ac:dyDescent="0.25">
      <c r="B22" s="166" t="s">
        <v>0</v>
      </c>
      <c r="C22" s="158" t="s">
        <v>63</v>
      </c>
      <c r="D22" s="167" t="s">
        <v>101</v>
      </c>
      <c r="E22" s="186">
        <f t="shared" ref="E22:AB22" ca="1" si="29">E20</f>
        <v>41640</v>
      </c>
      <c r="F22" s="187">
        <f t="shared" ca="1" si="29"/>
        <v>41671</v>
      </c>
      <c r="G22" s="187">
        <f t="shared" ca="1" si="29"/>
        <v>41699</v>
      </c>
      <c r="H22" s="187">
        <f t="shared" ca="1" si="29"/>
        <v>41730</v>
      </c>
      <c r="I22" s="187">
        <f t="shared" ca="1" si="29"/>
        <v>41760</v>
      </c>
      <c r="J22" s="187">
        <f t="shared" ca="1" si="29"/>
        <v>41791</v>
      </c>
      <c r="K22" s="187">
        <f t="shared" ca="1" si="29"/>
        <v>41821</v>
      </c>
      <c r="L22" s="187">
        <f t="shared" ca="1" si="29"/>
        <v>41852</v>
      </c>
      <c r="M22" s="187">
        <f t="shared" ca="1" si="29"/>
        <v>41883</v>
      </c>
      <c r="N22" s="187">
        <f t="shared" ca="1" si="29"/>
        <v>41913</v>
      </c>
      <c r="O22" s="187">
        <f t="shared" ca="1" si="29"/>
        <v>41944</v>
      </c>
      <c r="P22" s="187">
        <f t="shared" ca="1" si="29"/>
        <v>41974</v>
      </c>
      <c r="Q22" s="187">
        <f t="shared" ca="1" si="29"/>
        <v>42005</v>
      </c>
      <c r="R22" s="187">
        <f t="shared" ca="1" si="29"/>
        <v>42036</v>
      </c>
      <c r="S22" s="187">
        <f t="shared" ca="1" si="29"/>
        <v>42064</v>
      </c>
      <c r="T22" s="187">
        <f t="shared" ca="1" si="29"/>
        <v>42095</v>
      </c>
      <c r="U22" s="187">
        <f t="shared" ca="1" si="29"/>
        <v>42125</v>
      </c>
      <c r="V22" s="187">
        <f t="shared" ca="1" si="29"/>
        <v>42156</v>
      </c>
      <c r="W22" s="187">
        <f t="shared" ca="1" si="29"/>
        <v>42186</v>
      </c>
      <c r="X22" s="187">
        <f t="shared" ca="1" si="29"/>
        <v>42217</v>
      </c>
      <c r="Y22" s="187">
        <f t="shared" ca="1" si="29"/>
        <v>42248</v>
      </c>
      <c r="Z22" s="187">
        <f t="shared" ca="1" si="29"/>
        <v>42278</v>
      </c>
      <c r="AA22" s="187">
        <f t="shared" ca="1" si="29"/>
        <v>42309</v>
      </c>
      <c r="AB22" s="187">
        <f t="shared" ca="1" si="29"/>
        <v>42339</v>
      </c>
      <c r="AC22" s="177"/>
    </row>
    <row r="23" spans="2:29" ht="15.75" thickBot="1" x14ac:dyDescent="0.25">
      <c r="B23" s="168"/>
      <c r="C23" s="169" t="s">
        <v>37</v>
      </c>
      <c r="D23" s="170" t="s">
        <v>66</v>
      </c>
      <c r="E23" s="188">
        <f t="shared" ref="E23:N26" ca="1" si="30">AbraPayable(URL,Username,Password,$D23,E$20,E$21)/1000</f>
        <v>0</v>
      </c>
      <c r="F23" s="188">
        <f t="shared" ca="1" si="30"/>
        <v>0</v>
      </c>
      <c r="G23" s="188">
        <f t="shared" ca="1" si="30"/>
        <v>0</v>
      </c>
      <c r="H23" s="188">
        <f t="shared" ca="1" si="30"/>
        <v>0</v>
      </c>
      <c r="I23" s="188">
        <f t="shared" ca="1" si="30"/>
        <v>0</v>
      </c>
      <c r="J23" s="188">
        <f t="shared" ca="1" si="30"/>
        <v>0</v>
      </c>
      <c r="K23" s="188">
        <f t="shared" ca="1" si="30"/>
        <v>0</v>
      </c>
      <c r="L23" s="188">
        <f t="shared" ca="1" si="30"/>
        <v>0</v>
      </c>
      <c r="M23" s="188">
        <f t="shared" ca="1" si="30"/>
        <v>0</v>
      </c>
      <c r="N23" s="188">
        <f t="shared" ca="1" si="30"/>
        <v>0</v>
      </c>
      <c r="O23" s="188">
        <f t="shared" ref="O23:AB26" ca="1" si="31">AbraPayable(URL,Username,Password,$D23,O$20,O$21)/1000</f>
        <v>0</v>
      </c>
      <c r="P23" s="188">
        <f t="shared" ca="1" si="31"/>
        <v>0</v>
      </c>
      <c r="Q23" s="188">
        <f t="shared" ca="1" si="31"/>
        <v>0</v>
      </c>
      <c r="R23" s="188">
        <f t="shared" ca="1" si="31"/>
        <v>0</v>
      </c>
      <c r="S23" s="188">
        <f t="shared" ca="1" si="31"/>
        <v>0</v>
      </c>
      <c r="T23" s="188">
        <f t="shared" ca="1" si="31"/>
        <v>0</v>
      </c>
      <c r="U23" s="188">
        <f t="shared" ca="1" si="31"/>
        <v>0</v>
      </c>
      <c r="V23" s="188">
        <f t="shared" ca="1" si="31"/>
        <v>0</v>
      </c>
      <c r="W23" s="188">
        <f t="shared" ca="1" si="31"/>
        <v>0</v>
      </c>
      <c r="X23" s="188">
        <f t="shared" ca="1" si="31"/>
        <v>0</v>
      </c>
      <c r="Y23" s="188">
        <f t="shared" ca="1" si="31"/>
        <v>0</v>
      </c>
      <c r="Z23" s="188">
        <f t="shared" ca="1" si="31"/>
        <v>0</v>
      </c>
      <c r="AA23" s="188">
        <f t="shared" ca="1" si="31"/>
        <v>0</v>
      </c>
      <c r="AB23" s="188">
        <f t="shared" ca="1" si="31"/>
        <v>0</v>
      </c>
      <c r="AC23" s="189"/>
    </row>
    <row r="24" spans="2:29" ht="15.75" thickBot="1" x14ac:dyDescent="0.25">
      <c r="B24" s="190"/>
      <c r="C24" s="191" t="s">
        <v>107</v>
      </c>
      <c r="D24" s="192" t="s">
        <v>67</v>
      </c>
      <c r="E24" s="188">
        <f t="shared" ca="1" si="30"/>
        <v>0</v>
      </c>
      <c r="F24" s="188">
        <f t="shared" ca="1" si="30"/>
        <v>0</v>
      </c>
      <c r="G24" s="188">
        <f t="shared" ca="1" si="30"/>
        <v>0</v>
      </c>
      <c r="H24" s="188">
        <f t="shared" ca="1" si="30"/>
        <v>0</v>
      </c>
      <c r="I24" s="188">
        <f t="shared" ca="1" si="30"/>
        <v>0</v>
      </c>
      <c r="J24" s="188">
        <f t="shared" ca="1" si="30"/>
        <v>0</v>
      </c>
      <c r="K24" s="188">
        <f t="shared" ca="1" si="30"/>
        <v>0</v>
      </c>
      <c r="L24" s="188">
        <f t="shared" ca="1" si="30"/>
        <v>0</v>
      </c>
      <c r="M24" s="188">
        <f t="shared" ca="1" si="30"/>
        <v>0</v>
      </c>
      <c r="N24" s="188">
        <f t="shared" ca="1" si="30"/>
        <v>0</v>
      </c>
      <c r="O24" s="188">
        <f t="shared" ca="1" si="31"/>
        <v>0</v>
      </c>
      <c r="P24" s="188">
        <f t="shared" ca="1" si="31"/>
        <v>0</v>
      </c>
      <c r="Q24" s="188">
        <f t="shared" ca="1" si="31"/>
        <v>0</v>
      </c>
      <c r="R24" s="188">
        <f t="shared" ca="1" si="31"/>
        <v>0</v>
      </c>
      <c r="S24" s="188">
        <f t="shared" ca="1" si="31"/>
        <v>0</v>
      </c>
      <c r="T24" s="188">
        <f t="shared" ca="1" si="31"/>
        <v>0</v>
      </c>
      <c r="U24" s="188">
        <f t="shared" ca="1" si="31"/>
        <v>0</v>
      </c>
      <c r="V24" s="188">
        <f t="shared" ca="1" si="31"/>
        <v>0</v>
      </c>
      <c r="W24" s="188">
        <f t="shared" ca="1" si="31"/>
        <v>0</v>
      </c>
      <c r="X24" s="188">
        <f t="shared" ca="1" si="31"/>
        <v>0</v>
      </c>
      <c r="Y24" s="188">
        <f t="shared" ca="1" si="31"/>
        <v>0</v>
      </c>
      <c r="Z24" s="188">
        <f t="shared" ca="1" si="31"/>
        <v>0</v>
      </c>
      <c r="AA24" s="188">
        <f t="shared" ca="1" si="31"/>
        <v>0</v>
      </c>
      <c r="AB24" s="188">
        <f t="shared" ca="1" si="31"/>
        <v>0</v>
      </c>
      <c r="AC24" s="189"/>
    </row>
    <row r="25" spans="2:29" ht="15.75" thickBot="1" x14ac:dyDescent="0.25">
      <c r="B25" s="190"/>
      <c r="C25" s="191" t="s">
        <v>108</v>
      </c>
      <c r="D25" s="192" t="s">
        <v>68</v>
      </c>
      <c r="E25" s="188">
        <f t="shared" ca="1" si="30"/>
        <v>0</v>
      </c>
      <c r="F25" s="188">
        <f t="shared" ca="1" si="30"/>
        <v>0</v>
      </c>
      <c r="G25" s="188">
        <f t="shared" ca="1" si="30"/>
        <v>0</v>
      </c>
      <c r="H25" s="188">
        <f t="shared" ca="1" si="30"/>
        <v>0</v>
      </c>
      <c r="I25" s="188">
        <f t="shared" ca="1" si="30"/>
        <v>0</v>
      </c>
      <c r="J25" s="188">
        <f t="shared" ca="1" si="30"/>
        <v>0</v>
      </c>
      <c r="K25" s="188">
        <f t="shared" ca="1" si="30"/>
        <v>0</v>
      </c>
      <c r="L25" s="188">
        <f t="shared" ca="1" si="30"/>
        <v>0</v>
      </c>
      <c r="M25" s="188">
        <f t="shared" ca="1" si="30"/>
        <v>0</v>
      </c>
      <c r="N25" s="188">
        <f t="shared" ca="1" si="30"/>
        <v>0</v>
      </c>
      <c r="O25" s="188">
        <f t="shared" ca="1" si="31"/>
        <v>0</v>
      </c>
      <c r="P25" s="188">
        <f t="shared" ca="1" si="31"/>
        <v>0</v>
      </c>
      <c r="Q25" s="188">
        <f t="shared" ca="1" si="31"/>
        <v>0</v>
      </c>
      <c r="R25" s="188">
        <f t="shared" ca="1" si="31"/>
        <v>0</v>
      </c>
      <c r="S25" s="188">
        <f t="shared" ca="1" si="31"/>
        <v>0</v>
      </c>
      <c r="T25" s="188">
        <f t="shared" ca="1" si="31"/>
        <v>0</v>
      </c>
      <c r="U25" s="188">
        <f t="shared" ca="1" si="31"/>
        <v>0</v>
      </c>
      <c r="V25" s="188">
        <f t="shared" ca="1" si="31"/>
        <v>0</v>
      </c>
      <c r="W25" s="188">
        <f t="shared" ca="1" si="31"/>
        <v>0</v>
      </c>
      <c r="X25" s="188">
        <f t="shared" ca="1" si="31"/>
        <v>0</v>
      </c>
      <c r="Y25" s="188">
        <f t="shared" ca="1" si="31"/>
        <v>0</v>
      </c>
      <c r="Z25" s="188">
        <f t="shared" ca="1" si="31"/>
        <v>0</v>
      </c>
      <c r="AA25" s="188">
        <f t="shared" ca="1" si="31"/>
        <v>0</v>
      </c>
      <c r="AB25" s="188">
        <f t="shared" ca="1" si="31"/>
        <v>0</v>
      </c>
      <c r="AC25" s="189"/>
    </row>
    <row r="26" spans="2:29" x14ac:dyDescent="0.2">
      <c r="B26" s="171"/>
      <c r="C26" s="172" t="s">
        <v>109</v>
      </c>
      <c r="D26" s="173" t="s">
        <v>69</v>
      </c>
      <c r="E26" s="188">
        <f t="shared" ca="1" si="30"/>
        <v>0</v>
      </c>
      <c r="F26" s="188">
        <f t="shared" ca="1" si="30"/>
        <v>0</v>
      </c>
      <c r="G26" s="188">
        <f t="shared" ca="1" si="30"/>
        <v>0</v>
      </c>
      <c r="H26" s="188">
        <f t="shared" ca="1" si="30"/>
        <v>0</v>
      </c>
      <c r="I26" s="188">
        <f t="shared" ca="1" si="30"/>
        <v>0</v>
      </c>
      <c r="J26" s="188">
        <f t="shared" ca="1" si="30"/>
        <v>0</v>
      </c>
      <c r="K26" s="188">
        <f t="shared" ca="1" si="30"/>
        <v>0</v>
      </c>
      <c r="L26" s="188">
        <f t="shared" ca="1" si="30"/>
        <v>0</v>
      </c>
      <c r="M26" s="188">
        <f t="shared" ca="1" si="30"/>
        <v>0</v>
      </c>
      <c r="N26" s="188">
        <f t="shared" ca="1" si="30"/>
        <v>0</v>
      </c>
      <c r="O26" s="188">
        <f t="shared" ca="1" si="31"/>
        <v>0</v>
      </c>
      <c r="P26" s="188">
        <f t="shared" ca="1" si="31"/>
        <v>0</v>
      </c>
      <c r="Q26" s="188">
        <f t="shared" ca="1" si="31"/>
        <v>0</v>
      </c>
      <c r="R26" s="188">
        <f t="shared" ca="1" si="31"/>
        <v>0</v>
      </c>
      <c r="S26" s="188">
        <f t="shared" ca="1" si="31"/>
        <v>0</v>
      </c>
      <c r="T26" s="188">
        <f t="shared" ca="1" si="31"/>
        <v>0</v>
      </c>
      <c r="U26" s="188">
        <f t="shared" ca="1" si="31"/>
        <v>0</v>
      </c>
      <c r="V26" s="188">
        <f t="shared" ca="1" si="31"/>
        <v>0</v>
      </c>
      <c r="W26" s="188">
        <f t="shared" ca="1" si="31"/>
        <v>0</v>
      </c>
      <c r="X26" s="188">
        <f t="shared" ca="1" si="31"/>
        <v>0</v>
      </c>
      <c r="Y26" s="188">
        <f t="shared" ca="1" si="31"/>
        <v>0</v>
      </c>
      <c r="Z26" s="188">
        <f t="shared" ca="1" si="31"/>
        <v>0</v>
      </c>
      <c r="AA26" s="188">
        <f t="shared" ca="1" si="31"/>
        <v>0</v>
      </c>
      <c r="AB26" s="188">
        <f t="shared" ca="1" si="31"/>
        <v>0</v>
      </c>
      <c r="AC26" s="189"/>
    </row>
    <row r="27" spans="2:29" x14ac:dyDescent="0.2">
      <c r="B27" s="70"/>
      <c r="C27" s="70"/>
      <c r="D27" s="70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</row>
    <row r="28" spans="2:29" x14ac:dyDescent="0.2">
      <c r="B28" s="70"/>
      <c r="C28" s="70"/>
      <c r="D28" s="70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</row>
    <row r="30" spans="2:29" x14ac:dyDescent="0.2">
      <c r="B30" s="194"/>
      <c r="C30" s="194"/>
    </row>
    <row r="32" spans="2:29" x14ac:dyDescent="0.2">
      <c r="B32" s="195"/>
      <c r="C32" s="195"/>
    </row>
    <row r="33" spans="2:3" x14ac:dyDescent="0.2">
      <c r="B33" s="195"/>
      <c r="C33" s="195"/>
    </row>
    <row r="34" spans="2:3" x14ac:dyDescent="0.2">
      <c r="B34" s="195"/>
      <c r="C34" s="195"/>
    </row>
    <row r="35" spans="2:3" x14ac:dyDescent="0.2">
      <c r="B35" s="195"/>
      <c r="C35" s="195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="40" zoomScaleNormal="40" zoomScalePageLayoutView="130" workbookViewId="0">
      <selection activeCell="AJ67" sqref="AJ67"/>
    </sheetView>
  </sheetViews>
  <sheetFormatPr defaultColWidth="9.140625" defaultRowHeight="15" outlineLevelCol="1" x14ac:dyDescent="0.2"/>
  <cols>
    <col min="1" max="1" width="1.7109375" style="41" customWidth="1"/>
    <col min="2" max="2" width="30.28515625" style="72" bestFit="1" customWidth="1"/>
    <col min="3" max="3" width="30.28515625" style="72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116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39447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5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7"/>
      <c r="B6" s="235"/>
      <c r="C6" s="240"/>
      <c r="D6" s="236"/>
      <c r="E6" s="54">
        <f ca="1">E7-IF(MONTH(E7)=2,IF(OR(YEAR(E7)=2008,YEAR(E7)=2012,YEAR(E7)=2016),29,28),IF(OR(MONTH(E7)=4,MONTH(E7)=6,MONTH(E7)=9,MONTH(E7)=11),30,31))+1</f>
        <v>38718</v>
      </c>
      <c r="F6" s="55">
        <f t="shared" ref="F6:AB6" ca="1" si="0">F7-IF(MONTH(F7)=2,IF(OR(YEAR(F7)=2008,YEAR(F7)=2012,YEAR(F7)=2016),29,28),IF(OR(MONTH(F7)=4,MONTH(F7)=6,MONTH(F7)=9,MONTH(F7)=11),30,31))+1</f>
        <v>38749</v>
      </c>
      <c r="G6" s="55">
        <f t="shared" ca="1" si="0"/>
        <v>38777</v>
      </c>
      <c r="H6" s="55">
        <f t="shared" ca="1" si="0"/>
        <v>38808</v>
      </c>
      <c r="I6" s="55">
        <f t="shared" ca="1" si="0"/>
        <v>38838</v>
      </c>
      <c r="J6" s="55">
        <f t="shared" ca="1" si="0"/>
        <v>38869</v>
      </c>
      <c r="K6" s="55">
        <f t="shared" ca="1" si="0"/>
        <v>38899</v>
      </c>
      <c r="L6" s="55">
        <f t="shared" ca="1" si="0"/>
        <v>38930</v>
      </c>
      <c r="M6" s="55">
        <f t="shared" ca="1" si="0"/>
        <v>38961</v>
      </c>
      <c r="N6" s="55">
        <f t="shared" ca="1" si="0"/>
        <v>38991</v>
      </c>
      <c r="O6" s="55">
        <f t="shared" ca="1" si="0"/>
        <v>39022</v>
      </c>
      <c r="P6" s="55">
        <f t="shared" ca="1" si="0"/>
        <v>39052</v>
      </c>
      <c r="Q6" s="55">
        <f t="shared" ca="1" si="0"/>
        <v>39083</v>
      </c>
      <c r="R6" s="55">
        <f t="shared" ca="1" si="0"/>
        <v>39114</v>
      </c>
      <c r="S6" s="55">
        <f t="shared" ca="1" si="0"/>
        <v>39142</v>
      </c>
      <c r="T6" s="55">
        <f t="shared" ca="1" si="0"/>
        <v>39173</v>
      </c>
      <c r="U6" s="55">
        <f t="shared" ca="1" si="0"/>
        <v>39203</v>
      </c>
      <c r="V6" s="55">
        <f t="shared" ca="1" si="0"/>
        <v>39234</v>
      </c>
      <c r="W6" s="55">
        <f t="shared" ca="1" si="0"/>
        <v>39264</v>
      </c>
      <c r="X6" s="55">
        <f t="shared" ca="1" si="0"/>
        <v>39295</v>
      </c>
      <c r="Y6" s="55">
        <f t="shared" ca="1" si="0"/>
        <v>39326</v>
      </c>
      <c r="Z6" s="55">
        <f t="shared" ca="1" si="0"/>
        <v>39356</v>
      </c>
      <c r="AA6" s="55">
        <f t="shared" ca="1" si="0"/>
        <v>39387</v>
      </c>
      <c r="AB6" s="55">
        <f t="shared" ca="1" si="0"/>
        <v>39417</v>
      </c>
    </row>
    <row r="7" spans="1:30" s="49" customFormat="1" ht="15" customHeight="1" thickBot="1" x14ac:dyDescent="0.25">
      <c r="A7" s="47"/>
      <c r="B7" s="237"/>
      <c r="C7" s="241"/>
      <c r="D7" s="238"/>
      <c r="E7" s="56">
        <f t="shared" ref="E7:AA7" ca="1" si="1">F6-1</f>
        <v>38748</v>
      </c>
      <c r="F7" s="57">
        <f t="shared" ca="1" si="1"/>
        <v>38776</v>
      </c>
      <c r="G7" s="57">
        <f t="shared" ca="1" si="1"/>
        <v>38807</v>
      </c>
      <c r="H7" s="57">
        <f t="shared" ca="1" si="1"/>
        <v>38837</v>
      </c>
      <c r="I7" s="57">
        <f t="shared" ca="1" si="1"/>
        <v>38868</v>
      </c>
      <c r="J7" s="57">
        <f t="shared" ca="1" si="1"/>
        <v>38898</v>
      </c>
      <c r="K7" s="57">
        <f t="shared" ca="1" si="1"/>
        <v>38929</v>
      </c>
      <c r="L7" s="57">
        <f t="shared" ca="1" si="1"/>
        <v>38960</v>
      </c>
      <c r="M7" s="57">
        <f t="shared" ca="1" si="1"/>
        <v>38990</v>
      </c>
      <c r="N7" s="57">
        <f t="shared" ca="1" si="1"/>
        <v>39021</v>
      </c>
      <c r="O7" s="57">
        <f t="shared" ca="1" si="1"/>
        <v>39051</v>
      </c>
      <c r="P7" s="57">
        <f t="shared" ca="1" si="1"/>
        <v>39082</v>
      </c>
      <c r="Q7" s="57">
        <f t="shared" ca="1" si="1"/>
        <v>39113</v>
      </c>
      <c r="R7" s="57">
        <f t="shared" ca="1" si="1"/>
        <v>39141</v>
      </c>
      <c r="S7" s="57">
        <f t="shared" ca="1" si="1"/>
        <v>39172</v>
      </c>
      <c r="T7" s="57">
        <f t="shared" ca="1" si="1"/>
        <v>39202</v>
      </c>
      <c r="U7" s="57">
        <f t="shared" ca="1" si="1"/>
        <v>39233</v>
      </c>
      <c r="V7" s="57">
        <f t="shared" ca="1" si="1"/>
        <v>39263</v>
      </c>
      <c r="W7" s="57">
        <f t="shared" ca="1" si="1"/>
        <v>39294</v>
      </c>
      <c r="X7" s="57">
        <f t="shared" ca="1" si="1"/>
        <v>39325</v>
      </c>
      <c r="Y7" s="57">
        <f t="shared" ca="1" si="1"/>
        <v>39355</v>
      </c>
      <c r="Z7" s="57">
        <f t="shared" ca="1" si="1"/>
        <v>39386</v>
      </c>
      <c r="AA7" s="57">
        <f t="shared" ca="1" si="1"/>
        <v>39416</v>
      </c>
      <c r="AB7" s="57">
        <f ca="1">D3</f>
        <v>39447</v>
      </c>
    </row>
    <row r="8" spans="1:30" s="49" customFormat="1" ht="15" customHeight="1" thickBot="1" x14ac:dyDescent="0.25">
      <c r="B8" s="31" t="s">
        <v>0</v>
      </c>
      <c r="C8" s="157" t="s">
        <v>63</v>
      </c>
      <c r="D8" s="32" t="s">
        <v>101</v>
      </c>
      <c r="E8" s="223">
        <f t="shared" ref="E8:AB8" ca="1" si="2">E6</f>
        <v>38718</v>
      </c>
      <c r="F8" s="59">
        <f t="shared" ca="1" si="2"/>
        <v>38749</v>
      </c>
      <c r="G8" s="59">
        <f t="shared" ca="1" si="2"/>
        <v>38777</v>
      </c>
      <c r="H8" s="60">
        <f t="shared" ca="1" si="2"/>
        <v>38808</v>
      </c>
      <c r="I8" s="60">
        <f t="shared" ca="1" si="2"/>
        <v>38838</v>
      </c>
      <c r="J8" s="60">
        <f t="shared" ca="1" si="2"/>
        <v>38869</v>
      </c>
      <c r="K8" s="60">
        <f t="shared" ca="1" si="2"/>
        <v>38899</v>
      </c>
      <c r="L8" s="60">
        <f t="shared" ca="1" si="2"/>
        <v>38930</v>
      </c>
      <c r="M8" s="60">
        <f t="shared" ca="1" si="2"/>
        <v>38961</v>
      </c>
      <c r="N8" s="60">
        <f t="shared" ca="1" si="2"/>
        <v>38991</v>
      </c>
      <c r="O8" s="60">
        <f t="shared" ca="1" si="2"/>
        <v>39022</v>
      </c>
      <c r="P8" s="60">
        <f t="shared" ca="1" si="2"/>
        <v>39052</v>
      </c>
      <c r="Q8" s="60">
        <f t="shared" ca="1" si="2"/>
        <v>39083</v>
      </c>
      <c r="R8" s="60">
        <f t="shared" ca="1" si="2"/>
        <v>39114</v>
      </c>
      <c r="S8" s="60">
        <f t="shared" ca="1" si="2"/>
        <v>39142</v>
      </c>
      <c r="T8" s="60">
        <f t="shared" ca="1" si="2"/>
        <v>39173</v>
      </c>
      <c r="U8" s="60">
        <f t="shared" ca="1" si="2"/>
        <v>39203</v>
      </c>
      <c r="V8" s="60">
        <f t="shared" ca="1" si="2"/>
        <v>39234</v>
      </c>
      <c r="W8" s="60">
        <f t="shared" ca="1" si="2"/>
        <v>39264</v>
      </c>
      <c r="X8" s="60">
        <f t="shared" ca="1" si="2"/>
        <v>39295</v>
      </c>
      <c r="Y8" s="60">
        <f t="shared" ca="1" si="2"/>
        <v>39326</v>
      </c>
      <c r="Z8" s="60">
        <f t="shared" ca="1" si="2"/>
        <v>39356</v>
      </c>
      <c r="AA8" s="60">
        <f t="shared" ca="1" si="2"/>
        <v>39387</v>
      </c>
      <c r="AB8" s="60">
        <f t="shared" ca="1" si="2"/>
        <v>39417</v>
      </c>
    </row>
    <row r="9" spans="1:30" ht="15" customHeight="1" x14ac:dyDescent="0.2">
      <c r="B9" s="61"/>
      <c r="C9" s="61" t="s">
        <v>75</v>
      </c>
      <c r="D9" s="221" t="s">
        <v>53</v>
      </c>
      <c r="E9" s="217">
        <f t="shared" ref="E9:T10" ca="1" si="3">AbraDepreciation(URL,Username,Password,$D9,E$6,E$7)/1000</f>
        <v>14.693</v>
      </c>
      <c r="F9" s="222">
        <f t="shared" ca="1" si="3"/>
        <v>14.693</v>
      </c>
      <c r="G9" s="213">
        <f t="shared" ca="1" si="3"/>
        <v>14.692</v>
      </c>
      <c r="H9" s="213">
        <f t="shared" ca="1" si="3"/>
        <v>14.692</v>
      </c>
      <c r="I9" s="213">
        <f t="shared" ca="1" si="3"/>
        <v>14.692</v>
      </c>
      <c r="J9" s="213">
        <f t="shared" ca="1" si="3"/>
        <v>14.692</v>
      </c>
      <c r="K9" s="213">
        <f t="shared" ca="1" si="3"/>
        <v>14.691000000000001</v>
      </c>
      <c r="L9" s="213">
        <f t="shared" ca="1" si="3"/>
        <v>14.691000000000001</v>
      </c>
      <c r="M9" s="213">
        <f t="shared" ca="1" si="3"/>
        <v>14.691000000000001</v>
      </c>
      <c r="N9" s="213">
        <f t="shared" ca="1" si="3"/>
        <v>14.691000000000001</v>
      </c>
      <c r="O9" s="213">
        <f t="shared" ca="1" si="3"/>
        <v>14.691000000000001</v>
      </c>
      <c r="P9" s="213">
        <f t="shared" ca="1" si="3"/>
        <v>14.691000000000001</v>
      </c>
      <c r="Q9" s="213">
        <f t="shared" ca="1" si="3"/>
        <v>12.766</v>
      </c>
      <c r="R9" s="213">
        <f t="shared" ca="1" si="3"/>
        <v>12.766</v>
      </c>
      <c r="S9" s="213">
        <f t="shared" ca="1" si="3"/>
        <v>12.766</v>
      </c>
      <c r="T9" s="213">
        <f t="shared" ca="1" si="3"/>
        <v>12.765000000000001</v>
      </c>
      <c r="U9" s="213">
        <f t="shared" ref="U9:AB9" ca="1" si="4">AbraDepreciation(URL,Username,Password,$D9,U$6,U$7)/1000</f>
        <v>12.763999999999999</v>
      </c>
      <c r="V9" s="213">
        <f t="shared" ca="1" si="4"/>
        <v>12.763999999999999</v>
      </c>
      <c r="W9" s="213">
        <f t="shared" ca="1" si="4"/>
        <v>12.763999999999999</v>
      </c>
      <c r="X9" s="213">
        <f t="shared" ca="1" si="4"/>
        <v>12.763999999999999</v>
      </c>
      <c r="Y9" s="213">
        <f t="shared" ca="1" si="4"/>
        <v>12.763999999999999</v>
      </c>
      <c r="Z9" s="213">
        <f t="shared" ca="1" si="4"/>
        <v>12.763999999999999</v>
      </c>
      <c r="AA9" s="213">
        <f t="shared" ca="1" si="4"/>
        <v>12.763999999999999</v>
      </c>
      <c r="AB9" s="213">
        <f t="shared" ca="1" si="4"/>
        <v>12.763999999999999</v>
      </c>
      <c r="AC9" s="49"/>
      <c r="AD9" s="49"/>
    </row>
    <row r="10" spans="1:30" ht="15" customHeight="1" thickBot="1" x14ac:dyDescent="0.25">
      <c r="B10" s="65"/>
      <c r="C10" s="65" t="s">
        <v>76</v>
      </c>
      <c r="D10" s="67" t="s">
        <v>66</v>
      </c>
      <c r="E10" s="196">
        <f t="shared" ca="1" si="3"/>
        <v>14.693</v>
      </c>
      <c r="F10" s="196">
        <f t="shared" ca="1" si="3"/>
        <v>14.693</v>
      </c>
      <c r="G10" s="196">
        <f t="shared" ca="1" si="3"/>
        <v>14.692</v>
      </c>
      <c r="H10" s="196">
        <f t="shared" ca="1" si="3"/>
        <v>14.692</v>
      </c>
      <c r="I10" s="196">
        <f t="shared" ca="1" si="3"/>
        <v>14.692</v>
      </c>
      <c r="J10" s="196">
        <f t="shared" ca="1" si="3"/>
        <v>14.692</v>
      </c>
      <c r="K10" s="196">
        <f t="shared" ca="1" si="3"/>
        <v>14.691000000000001</v>
      </c>
      <c r="L10" s="196">
        <f t="shared" ca="1" si="3"/>
        <v>14.691000000000001</v>
      </c>
      <c r="M10" s="196">
        <f t="shared" ca="1" si="3"/>
        <v>14.691000000000001</v>
      </c>
      <c r="N10" s="196">
        <f t="shared" ca="1" si="3"/>
        <v>14.691000000000001</v>
      </c>
      <c r="O10" s="196">
        <f t="shared" ref="O10:AB10" ca="1" si="5">AbraDepreciation(URL,Username,Password,$D10,O$6,O$7)/1000</f>
        <v>14.691000000000001</v>
      </c>
      <c r="P10" s="196">
        <f t="shared" ca="1" si="5"/>
        <v>14.691000000000001</v>
      </c>
      <c r="Q10" s="196">
        <f t="shared" ca="1" si="5"/>
        <v>12.766</v>
      </c>
      <c r="R10" s="196">
        <f t="shared" ca="1" si="5"/>
        <v>12.766</v>
      </c>
      <c r="S10" s="196">
        <f t="shared" ca="1" si="5"/>
        <v>12.766</v>
      </c>
      <c r="T10" s="196">
        <f t="shared" ca="1" si="5"/>
        <v>12.765000000000001</v>
      </c>
      <c r="U10" s="196">
        <f t="shared" ca="1" si="5"/>
        <v>12.763999999999999</v>
      </c>
      <c r="V10" s="196">
        <f t="shared" ca="1" si="5"/>
        <v>12.763999999999999</v>
      </c>
      <c r="W10" s="196">
        <f t="shared" ca="1" si="5"/>
        <v>12.763999999999999</v>
      </c>
      <c r="X10" s="196">
        <f t="shared" ca="1" si="5"/>
        <v>12.763999999999999</v>
      </c>
      <c r="Y10" s="196">
        <f t="shared" ca="1" si="5"/>
        <v>12.763999999999999</v>
      </c>
      <c r="Z10" s="196">
        <f t="shared" ca="1" si="5"/>
        <v>12.763999999999999</v>
      </c>
      <c r="AA10" s="196">
        <f t="shared" ca="1" si="5"/>
        <v>12.763999999999999</v>
      </c>
      <c r="AB10" s="196">
        <f t="shared" ca="1" si="5"/>
        <v>12.763999999999999</v>
      </c>
    </row>
    <row r="11" spans="1:30" ht="15" customHeight="1" thickBot="1" x14ac:dyDescent="0.25">
      <c r="B11" s="229" t="s">
        <v>70</v>
      </c>
      <c r="C11" s="239"/>
      <c r="D11" s="230"/>
      <c r="E11" s="68">
        <f ca="1">E9-E10</f>
        <v>0</v>
      </c>
      <c r="F11" s="68">
        <f t="shared" ref="F11:AB11" ca="1" si="6">F9-F10</f>
        <v>0</v>
      </c>
      <c r="G11" s="68">
        <f t="shared" ca="1" si="6"/>
        <v>0</v>
      </c>
      <c r="H11" s="68">
        <f t="shared" ca="1" si="6"/>
        <v>0</v>
      </c>
      <c r="I11" s="68">
        <f t="shared" ca="1" si="6"/>
        <v>0</v>
      </c>
      <c r="J11" s="68">
        <f t="shared" ca="1" si="6"/>
        <v>0</v>
      </c>
      <c r="K11" s="68">
        <f t="shared" ca="1" si="6"/>
        <v>0</v>
      </c>
      <c r="L11" s="68">
        <f t="shared" ca="1" si="6"/>
        <v>0</v>
      </c>
      <c r="M11" s="68">
        <f t="shared" ca="1" si="6"/>
        <v>0</v>
      </c>
      <c r="N11" s="68">
        <f t="shared" ca="1" si="6"/>
        <v>0</v>
      </c>
      <c r="O11" s="68">
        <f t="shared" ca="1" si="6"/>
        <v>0</v>
      </c>
      <c r="P11" s="68">
        <f t="shared" ca="1" si="6"/>
        <v>0</v>
      </c>
      <c r="Q11" s="68">
        <f t="shared" ca="1" si="6"/>
        <v>0</v>
      </c>
      <c r="R11" s="68">
        <f t="shared" ca="1" si="6"/>
        <v>0</v>
      </c>
      <c r="S11" s="68">
        <f t="shared" ca="1" si="6"/>
        <v>0</v>
      </c>
      <c r="T11" s="68">
        <f t="shared" ca="1" si="6"/>
        <v>0</v>
      </c>
      <c r="U11" s="68">
        <f t="shared" ca="1" si="6"/>
        <v>0</v>
      </c>
      <c r="V11" s="68">
        <f t="shared" ca="1" si="6"/>
        <v>0</v>
      </c>
      <c r="W11" s="68">
        <f t="shared" ca="1" si="6"/>
        <v>0</v>
      </c>
      <c r="X11" s="68">
        <f t="shared" ca="1" si="6"/>
        <v>0</v>
      </c>
      <c r="Y11" s="68">
        <f t="shared" ca="1" si="6"/>
        <v>0</v>
      </c>
      <c r="Z11" s="68">
        <f t="shared" ca="1" si="6"/>
        <v>0</v>
      </c>
      <c r="AA11" s="68">
        <f t="shared" ca="1" si="6"/>
        <v>0</v>
      </c>
      <c r="AB11" s="68">
        <f t="shared" ca="1" si="6"/>
        <v>0</v>
      </c>
    </row>
    <row r="12" spans="1:30" ht="15" customHeight="1" x14ac:dyDescent="0.2">
      <c r="B12" s="70"/>
      <c r="C12" s="70"/>
      <c r="D12" s="70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</row>
    <row r="13" spans="1:30" ht="15.75" thickBot="1" x14ac:dyDescent="0.25"/>
    <row r="14" spans="1:30" x14ac:dyDescent="0.2">
      <c r="B14" s="95" t="s">
        <v>117</v>
      </c>
      <c r="C14" s="87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</row>
    <row r="15" spans="1:30" x14ac:dyDescent="0.2">
      <c r="B15" s="40" t="s">
        <v>115</v>
      </c>
      <c r="C15" s="38" t="s">
        <v>106</v>
      </c>
      <c r="D15" s="27">
        <v>39447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</row>
    <row r="16" spans="1:30" x14ac:dyDescent="0.2">
      <c r="B16" s="101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</row>
    <row r="17" spans="2:29" ht="15.75" thickBot="1" x14ac:dyDescent="0.25">
      <c r="B17" s="102"/>
      <c r="C17" s="103"/>
      <c r="D17" s="103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</row>
    <row r="18" spans="2:29" x14ac:dyDescent="0.2">
      <c r="B18" s="235"/>
      <c r="C18" s="240"/>
      <c r="D18" s="236"/>
      <c r="E18" s="54">
        <f ca="1">E19-IF(MONTH(E19)=2,IF(OR(YEAR(E19)=2008,YEAR(E19)=2012,YEAR(E19)=2016),29,28),IF(OR(MONTH(E19)=4,MONTH(E19)=6,MONTH(E19)=9,MONTH(E19)=11),30,31))+1</f>
        <v>38718</v>
      </c>
      <c r="F18" s="55">
        <f t="shared" ref="F18:AB18" ca="1" si="7">F19-IF(MONTH(F19)=2,IF(OR(YEAR(F19)=2008,YEAR(F19)=2012,YEAR(F19)=2016),29,28),IF(OR(MONTH(F19)=4,MONTH(F19)=6,MONTH(F19)=9,MONTH(F19)=11),30,31))+1</f>
        <v>38749</v>
      </c>
      <c r="G18" s="55">
        <f t="shared" ca="1" si="7"/>
        <v>38777</v>
      </c>
      <c r="H18" s="55">
        <f t="shared" ca="1" si="7"/>
        <v>38808</v>
      </c>
      <c r="I18" s="55">
        <f t="shared" ca="1" si="7"/>
        <v>38838</v>
      </c>
      <c r="J18" s="55">
        <f t="shared" ca="1" si="7"/>
        <v>38869</v>
      </c>
      <c r="K18" s="55">
        <f t="shared" ca="1" si="7"/>
        <v>38899</v>
      </c>
      <c r="L18" s="55">
        <f t="shared" ca="1" si="7"/>
        <v>38930</v>
      </c>
      <c r="M18" s="55">
        <f t="shared" ca="1" si="7"/>
        <v>38961</v>
      </c>
      <c r="N18" s="55">
        <f t="shared" ca="1" si="7"/>
        <v>38991</v>
      </c>
      <c r="O18" s="55">
        <f t="shared" ca="1" si="7"/>
        <v>39022</v>
      </c>
      <c r="P18" s="55">
        <f t="shared" ca="1" si="7"/>
        <v>39052</v>
      </c>
      <c r="Q18" s="55">
        <f t="shared" ca="1" si="7"/>
        <v>39083</v>
      </c>
      <c r="R18" s="55">
        <f t="shared" ca="1" si="7"/>
        <v>39114</v>
      </c>
      <c r="S18" s="55">
        <f t="shared" ca="1" si="7"/>
        <v>39142</v>
      </c>
      <c r="T18" s="55">
        <f t="shared" ca="1" si="7"/>
        <v>39173</v>
      </c>
      <c r="U18" s="55">
        <f t="shared" ca="1" si="7"/>
        <v>39203</v>
      </c>
      <c r="V18" s="55">
        <f t="shared" ca="1" si="7"/>
        <v>39234</v>
      </c>
      <c r="W18" s="55">
        <f t="shared" ca="1" si="7"/>
        <v>39264</v>
      </c>
      <c r="X18" s="55">
        <f t="shared" ca="1" si="7"/>
        <v>39295</v>
      </c>
      <c r="Y18" s="55">
        <f t="shared" ca="1" si="7"/>
        <v>39326</v>
      </c>
      <c r="Z18" s="55">
        <f t="shared" ca="1" si="7"/>
        <v>39356</v>
      </c>
      <c r="AA18" s="55">
        <f t="shared" ca="1" si="7"/>
        <v>39387</v>
      </c>
      <c r="AB18" s="55">
        <f t="shared" ca="1" si="7"/>
        <v>39417</v>
      </c>
    </row>
    <row r="19" spans="2:29" ht="15.75" thickBot="1" x14ac:dyDescent="0.25">
      <c r="B19" s="237"/>
      <c r="C19" s="241"/>
      <c r="D19" s="238"/>
      <c r="E19" s="56">
        <f t="shared" ref="E19" ca="1" si="8">F18-1</f>
        <v>38748</v>
      </c>
      <c r="F19" s="57">
        <f t="shared" ref="F19" ca="1" si="9">G18-1</f>
        <v>38776</v>
      </c>
      <c r="G19" s="57">
        <f t="shared" ref="G19" ca="1" si="10">H18-1</f>
        <v>38807</v>
      </c>
      <c r="H19" s="57">
        <f t="shared" ref="H19" ca="1" si="11">I18-1</f>
        <v>38837</v>
      </c>
      <c r="I19" s="57">
        <f t="shared" ref="I19" ca="1" si="12">J18-1</f>
        <v>38868</v>
      </c>
      <c r="J19" s="57">
        <f t="shared" ref="J19" ca="1" si="13">K18-1</f>
        <v>38898</v>
      </c>
      <c r="K19" s="57">
        <f t="shared" ref="K19" ca="1" si="14">L18-1</f>
        <v>38929</v>
      </c>
      <c r="L19" s="57">
        <f t="shared" ref="L19" ca="1" si="15">M18-1</f>
        <v>38960</v>
      </c>
      <c r="M19" s="57">
        <f t="shared" ref="M19" ca="1" si="16">N18-1</f>
        <v>38990</v>
      </c>
      <c r="N19" s="57">
        <f t="shared" ref="N19" ca="1" si="17">O18-1</f>
        <v>39021</v>
      </c>
      <c r="O19" s="57">
        <f t="shared" ref="O19" ca="1" si="18">P18-1</f>
        <v>39051</v>
      </c>
      <c r="P19" s="57">
        <f t="shared" ref="P19" ca="1" si="19">Q18-1</f>
        <v>39082</v>
      </c>
      <c r="Q19" s="57">
        <f t="shared" ref="Q19" ca="1" si="20">R18-1</f>
        <v>39113</v>
      </c>
      <c r="R19" s="57">
        <f t="shared" ref="R19" ca="1" si="21">S18-1</f>
        <v>39141</v>
      </c>
      <c r="S19" s="57">
        <f t="shared" ref="S19" ca="1" si="22">T18-1</f>
        <v>39172</v>
      </c>
      <c r="T19" s="57">
        <f t="shared" ref="T19" ca="1" si="23">U18-1</f>
        <v>39202</v>
      </c>
      <c r="U19" s="57">
        <f t="shared" ref="U19" ca="1" si="24">V18-1</f>
        <v>39233</v>
      </c>
      <c r="V19" s="57">
        <f t="shared" ref="V19" ca="1" si="25">W18-1</f>
        <v>39263</v>
      </c>
      <c r="W19" s="57">
        <f t="shared" ref="W19" ca="1" si="26">X18-1</f>
        <v>39294</v>
      </c>
      <c r="X19" s="57">
        <f t="shared" ref="X19" ca="1" si="27">Y18-1</f>
        <v>39325</v>
      </c>
      <c r="Y19" s="57">
        <f t="shared" ref="Y19" ca="1" si="28">Z18-1</f>
        <v>39355</v>
      </c>
      <c r="Z19" s="57">
        <f t="shared" ref="Z19" ca="1" si="29">AA18-1</f>
        <v>39386</v>
      </c>
      <c r="AA19" s="57">
        <f t="shared" ref="AA19" ca="1" si="30">AB18-1</f>
        <v>39416</v>
      </c>
      <c r="AB19" s="57">
        <f ca="1">D15</f>
        <v>39447</v>
      </c>
    </row>
    <row r="20" spans="2:29" ht="15" customHeight="1" thickBot="1" x14ac:dyDescent="0.25">
      <c r="B20" s="31" t="s">
        <v>0</v>
      </c>
      <c r="C20" s="157" t="s">
        <v>63</v>
      </c>
      <c r="D20" s="32" t="s">
        <v>101</v>
      </c>
      <c r="E20" s="58">
        <f t="shared" ref="E20:AB20" ca="1" si="31">E18</f>
        <v>38718</v>
      </c>
      <c r="F20" s="59">
        <f t="shared" ca="1" si="31"/>
        <v>38749</v>
      </c>
      <c r="G20" s="59">
        <f t="shared" ca="1" si="31"/>
        <v>38777</v>
      </c>
      <c r="H20" s="60">
        <f t="shared" ca="1" si="31"/>
        <v>38808</v>
      </c>
      <c r="I20" s="60">
        <f t="shared" ca="1" si="31"/>
        <v>38838</v>
      </c>
      <c r="J20" s="60">
        <f t="shared" ca="1" si="31"/>
        <v>38869</v>
      </c>
      <c r="K20" s="60">
        <f t="shared" ca="1" si="31"/>
        <v>38899</v>
      </c>
      <c r="L20" s="60">
        <f t="shared" ca="1" si="31"/>
        <v>38930</v>
      </c>
      <c r="M20" s="60">
        <f t="shared" ca="1" si="31"/>
        <v>38961</v>
      </c>
      <c r="N20" s="60">
        <f t="shared" ca="1" si="31"/>
        <v>38991</v>
      </c>
      <c r="O20" s="60">
        <f t="shared" ca="1" si="31"/>
        <v>39022</v>
      </c>
      <c r="P20" s="60">
        <f t="shared" ca="1" si="31"/>
        <v>39052</v>
      </c>
      <c r="Q20" s="60">
        <f t="shared" ca="1" si="31"/>
        <v>39083</v>
      </c>
      <c r="R20" s="60">
        <f t="shared" ca="1" si="31"/>
        <v>39114</v>
      </c>
      <c r="S20" s="60">
        <f t="shared" ca="1" si="31"/>
        <v>39142</v>
      </c>
      <c r="T20" s="60">
        <f t="shared" ca="1" si="31"/>
        <v>39173</v>
      </c>
      <c r="U20" s="60">
        <f t="shared" ca="1" si="31"/>
        <v>39203</v>
      </c>
      <c r="V20" s="60">
        <f t="shared" ca="1" si="31"/>
        <v>39234</v>
      </c>
      <c r="W20" s="60">
        <f t="shared" ca="1" si="31"/>
        <v>39264</v>
      </c>
      <c r="X20" s="60">
        <f t="shared" ca="1" si="31"/>
        <v>39295</v>
      </c>
      <c r="Y20" s="60">
        <f t="shared" ca="1" si="31"/>
        <v>39326</v>
      </c>
      <c r="Z20" s="60">
        <f t="shared" ca="1" si="31"/>
        <v>39356</v>
      </c>
      <c r="AA20" s="60">
        <f t="shared" ca="1" si="31"/>
        <v>39387</v>
      </c>
      <c r="AB20" s="60">
        <f t="shared" ca="1" si="31"/>
        <v>39417</v>
      </c>
    </row>
    <row r="21" spans="2:29" x14ac:dyDescent="0.2">
      <c r="B21" s="80"/>
      <c r="C21" s="80" t="s">
        <v>111</v>
      </c>
      <c r="D21" s="82" t="s">
        <v>71</v>
      </c>
      <c r="E21" s="83">
        <f t="shared" ref="E21:N24" ca="1" si="32">AbraAsset(URL,Username,Password,$D21,E$19)/1000</f>
        <v>2265</v>
      </c>
      <c r="F21" s="83">
        <f t="shared" ca="1" si="32"/>
        <v>2265</v>
      </c>
      <c r="G21" s="83">
        <f t="shared" ca="1" si="32"/>
        <v>2265</v>
      </c>
      <c r="H21" s="83">
        <f t="shared" ca="1" si="32"/>
        <v>2265</v>
      </c>
      <c r="I21" s="83">
        <f t="shared" ca="1" si="32"/>
        <v>2265</v>
      </c>
      <c r="J21" s="83">
        <f t="shared" ca="1" si="32"/>
        <v>2265</v>
      </c>
      <c r="K21" s="83">
        <f t="shared" ca="1" si="32"/>
        <v>2265</v>
      </c>
      <c r="L21" s="83">
        <f t="shared" ca="1" si="32"/>
        <v>2265</v>
      </c>
      <c r="M21" s="83">
        <f t="shared" ca="1" si="32"/>
        <v>2265</v>
      </c>
      <c r="N21" s="83">
        <f t="shared" ca="1" si="32"/>
        <v>2265</v>
      </c>
      <c r="O21" s="83">
        <f t="shared" ref="O21:AB24" ca="1" si="33">AbraAsset(URL,Username,Password,$D21,O$19)/1000</f>
        <v>2265</v>
      </c>
      <c r="P21" s="83">
        <f t="shared" ca="1" si="33"/>
        <v>2265</v>
      </c>
      <c r="Q21" s="83">
        <f t="shared" ca="1" si="33"/>
        <v>2265</v>
      </c>
      <c r="R21" s="83">
        <f t="shared" ca="1" si="33"/>
        <v>2265</v>
      </c>
      <c r="S21" s="83">
        <f t="shared" ca="1" si="33"/>
        <v>2265</v>
      </c>
      <c r="T21" s="83">
        <f t="shared" ca="1" si="33"/>
        <v>2265</v>
      </c>
      <c r="U21" s="83">
        <f t="shared" ca="1" si="33"/>
        <v>2265</v>
      </c>
      <c r="V21" s="83">
        <f t="shared" ca="1" si="33"/>
        <v>2265</v>
      </c>
      <c r="W21" s="83">
        <f t="shared" ca="1" si="33"/>
        <v>2265</v>
      </c>
      <c r="X21" s="83">
        <f t="shared" ca="1" si="33"/>
        <v>2265</v>
      </c>
      <c r="Y21" s="83">
        <f t="shared" ca="1" si="33"/>
        <v>2265</v>
      </c>
      <c r="Z21" s="83">
        <f t="shared" ca="1" si="33"/>
        <v>2265</v>
      </c>
      <c r="AA21" s="83">
        <f t="shared" ca="1" si="33"/>
        <v>2265</v>
      </c>
      <c r="AB21" s="83">
        <f t="shared" ca="1" si="33"/>
        <v>2265</v>
      </c>
      <c r="AC21" s="197"/>
    </row>
    <row r="22" spans="2:29" x14ac:dyDescent="0.2">
      <c r="B22" s="198"/>
      <c r="C22" s="198" t="s">
        <v>112</v>
      </c>
      <c r="D22" s="199" t="s">
        <v>72</v>
      </c>
      <c r="E22" s="83">
        <f t="shared" ca="1" si="32"/>
        <v>2265</v>
      </c>
      <c r="F22" s="83">
        <f t="shared" ca="1" si="32"/>
        <v>2265</v>
      </c>
      <c r="G22" s="83">
        <f t="shared" ca="1" si="32"/>
        <v>2265</v>
      </c>
      <c r="H22" s="214">
        <f t="shared" ca="1" si="32"/>
        <v>2265</v>
      </c>
      <c r="I22" s="83">
        <f t="shared" ca="1" si="32"/>
        <v>2265</v>
      </c>
      <c r="J22" s="83">
        <f t="shared" ca="1" si="32"/>
        <v>2265</v>
      </c>
      <c r="K22" s="83">
        <f t="shared" ca="1" si="32"/>
        <v>2265</v>
      </c>
      <c r="L22" s="83">
        <f t="shared" ca="1" si="32"/>
        <v>2265</v>
      </c>
      <c r="M22" s="83">
        <f t="shared" ca="1" si="32"/>
        <v>2265</v>
      </c>
      <c r="N22" s="83">
        <f t="shared" ca="1" si="32"/>
        <v>2265</v>
      </c>
      <c r="O22" s="83">
        <f t="shared" ca="1" si="33"/>
        <v>2265</v>
      </c>
      <c r="P22" s="83">
        <f t="shared" ca="1" si="33"/>
        <v>2265</v>
      </c>
      <c r="Q22" s="83">
        <f t="shared" ca="1" si="33"/>
        <v>2265</v>
      </c>
      <c r="R22" s="83">
        <f t="shared" ca="1" si="33"/>
        <v>2265</v>
      </c>
      <c r="S22" s="83">
        <f t="shared" ca="1" si="33"/>
        <v>2265</v>
      </c>
      <c r="T22" s="83">
        <f t="shared" ca="1" si="33"/>
        <v>2265</v>
      </c>
      <c r="U22" s="83">
        <f t="shared" ca="1" si="33"/>
        <v>2265</v>
      </c>
      <c r="V22" s="83">
        <f t="shared" ca="1" si="33"/>
        <v>2265</v>
      </c>
      <c r="W22" s="83">
        <f t="shared" ca="1" si="33"/>
        <v>2265</v>
      </c>
      <c r="X22" s="83">
        <f t="shared" ca="1" si="33"/>
        <v>2265</v>
      </c>
      <c r="Y22" s="83">
        <f t="shared" ca="1" si="33"/>
        <v>2265</v>
      </c>
      <c r="Z22" s="83">
        <f t="shared" ca="1" si="33"/>
        <v>2265</v>
      </c>
      <c r="AA22" s="83">
        <f t="shared" ca="1" si="33"/>
        <v>2265</v>
      </c>
      <c r="AB22" s="83">
        <f t="shared" ca="1" si="33"/>
        <v>2265</v>
      </c>
      <c r="AC22" s="197"/>
    </row>
    <row r="23" spans="2:29" x14ac:dyDescent="0.2">
      <c r="B23" s="198"/>
      <c r="C23" s="198" t="s">
        <v>113</v>
      </c>
      <c r="D23" s="199" t="s">
        <v>73</v>
      </c>
      <c r="E23" s="83">
        <f t="shared" ca="1" si="32"/>
        <v>2160.5070000000001</v>
      </c>
      <c r="F23" s="83">
        <f t="shared" ca="1" si="32"/>
        <v>2145.8139999999999</v>
      </c>
      <c r="G23" s="83">
        <f t="shared" ca="1" si="32"/>
        <v>2131.1219999999998</v>
      </c>
      <c r="H23" s="224">
        <f t="shared" ca="1" si="32"/>
        <v>2116.4299999999998</v>
      </c>
      <c r="I23" s="83">
        <f t="shared" ca="1" si="32"/>
        <v>2101.7379999999998</v>
      </c>
      <c r="J23" s="83">
        <f t="shared" ca="1" si="32"/>
        <v>2087.0459999999998</v>
      </c>
      <c r="K23" s="83">
        <f t="shared" ca="1" si="32"/>
        <v>2072.355</v>
      </c>
      <c r="L23" s="83">
        <f t="shared" ca="1" si="32"/>
        <v>2057.6640000000002</v>
      </c>
      <c r="M23" s="83">
        <f t="shared" ca="1" si="32"/>
        <v>2042.973</v>
      </c>
      <c r="N23" s="83">
        <f t="shared" ca="1" si="32"/>
        <v>2028.2819999999999</v>
      </c>
      <c r="O23" s="83">
        <f t="shared" ca="1" si="33"/>
        <v>2013.5909999999999</v>
      </c>
      <c r="P23" s="83">
        <f t="shared" ca="1" si="33"/>
        <v>1998.9</v>
      </c>
      <c r="Q23" s="83">
        <f t="shared" ca="1" si="33"/>
        <v>1986.134</v>
      </c>
      <c r="R23" s="83">
        <f t="shared" ca="1" si="33"/>
        <v>1973.3679999999999</v>
      </c>
      <c r="S23" s="83">
        <f t="shared" ca="1" si="33"/>
        <v>1960.6020000000001</v>
      </c>
      <c r="T23" s="83">
        <f t="shared" ca="1" si="33"/>
        <v>1947.837</v>
      </c>
      <c r="U23" s="83">
        <f t="shared" ca="1" si="33"/>
        <v>1935.0730000000001</v>
      </c>
      <c r="V23" s="83">
        <f t="shared" ca="1" si="33"/>
        <v>1922.309</v>
      </c>
      <c r="W23" s="83">
        <f t="shared" ca="1" si="33"/>
        <v>1909.5450000000001</v>
      </c>
      <c r="X23" s="83">
        <f t="shared" ca="1" si="33"/>
        <v>1896.7809999999999</v>
      </c>
      <c r="Y23" s="83">
        <f t="shared" ca="1" si="33"/>
        <v>1884.0170000000001</v>
      </c>
      <c r="Z23" s="83">
        <f t="shared" ca="1" si="33"/>
        <v>1871.2529999999999</v>
      </c>
      <c r="AA23" s="83">
        <f t="shared" ca="1" si="33"/>
        <v>1858.489</v>
      </c>
      <c r="AB23" s="83">
        <f t="shared" ca="1" si="33"/>
        <v>1845.7249999999999</v>
      </c>
      <c r="AC23" s="197"/>
    </row>
    <row r="24" spans="2:29" x14ac:dyDescent="0.2">
      <c r="B24" s="65"/>
      <c r="C24" s="65" t="s">
        <v>114</v>
      </c>
      <c r="D24" s="85" t="s">
        <v>74</v>
      </c>
      <c r="E24" s="83">
        <f t="shared" ca="1" si="32"/>
        <v>2160.5070000000001</v>
      </c>
      <c r="F24" s="83">
        <f t="shared" ca="1" si="32"/>
        <v>2145.8139999999999</v>
      </c>
      <c r="G24" s="83">
        <f t="shared" ca="1" si="32"/>
        <v>2131.1219999999998</v>
      </c>
      <c r="H24" s="212">
        <f t="shared" ca="1" si="32"/>
        <v>2116.4299999999998</v>
      </c>
      <c r="I24" s="83">
        <f t="shared" ca="1" si="32"/>
        <v>2101.7379999999998</v>
      </c>
      <c r="J24" s="83">
        <f t="shared" ca="1" si="32"/>
        <v>2087.0459999999998</v>
      </c>
      <c r="K24" s="83">
        <f t="shared" ca="1" si="32"/>
        <v>2072.355</v>
      </c>
      <c r="L24" s="83">
        <f t="shared" ca="1" si="32"/>
        <v>2057.6640000000002</v>
      </c>
      <c r="M24" s="83">
        <f t="shared" ca="1" si="32"/>
        <v>2042.973</v>
      </c>
      <c r="N24" s="83">
        <f t="shared" ca="1" si="32"/>
        <v>2028.2819999999999</v>
      </c>
      <c r="O24" s="83">
        <f t="shared" ca="1" si="33"/>
        <v>2013.5909999999999</v>
      </c>
      <c r="P24" s="83">
        <f t="shared" ca="1" si="33"/>
        <v>1998.9</v>
      </c>
      <c r="Q24" s="83">
        <f t="shared" ca="1" si="33"/>
        <v>1986.134</v>
      </c>
      <c r="R24" s="83">
        <f t="shared" ca="1" si="33"/>
        <v>1973.3679999999999</v>
      </c>
      <c r="S24" s="83">
        <f t="shared" ca="1" si="33"/>
        <v>1960.6020000000001</v>
      </c>
      <c r="T24" s="83">
        <f t="shared" ca="1" si="33"/>
        <v>1947.837</v>
      </c>
      <c r="U24" s="83">
        <f t="shared" ca="1" si="33"/>
        <v>1935.0730000000001</v>
      </c>
      <c r="V24" s="83">
        <f t="shared" ca="1" si="33"/>
        <v>1922.309</v>
      </c>
      <c r="W24" s="83">
        <f t="shared" ca="1" si="33"/>
        <v>1909.5450000000001</v>
      </c>
      <c r="X24" s="83">
        <f t="shared" ca="1" si="33"/>
        <v>1896.7809999999999</v>
      </c>
      <c r="Y24" s="83">
        <f t="shared" ca="1" si="33"/>
        <v>1884.0170000000001</v>
      </c>
      <c r="Z24" s="83">
        <f t="shared" ca="1" si="33"/>
        <v>1871.2529999999999</v>
      </c>
      <c r="AA24" s="83">
        <f t="shared" ca="1" si="33"/>
        <v>1858.489</v>
      </c>
      <c r="AB24" s="83">
        <f t="shared" ca="1" si="33"/>
        <v>1845.7249999999999</v>
      </c>
      <c r="AC24" s="197"/>
    </row>
    <row r="25" spans="2:29" x14ac:dyDescent="0.2">
      <c r="B25" s="70"/>
      <c r="C25" s="70"/>
      <c r="D25" s="70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8" spans="2:29" x14ac:dyDescent="0.2">
      <c r="B28" s="200"/>
      <c r="C28" s="200"/>
    </row>
    <row r="29" spans="2:29" x14ac:dyDescent="0.2">
      <c r="B29" s="174"/>
      <c r="C29" s="174"/>
    </row>
    <row r="30" spans="2:29" x14ac:dyDescent="0.2">
      <c r="B30" s="174"/>
      <c r="C30" s="174"/>
    </row>
    <row r="32" spans="2:29" x14ac:dyDescent="0.2">
      <c r="B32" s="200"/>
      <c r="C32" s="200"/>
    </row>
    <row r="33" spans="2:3" x14ac:dyDescent="0.2">
      <c r="B33" s="174"/>
      <c r="C33" s="174"/>
    </row>
    <row r="34" spans="2:3" x14ac:dyDescent="0.2">
      <c r="B34" s="174"/>
      <c r="C34" s="174"/>
    </row>
    <row r="35" spans="2:3" x14ac:dyDescent="0.2">
      <c r="B35" s="174"/>
      <c r="C35" s="174"/>
    </row>
    <row r="36" spans="2:3" x14ac:dyDescent="0.2">
      <c r="B36" s="174"/>
      <c r="C36" s="174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tabSelected="1" zoomScale="55" zoomScaleNormal="55" zoomScalePageLayoutView="115" workbookViewId="0">
      <selection activeCell="AJ29" sqref="AJ29"/>
    </sheetView>
  </sheetViews>
  <sheetFormatPr defaultColWidth="9.140625" defaultRowHeight="15" outlineLevelCol="1" x14ac:dyDescent="0.2"/>
  <cols>
    <col min="1" max="1" width="1.7109375" style="41" customWidth="1"/>
    <col min="2" max="2" width="21.5703125" style="41" customWidth="1"/>
    <col min="3" max="3" width="30.28515625" style="72" bestFit="1" customWidth="1"/>
    <col min="4" max="4" width="12.7109375" style="72" customWidth="1"/>
    <col min="5" max="7" width="12.7109375" style="73" customWidth="1"/>
    <col min="8" max="21" width="12.7109375" style="73" hidden="1" customWidth="1" outlineLevel="1"/>
    <col min="22" max="22" width="12.7109375" style="74" hidden="1" customWidth="1" outlineLevel="1"/>
    <col min="23" max="27" width="12.7109375" style="75" hidden="1" customWidth="1" outlineLevel="1"/>
    <col min="28" max="28" width="12.7109375" style="73" hidden="1" customWidth="1" outlineLevel="1"/>
    <col min="29" max="29" width="9.140625" style="73" collapsed="1"/>
    <col min="30" max="191" width="9.140625" style="73"/>
    <col min="192" max="16384" width="9.140625" style="94"/>
  </cols>
  <sheetData>
    <row r="1" spans="1:30" ht="10.35" customHeight="1" thickBot="1" x14ac:dyDescent="0.25"/>
    <row r="2" spans="1:30" ht="15" customHeight="1" x14ac:dyDescent="0.2">
      <c r="B2" s="95" t="s">
        <v>62</v>
      </c>
      <c r="C2" s="87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</row>
    <row r="3" spans="1:30" ht="15" customHeight="1" x14ac:dyDescent="0.2">
      <c r="B3" s="40" t="s">
        <v>115</v>
      </c>
      <c r="C3" s="38" t="s">
        <v>106</v>
      </c>
      <c r="D3" s="27">
        <v>42369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</row>
    <row r="4" spans="1:30" ht="15" customHeight="1" x14ac:dyDescent="0.2">
      <c r="B4" s="10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30" ht="12" customHeight="1" thickBot="1" x14ac:dyDescent="0.25">
      <c r="B5" s="102"/>
      <c r="C5" s="103"/>
      <c r="D5" s="103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</row>
    <row r="6" spans="1:30" s="49" customFormat="1" ht="15" customHeight="1" x14ac:dyDescent="0.2">
      <c r="A6" s="41"/>
      <c r="B6" s="201"/>
      <c r="C6" s="235"/>
      <c r="D6" s="236"/>
      <c r="E6" s="54">
        <f ca="1">E7-IF(MONTH(E7)=2,IF(OR(YEAR(E7)=2008,YEAR(E7)=2012,YEAR(E7)=2016),29,28),IF(OR(MONTH(E7)=4,MONTH(E7)=6,MONTH(E7)=9,MONTH(E7)=11),30,31))+1</f>
        <v>41640</v>
      </c>
      <c r="F6" s="55">
        <f t="shared" ref="F6:AB6" ca="1" si="0">F7-IF(MONTH(F7)=2,IF(OR(YEAR(F7)=2008,YEAR(F7)=2012,YEAR(F7)=2016),29,28),IF(OR(MONTH(F7)=4,MONTH(F7)=6,MONTH(F7)=9,MONTH(F7)=11),30,31))+1</f>
        <v>41671</v>
      </c>
      <c r="G6" s="55">
        <f t="shared" ca="1" si="0"/>
        <v>41699</v>
      </c>
      <c r="H6" s="55">
        <f t="shared" ca="1" si="0"/>
        <v>41730</v>
      </c>
      <c r="I6" s="55">
        <f t="shared" ca="1" si="0"/>
        <v>41760</v>
      </c>
      <c r="J6" s="55">
        <f t="shared" ca="1" si="0"/>
        <v>41791</v>
      </c>
      <c r="K6" s="55">
        <f t="shared" ca="1" si="0"/>
        <v>41821</v>
      </c>
      <c r="L6" s="55">
        <f t="shared" ca="1" si="0"/>
        <v>41852</v>
      </c>
      <c r="M6" s="55">
        <f t="shared" ca="1" si="0"/>
        <v>41883</v>
      </c>
      <c r="N6" s="55">
        <f t="shared" ca="1" si="0"/>
        <v>41913</v>
      </c>
      <c r="O6" s="55">
        <f t="shared" ca="1" si="0"/>
        <v>41944</v>
      </c>
      <c r="P6" s="55">
        <f t="shared" ca="1" si="0"/>
        <v>41974</v>
      </c>
      <c r="Q6" s="55">
        <f t="shared" ca="1" si="0"/>
        <v>42005</v>
      </c>
      <c r="R6" s="55">
        <f t="shared" ca="1" si="0"/>
        <v>42036</v>
      </c>
      <c r="S6" s="55">
        <f t="shared" ca="1" si="0"/>
        <v>42064</v>
      </c>
      <c r="T6" s="55">
        <f t="shared" ca="1" si="0"/>
        <v>42095</v>
      </c>
      <c r="U6" s="55">
        <f t="shared" ca="1" si="0"/>
        <v>42125</v>
      </c>
      <c r="V6" s="55">
        <f t="shared" ca="1" si="0"/>
        <v>42156</v>
      </c>
      <c r="W6" s="55">
        <f t="shared" ca="1" si="0"/>
        <v>42186</v>
      </c>
      <c r="X6" s="55">
        <f t="shared" ca="1" si="0"/>
        <v>42217</v>
      </c>
      <c r="Y6" s="55">
        <f t="shared" ca="1" si="0"/>
        <v>42248</v>
      </c>
      <c r="Z6" s="55">
        <f t="shared" ca="1" si="0"/>
        <v>42278</v>
      </c>
      <c r="AA6" s="55">
        <f t="shared" ca="1" si="0"/>
        <v>42309</v>
      </c>
      <c r="AB6" s="55">
        <f t="shared" ca="1" si="0"/>
        <v>42339</v>
      </c>
    </row>
    <row r="7" spans="1:30" s="49" customFormat="1" ht="15" customHeight="1" thickBot="1" x14ac:dyDescent="0.25">
      <c r="A7" s="41"/>
      <c r="B7" s="202"/>
      <c r="C7" s="237"/>
      <c r="D7" s="238"/>
      <c r="E7" s="56">
        <f t="shared" ref="E7:AA7" ca="1" si="1">F6-1</f>
        <v>41670</v>
      </c>
      <c r="F7" s="57">
        <f t="shared" ca="1" si="1"/>
        <v>41698</v>
      </c>
      <c r="G7" s="57">
        <f t="shared" ca="1" si="1"/>
        <v>41729</v>
      </c>
      <c r="H7" s="57">
        <f t="shared" ca="1" si="1"/>
        <v>41759</v>
      </c>
      <c r="I7" s="57">
        <f t="shared" ca="1" si="1"/>
        <v>41790</v>
      </c>
      <c r="J7" s="57">
        <f t="shared" ca="1" si="1"/>
        <v>41820</v>
      </c>
      <c r="K7" s="57">
        <f t="shared" ca="1" si="1"/>
        <v>41851</v>
      </c>
      <c r="L7" s="57">
        <f t="shared" ca="1" si="1"/>
        <v>41882</v>
      </c>
      <c r="M7" s="57">
        <f t="shared" ca="1" si="1"/>
        <v>41912</v>
      </c>
      <c r="N7" s="57">
        <f t="shared" ca="1" si="1"/>
        <v>41943</v>
      </c>
      <c r="O7" s="57">
        <f t="shared" ca="1" si="1"/>
        <v>41973</v>
      </c>
      <c r="P7" s="57">
        <f t="shared" ca="1" si="1"/>
        <v>42004</v>
      </c>
      <c r="Q7" s="57">
        <f t="shared" ca="1" si="1"/>
        <v>42035</v>
      </c>
      <c r="R7" s="57">
        <f t="shared" ca="1" si="1"/>
        <v>42063</v>
      </c>
      <c r="S7" s="57">
        <f t="shared" ca="1" si="1"/>
        <v>42094</v>
      </c>
      <c r="T7" s="57">
        <f t="shared" ca="1" si="1"/>
        <v>42124</v>
      </c>
      <c r="U7" s="57">
        <f t="shared" ca="1" si="1"/>
        <v>42155</v>
      </c>
      <c r="V7" s="57">
        <f t="shared" ca="1" si="1"/>
        <v>42185</v>
      </c>
      <c r="W7" s="57">
        <f t="shared" ca="1" si="1"/>
        <v>42216</v>
      </c>
      <c r="X7" s="57">
        <f t="shared" ca="1" si="1"/>
        <v>42247</v>
      </c>
      <c r="Y7" s="57">
        <f t="shared" ca="1" si="1"/>
        <v>42277</v>
      </c>
      <c r="Z7" s="57">
        <f t="shared" ca="1" si="1"/>
        <v>42308</v>
      </c>
      <c r="AA7" s="57">
        <f t="shared" ca="1" si="1"/>
        <v>42338</v>
      </c>
      <c r="AB7" s="57">
        <f ca="1">D3</f>
        <v>42369</v>
      </c>
    </row>
    <row r="8" spans="1:30" s="49" customFormat="1" ht="15" customHeight="1" thickBot="1" x14ac:dyDescent="0.25">
      <c r="A8" s="41"/>
      <c r="B8" s="167" t="s">
        <v>118</v>
      </c>
      <c r="C8" s="31" t="s">
        <v>63</v>
      </c>
      <c r="D8" s="167" t="s">
        <v>101</v>
      </c>
      <c r="E8" s="203">
        <f t="shared" ref="E8:AB8" ca="1" si="2">E6</f>
        <v>41640</v>
      </c>
      <c r="F8" s="203">
        <f t="shared" ca="1" si="2"/>
        <v>41671</v>
      </c>
      <c r="G8" s="203">
        <f t="shared" ca="1" si="2"/>
        <v>41699</v>
      </c>
      <c r="H8" s="203">
        <f t="shared" ca="1" si="2"/>
        <v>41730</v>
      </c>
      <c r="I8" s="203">
        <f t="shared" ca="1" si="2"/>
        <v>41760</v>
      </c>
      <c r="J8" s="203">
        <f t="shared" ca="1" si="2"/>
        <v>41791</v>
      </c>
      <c r="K8" s="203">
        <f t="shared" ca="1" si="2"/>
        <v>41821</v>
      </c>
      <c r="L8" s="203">
        <f t="shared" ca="1" si="2"/>
        <v>41852</v>
      </c>
      <c r="M8" s="203">
        <f t="shared" ca="1" si="2"/>
        <v>41883</v>
      </c>
      <c r="N8" s="203">
        <f t="shared" ca="1" si="2"/>
        <v>41913</v>
      </c>
      <c r="O8" s="203">
        <f t="shared" ca="1" si="2"/>
        <v>41944</v>
      </c>
      <c r="P8" s="203">
        <f t="shared" ca="1" si="2"/>
        <v>41974</v>
      </c>
      <c r="Q8" s="203">
        <f t="shared" ca="1" si="2"/>
        <v>42005</v>
      </c>
      <c r="R8" s="203">
        <f t="shared" ca="1" si="2"/>
        <v>42036</v>
      </c>
      <c r="S8" s="203">
        <f t="shared" ca="1" si="2"/>
        <v>42064</v>
      </c>
      <c r="T8" s="203">
        <f t="shared" ca="1" si="2"/>
        <v>42095</v>
      </c>
      <c r="U8" s="203">
        <f t="shared" ca="1" si="2"/>
        <v>42125</v>
      </c>
      <c r="V8" s="203">
        <f t="shared" ca="1" si="2"/>
        <v>42156</v>
      </c>
      <c r="W8" s="203">
        <f t="shared" ca="1" si="2"/>
        <v>42186</v>
      </c>
      <c r="X8" s="203">
        <f t="shared" ca="1" si="2"/>
        <v>42217</v>
      </c>
      <c r="Y8" s="203">
        <f t="shared" ca="1" si="2"/>
        <v>42248</v>
      </c>
      <c r="Z8" s="203">
        <f t="shared" ca="1" si="2"/>
        <v>42278</v>
      </c>
      <c r="AA8" s="203">
        <f t="shared" ca="1" si="2"/>
        <v>42309</v>
      </c>
      <c r="AB8" s="203">
        <f t="shared" ca="1" si="2"/>
        <v>42339</v>
      </c>
    </row>
    <row r="9" spans="1:30" ht="15" customHeight="1" thickBot="1" x14ac:dyDescent="0.25">
      <c r="B9" s="204"/>
      <c r="C9" s="61" t="s">
        <v>81</v>
      </c>
      <c r="D9" s="204" t="s">
        <v>77</v>
      </c>
      <c r="E9" s="64">
        <f t="shared" ref="E9:AB10" ca="1" si="3">AbraPayroll(URL,Username,Password,$D9,E$8)</f>
        <v>6</v>
      </c>
      <c r="F9" s="64">
        <f t="shared" ca="1" si="3"/>
        <v>6</v>
      </c>
      <c r="G9" s="64">
        <f t="shared" ca="1" si="3"/>
        <v>6</v>
      </c>
      <c r="H9" s="64">
        <f t="shared" ca="1" si="3"/>
        <v>6</v>
      </c>
      <c r="I9" s="64">
        <f t="shared" ca="1" si="3"/>
        <v>6</v>
      </c>
      <c r="J9" s="64">
        <f t="shared" ca="1" si="3"/>
        <v>6</v>
      </c>
      <c r="K9" s="64">
        <f t="shared" ca="1" si="3"/>
        <v>6</v>
      </c>
      <c r="L9" s="64">
        <f t="shared" ca="1" si="3"/>
        <v>6</v>
      </c>
      <c r="M9" s="64">
        <f t="shared" ca="1" si="3"/>
        <v>6</v>
      </c>
      <c r="N9" s="64">
        <f t="shared" ca="1" si="3"/>
        <v>6</v>
      </c>
      <c r="O9" s="64">
        <f t="shared" ca="1" si="3"/>
        <v>6</v>
      </c>
      <c r="P9" s="64">
        <f t="shared" ca="1" si="3"/>
        <v>6</v>
      </c>
      <c r="Q9" s="64">
        <f t="shared" ca="1" si="3"/>
        <v>6</v>
      </c>
      <c r="R9" s="64">
        <f t="shared" ca="1" si="3"/>
        <v>6</v>
      </c>
      <c r="S9" s="64">
        <f t="shared" ca="1" si="3"/>
        <v>6</v>
      </c>
      <c r="T9" s="64">
        <f t="shared" ca="1" si="3"/>
        <v>6</v>
      </c>
      <c r="U9" s="64">
        <f t="shared" ca="1" si="3"/>
        <v>6</v>
      </c>
      <c r="V9" s="64">
        <f t="shared" ca="1" si="3"/>
        <v>6</v>
      </c>
      <c r="W9" s="64">
        <f t="shared" ca="1" si="3"/>
        <v>6</v>
      </c>
      <c r="X9" s="64">
        <f t="shared" ca="1" si="3"/>
        <v>6</v>
      </c>
      <c r="Y9" s="64">
        <f t="shared" ca="1" si="3"/>
        <v>6</v>
      </c>
      <c r="Z9" s="64">
        <f t="shared" ca="1" si="3"/>
        <v>6</v>
      </c>
      <c r="AA9" s="64">
        <f t="shared" ca="1" si="3"/>
        <v>6</v>
      </c>
      <c r="AB9" s="64">
        <f t="shared" ca="1" si="3"/>
        <v>6</v>
      </c>
      <c r="AC9" s="49"/>
      <c r="AD9" s="49"/>
    </row>
    <row r="10" spans="1:30" ht="15" customHeight="1" thickBot="1" x14ac:dyDescent="0.25">
      <c r="B10" s="205"/>
      <c r="C10" s="198" t="s">
        <v>82</v>
      </c>
      <c r="D10" s="205" t="s">
        <v>78</v>
      </c>
      <c r="E10" s="64">
        <f t="shared" ca="1" si="3"/>
        <v>240</v>
      </c>
      <c r="F10" s="64">
        <f t="shared" ca="1" si="3"/>
        <v>240</v>
      </c>
      <c r="G10" s="64">
        <f t="shared" ca="1" si="3"/>
        <v>240</v>
      </c>
      <c r="H10" s="64">
        <f t="shared" ca="1" si="3"/>
        <v>240</v>
      </c>
      <c r="I10" s="64">
        <f t="shared" ca="1" si="3"/>
        <v>240</v>
      </c>
      <c r="J10" s="64">
        <f t="shared" ca="1" si="3"/>
        <v>240</v>
      </c>
      <c r="K10" s="64">
        <f t="shared" ca="1" si="3"/>
        <v>240</v>
      </c>
      <c r="L10" s="64">
        <f t="shared" ca="1" si="3"/>
        <v>240</v>
      </c>
      <c r="M10" s="64">
        <f t="shared" ca="1" si="3"/>
        <v>240</v>
      </c>
      <c r="N10" s="64">
        <f t="shared" ca="1" si="3"/>
        <v>240</v>
      </c>
      <c r="O10" s="64">
        <f t="shared" ca="1" si="3"/>
        <v>240</v>
      </c>
      <c r="P10" s="64">
        <f t="shared" ca="1" si="3"/>
        <v>240</v>
      </c>
      <c r="Q10" s="64">
        <f ca="1">AbraPayroll(URL,Username,Password,$D10,Q$8)</f>
        <v>240</v>
      </c>
      <c r="R10" s="64">
        <f t="shared" ca="1" si="3"/>
        <v>240</v>
      </c>
      <c r="S10" s="64">
        <f t="shared" ca="1" si="3"/>
        <v>240</v>
      </c>
      <c r="T10" s="64">
        <f t="shared" ca="1" si="3"/>
        <v>240</v>
      </c>
      <c r="U10" s="64">
        <f t="shared" ca="1" si="3"/>
        <v>240</v>
      </c>
      <c r="V10" s="64">
        <f t="shared" ca="1" si="3"/>
        <v>240</v>
      </c>
      <c r="W10" s="64">
        <f t="shared" ca="1" si="3"/>
        <v>240</v>
      </c>
      <c r="X10" s="64">
        <f ca="1">AbraPayroll(URL,Username,Password,$D10,X$8)</f>
        <v>240</v>
      </c>
      <c r="Y10" s="64">
        <f t="shared" ca="1" si="3"/>
        <v>240</v>
      </c>
      <c r="Z10" s="64">
        <f t="shared" ca="1" si="3"/>
        <v>240</v>
      </c>
      <c r="AA10" s="64">
        <f t="shared" ca="1" si="3"/>
        <v>240</v>
      </c>
      <c r="AB10" s="64">
        <f t="shared" ca="1" si="3"/>
        <v>240</v>
      </c>
      <c r="AC10" s="49"/>
      <c r="AD10" s="49"/>
    </row>
    <row r="11" spans="1:30" ht="15" customHeight="1" thickBot="1" x14ac:dyDescent="0.25">
      <c r="B11" s="205"/>
      <c r="C11" s="198" t="s">
        <v>83</v>
      </c>
      <c r="D11" s="205" t="s">
        <v>79</v>
      </c>
      <c r="E11" s="64">
        <f t="shared" ref="E11:N12" ca="1" si="4">AbraPayroll(URL,Username,Password,$D11,E$8)</f>
        <v>1056</v>
      </c>
      <c r="F11" s="64">
        <f t="shared" ca="1" si="4"/>
        <v>960</v>
      </c>
      <c r="G11" s="64">
        <f t="shared" ca="1" si="4"/>
        <v>1008</v>
      </c>
      <c r="H11" s="64">
        <f t="shared" ca="1" si="4"/>
        <v>1008</v>
      </c>
      <c r="I11" s="64">
        <f t="shared" ca="1" si="4"/>
        <v>960</v>
      </c>
      <c r="J11" s="64">
        <f t="shared" ca="1" si="4"/>
        <v>1008</v>
      </c>
      <c r="K11" s="64">
        <f t="shared" ca="1" si="4"/>
        <v>1104</v>
      </c>
      <c r="L11" s="64">
        <f t="shared" ca="1" si="4"/>
        <v>1008</v>
      </c>
      <c r="M11" s="64">
        <f t="shared" ca="1" si="4"/>
        <v>1056</v>
      </c>
      <c r="N11" s="64">
        <f t="shared" ca="1" si="4"/>
        <v>1056</v>
      </c>
      <c r="O11" s="64">
        <f t="shared" ref="O11:AB12" ca="1" si="5">AbraPayroll(URL,Username,Password,$D11,O$8)</f>
        <v>912</v>
      </c>
      <c r="P11" s="64">
        <f t="shared" ca="1" si="5"/>
        <v>960</v>
      </c>
      <c r="Q11" s="64">
        <f t="shared" ca="1" si="5"/>
        <v>1008</v>
      </c>
      <c r="R11" s="64">
        <f t="shared" ca="1" si="5"/>
        <v>960</v>
      </c>
      <c r="S11" s="64">
        <f t="shared" ca="1" si="5"/>
        <v>1056</v>
      </c>
      <c r="T11" s="64">
        <f t="shared" ca="1" si="5"/>
        <v>1008</v>
      </c>
      <c r="U11" s="64">
        <f t="shared" ca="1" si="5"/>
        <v>912</v>
      </c>
      <c r="V11" s="64">
        <f t="shared" ca="1" si="5"/>
        <v>1056</v>
      </c>
      <c r="W11" s="64">
        <f t="shared" ca="1" si="5"/>
        <v>1056</v>
      </c>
      <c r="X11" s="64">
        <f t="shared" ca="1" si="5"/>
        <v>1008</v>
      </c>
      <c r="Y11" s="64">
        <f t="shared" ca="1" si="5"/>
        <v>1008</v>
      </c>
      <c r="Z11" s="64">
        <f t="shared" ca="1" si="5"/>
        <v>1008</v>
      </c>
      <c r="AA11" s="64">
        <f t="shared" ca="1" si="5"/>
        <v>960</v>
      </c>
      <c r="AB11" s="64">
        <f t="shared" ca="1" si="5"/>
        <v>1008</v>
      </c>
      <c r="AC11" s="49"/>
      <c r="AD11" s="49"/>
    </row>
    <row r="12" spans="1:30" ht="15" customHeight="1" thickBot="1" x14ac:dyDescent="0.25">
      <c r="B12" s="205"/>
      <c r="C12" s="198" t="s">
        <v>84</v>
      </c>
      <c r="D12" s="205" t="s">
        <v>66</v>
      </c>
      <c r="E12" s="64">
        <f t="shared" ca="1" si="4"/>
        <v>1056</v>
      </c>
      <c r="F12" s="64">
        <f t="shared" ca="1" si="4"/>
        <v>960</v>
      </c>
      <c r="G12" s="64">
        <f t="shared" ca="1" si="4"/>
        <v>1008</v>
      </c>
      <c r="H12" s="64">
        <f t="shared" ca="1" si="4"/>
        <v>1008</v>
      </c>
      <c r="I12" s="64">
        <f t="shared" ca="1" si="4"/>
        <v>800</v>
      </c>
      <c r="J12" s="64">
        <f t="shared" ca="1" si="4"/>
        <v>1008</v>
      </c>
      <c r="K12" s="64">
        <f t="shared" ca="1" si="4"/>
        <v>1104</v>
      </c>
      <c r="L12" s="64">
        <f t="shared" ca="1" si="4"/>
        <v>1008</v>
      </c>
      <c r="M12" s="64">
        <f t="shared" ca="1" si="4"/>
        <v>1056</v>
      </c>
      <c r="N12" s="64">
        <f t="shared" ca="1" si="4"/>
        <v>1056</v>
      </c>
      <c r="O12" s="64">
        <f t="shared" ca="1" si="5"/>
        <v>912</v>
      </c>
      <c r="P12" s="64">
        <f t="shared" ca="1" si="5"/>
        <v>960</v>
      </c>
      <c r="Q12" s="64">
        <f t="shared" ca="1" si="5"/>
        <v>1008</v>
      </c>
      <c r="R12" s="64">
        <f t="shared" ca="1" si="5"/>
        <v>960</v>
      </c>
      <c r="S12" s="64">
        <f t="shared" ca="1" si="5"/>
        <v>1056</v>
      </c>
      <c r="T12" s="64">
        <f t="shared" ca="1" si="5"/>
        <v>1008</v>
      </c>
      <c r="U12" s="64">
        <f t="shared" ca="1" si="5"/>
        <v>912</v>
      </c>
      <c r="V12" s="64">
        <f t="shared" ca="1" si="5"/>
        <v>1056</v>
      </c>
      <c r="W12" s="64">
        <f t="shared" ca="1" si="5"/>
        <v>1056</v>
      </c>
      <c r="X12" s="64">
        <f t="shared" ca="1" si="5"/>
        <v>1008</v>
      </c>
      <c r="Y12" s="64">
        <f t="shared" ca="1" si="5"/>
        <v>1008</v>
      </c>
      <c r="Z12" s="64">
        <f t="shared" ca="1" si="5"/>
        <v>1008</v>
      </c>
      <c r="AA12" s="64">
        <f t="shared" ca="1" si="5"/>
        <v>960</v>
      </c>
      <c r="AB12" s="64">
        <f t="shared" ca="1" si="5"/>
        <v>1008</v>
      </c>
      <c r="AC12" s="49"/>
      <c r="AD12" s="49"/>
    </row>
    <row r="13" spans="1:30" ht="15" customHeight="1" x14ac:dyDescent="0.2">
      <c r="B13" s="206"/>
      <c r="C13" s="65" t="s">
        <v>85</v>
      </c>
      <c r="D13" s="206" t="s">
        <v>80</v>
      </c>
      <c r="E13" s="64">
        <f t="shared" ref="E13:AB13" ca="1" si="6">AbraPayroll(URL,Username,Password,$D13,E$8)/1000</f>
        <v>121.041</v>
      </c>
      <c r="F13" s="64">
        <f t="shared" ca="1" si="6"/>
        <v>124</v>
      </c>
      <c r="G13" s="64">
        <f t="shared" ca="1" si="6"/>
        <v>124</v>
      </c>
      <c r="H13" s="64">
        <f t="shared" ca="1" si="6"/>
        <v>124.187</v>
      </c>
      <c r="I13" s="64">
        <f t="shared" ca="1" si="6"/>
        <v>125.09099999999999</v>
      </c>
      <c r="J13" s="64">
        <f t="shared" ca="1" si="6"/>
        <v>124</v>
      </c>
      <c r="K13" s="64">
        <f t="shared" ca="1" si="6"/>
        <v>124</v>
      </c>
      <c r="L13" s="64">
        <f t="shared" ca="1" si="6"/>
        <v>124</v>
      </c>
      <c r="M13" s="64">
        <f t="shared" ca="1" si="6"/>
        <v>124</v>
      </c>
      <c r="N13" s="64">
        <f t="shared" ca="1" si="6"/>
        <v>124.248</v>
      </c>
      <c r="O13" s="64">
        <f t="shared" ca="1" si="6"/>
        <v>123.44</v>
      </c>
      <c r="P13" s="64">
        <f t="shared" ca="1" si="6"/>
        <v>124.73699999999999</v>
      </c>
      <c r="Q13" s="64">
        <f t="shared" ca="1" si="6"/>
        <v>124.011</v>
      </c>
      <c r="R13" s="64">
        <f t="shared" ca="1" si="6"/>
        <v>124</v>
      </c>
      <c r="S13" s="64">
        <f t="shared" ca="1" si="6"/>
        <v>124</v>
      </c>
      <c r="T13" s="64">
        <f t="shared" ca="1" si="6"/>
        <v>124.181</v>
      </c>
      <c r="U13" s="64">
        <f t="shared" ca="1" si="6"/>
        <v>123.825</v>
      </c>
      <c r="V13" s="64">
        <f t="shared" ca="1" si="6"/>
        <v>124</v>
      </c>
      <c r="W13" s="64">
        <f t="shared" ca="1" si="6"/>
        <v>124.33</v>
      </c>
      <c r="X13" s="64">
        <f t="shared" ca="1" si="6"/>
        <v>124</v>
      </c>
      <c r="Y13" s="64">
        <f t="shared" ca="1" si="6"/>
        <v>124.08499999999999</v>
      </c>
      <c r="Z13" s="64">
        <f t="shared" ca="1" si="6"/>
        <v>124.006</v>
      </c>
      <c r="AA13" s="64">
        <f t="shared" ca="1" si="6"/>
        <v>123.738</v>
      </c>
      <c r="AB13" s="64">
        <f t="shared" ca="1" si="6"/>
        <v>124.502</v>
      </c>
    </row>
    <row r="14" spans="1:30" ht="15" customHeight="1" x14ac:dyDescent="0.2">
      <c r="B14" s="70"/>
      <c r="C14" s="70"/>
      <c r="D14" s="70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</row>
    <row r="18" spans="3:3" x14ac:dyDescent="0.2">
      <c r="C18" s="195"/>
    </row>
    <row r="19" spans="3:3" x14ac:dyDescent="0.2">
      <c r="C19" s="195"/>
    </row>
    <row r="20" spans="3:3" x14ac:dyDescent="0.2">
      <c r="C20" s="195"/>
    </row>
    <row r="21" spans="3:3" x14ac:dyDescent="0.2">
      <c r="C21" s="195"/>
    </row>
    <row r="22" spans="3:3" x14ac:dyDescent="0.2">
      <c r="C22" s="195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1" customWidth="1"/>
    <col min="2" max="3" width="12.7109375" style="1" customWidth="1"/>
    <col min="4" max="4" width="1.7109375" style="1" customWidth="1"/>
    <col min="5" max="6" width="12.7109375" style="1" customWidth="1"/>
    <col min="7" max="7" width="1.7109375" style="1" customWidth="1"/>
    <col min="8" max="9" width="12.7109375" style="1" customWidth="1"/>
    <col min="10" max="16384" width="8.85546875" style="1"/>
  </cols>
  <sheetData>
    <row r="1" spans="1:10" ht="10.35" customHeight="1" thickBot="1" x14ac:dyDescent="0.25">
      <c r="B1" s="4"/>
      <c r="C1" s="4"/>
    </row>
    <row r="2" spans="1:10" ht="15" customHeight="1" x14ac:dyDescent="0.2">
      <c r="A2" s="2"/>
      <c r="B2" s="248" t="s">
        <v>49</v>
      </c>
      <c r="C2" s="249"/>
      <c r="D2" s="8"/>
      <c r="E2" s="248" t="s">
        <v>4</v>
      </c>
      <c r="F2" s="249"/>
      <c r="G2" s="9"/>
      <c r="H2" s="248" t="s">
        <v>5</v>
      </c>
      <c r="I2" s="249"/>
    </row>
    <row r="3" spans="1:10" ht="15" customHeight="1" x14ac:dyDescent="0.2">
      <c r="A3" s="2"/>
      <c r="B3" s="6" t="s">
        <v>50</v>
      </c>
      <c r="C3" s="7" t="s">
        <v>51</v>
      </c>
      <c r="D3" s="3"/>
      <c r="E3" s="6" t="s">
        <v>50</v>
      </c>
      <c r="F3" s="7" t="s">
        <v>51</v>
      </c>
      <c r="H3" s="6" t="s">
        <v>50</v>
      </c>
      <c r="I3" s="7" t="s">
        <v>51</v>
      </c>
    </row>
    <row r="4" spans="1:10" ht="15" customHeight="1" x14ac:dyDescent="0.2">
      <c r="A4" s="2"/>
      <c r="B4" s="15">
        <v>1</v>
      </c>
      <c r="C4" s="16">
        <v>7.0000000000000007E-2</v>
      </c>
      <c r="D4" s="14"/>
      <c r="E4" s="15">
        <v>1</v>
      </c>
      <c r="F4" s="16">
        <v>0.1</v>
      </c>
      <c r="G4" s="14"/>
      <c r="H4" s="15">
        <v>1</v>
      </c>
      <c r="I4" s="16">
        <v>0.08</v>
      </c>
      <c r="J4" s="3"/>
    </row>
    <row r="5" spans="1:10" ht="15" customHeight="1" x14ac:dyDescent="0.2">
      <c r="A5" s="2"/>
      <c r="B5" s="17">
        <v>2</v>
      </c>
      <c r="C5" s="18">
        <v>0.08</v>
      </c>
      <c r="D5" s="14"/>
      <c r="E5" s="17">
        <v>2</v>
      </c>
      <c r="F5" s="18">
        <v>0.09</v>
      </c>
      <c r="G5" s="14"/>
      <c r="H5" s="17">
        <v>2</v>
      </c>
      <c r="I5" s="18">
        <v>7.0000000000000007E-2</v>
      </c>
      <c r="J5" s="3"/>
    </row>
    <row r="6" spans="1:10" ht="15" customHeight="1" x14ac:dyDescent="0.2">
      <c r="A6" s="2"/>
      <c r="B6" s="17">
        <v>3</v>
      </c>
      <c r="C6" s="18">
        <v>0.09</v>
      </c>
      <c r="D6" s="14"/>
      <c r="E6" s="17">
        <v>3</v>
      </c>
      <c r="F6" s="18">
        <v>0.08</v>
      </c>
      <c r="G6" s="14"/>
      <c r="H6" s="17">
        <v>3</v>
      </c>
      <c r="I6" s="18">
        <v>7.0000000000000007E-2</v>
      </c>
      <c r="J6" s="3"/>
    </row>
    <row r="7" spans="1:10" ht="15" customHeight="1" x14ac:dyDescent="0.2">
      <c r="A7" s="2"/>
      <c r="B7" s="17">
        <v>4</v>
      </c>
      <c r="C7" s="18">
        <v>0.08</v>
      </c>
      <c r="D7" s="14"/>
      <c r="E7" s="17">
        <v>4</v>
      </c>
      <c r="F7" s="18">
        <v>7.0000000000000007E-2</v>
      </c>
      <c r="G7" s="14"/>
      <c r="H7" s="17">
        <v>4</v>
      </c>
      <c r="I7" s="18">
        <v>7.0000000000000007E-2</v>
      </c>
      <c r="J7" s="3"/>
    </row>
    <row r="8" spans="1:10" ht="15" customHeight="1" x14ac:dyDescent="0.2">
      <c r="A8" s="2"/>
      <c r="B8" s="17">
        <v>5</v>
      </c>
      <c r="C8" s="18">
        <v>7.0000000000000007E-2</v>
      </c>
      <c r="D8" s="14"/>
      <c r="E8" s="17">
        <v>5</v>
      </c>
      <c r="F8" s="18">
        <v>7.0000000000000007E-2</v>
      </c>
      <c r="G8" s="14"/>
      <c r="H8" s="17">
        <v>5</v>
      </c>
      <c r="I8" s="18">
        <v>7.0000000000000007E-2</v>
      </c>
      <c r="J8" s="3"/>
    </row>
    <row r="9" spans="1:10" ht="15" customHeight="1" x14ac:dyDescent="0.2">
      <c r="A9" s="2"/>
      <c r="B9" s="17">
        <v>6</v>
      </c>
      <c r="C9" s="18">
        <v>7.0000000000000007E-2</v>
      </c>
      <c r="D9" s="14"/>
      <c r="E9" s="17">
        <v>6</v>
      </c>
      <c r="F9" s="18">
        <v>0.06</v>
      </c>
      <c r="G9" s="14"/>
      <c r="H9" s="17">
        <v>6</v>
      </c>
      <c r="I9" s="18">
        <v>7.0000000000000007E-2</v>
      </c>
      <c r="J9" s="3"/>
    </row>
    <row r="10" spans="1:10" ht="15" customHeight="1" x14ac:dyDescent="0.2">
      <c r="A10" s="2"/>
      <c r="B10" s="17">
        <v>7</v>
      </c>
      <c r="C10" s="18">
        <v>0.08</v>
      </c>
      <c r="D10" s="14"/>
      <c r="E10" s="17">
        <v>7</v>
      </c>
      <c r="F10" s="18">
        <v>0.06</v>
      </c>
      <c r="G10" s="14"/>
      <c r="H10" s="17">
        <v>7</v>
      </c>
      <c r="I10" s="18">
        <v>7.0000000000000007E-2</v>
      </c>
      <c r="J10" s="3"/>
    </row>
    <row r="11" spans="1:10" ht="15" customHeight="1" x14ac:dyDescent="0.2">
      <c r="A11" s="2"/>
      <c r="B11" s="17">
        <v>8</v>
      </c>
      <c r="C11" s="18">
        <v>0.09</v>
      </c>
      <c r="D11" s="14"/>
      <c r="E11" s="17">
        <v>8</v>
      </c>
      <c r="F11" s="18">
        <v>0.06</v>
      </c>
      <c r="G11" s="14"/>
      <c r="H11" s="17">
        <v>8</v>
      </c>
      <c r="I11" s="18">
        <v>0.08</v>
      </c>
      <c r="J11" s="3"/>
    </row>
    <row r="12" spans="1:10" ht="15" customHeight="1" x14ac:dyDescent="0.2">
      <c r="A12" s="2"/>
      <c r="B12" s="17">
        <v>9</v>
      </c>
      <c r="C12" s="18">
        <v>0.1</v>
      </c>
      <c r="D12" s="14"/>
      <c r="E12" s="17">
        <v>9</v>
      </c>
      <c r="F12" s="18">
        <v>7.0000000000000007E-2</v>
      </c>
      <c r="G12" s="14"/>
      <c r="H12" s="17">
        <v>9</v>
      </c>
      <c r="I12" s="18">
        <v>0.09</v>
      </c>
      <c r="J12" s="3"/>
    </row>
    <row r="13" spans="1:10" ht="15" customHeight="1" x14ac:dyDescent="0.2">
      <c r="A13" s="2"/>
      <c r="B13" s="17">
        <v>10</v>
      </c>
      <c r="C13" s="18">
        <v>0.1</v>
      </c>
      <c r="D13" s="14"/>
      <c r="E13" s="17">
        <v>10</v>
      </c>
      <c r="F13" s="18">
        <v>0.09</v>
      </c>
      <c r="G13" s="14"/>
      <c r="H13" s="17">
        <v>10</v>
      </c>
      <c r="I13" s="18">
        <v>0.1</v>
      </c>
      <c r="J13" s="3"/>
    </row>
    <row r="14" spans="1:10" ht="15" customHeight="1" x14ac:dyDescent="0.2">
      <c r="A14" s="2"/>
      <c r="B14" s="17">
        <v>11</v>
      </c>
      <c r="C14" s="18">
        <v>0.13</v>
      </c>
      <c r="D14" s="14"/>
      <c r="E14" s="17">
        <v>11</v>
      </c>
      <c r="F14" s="18">
        <v>0.11</v>
      </c>
      <c r="G14" s="14"/>
      <c r="H14" s="17">
        <v>11</v>
      </c>
      <c r="I14" s="18">
        <v>0.11</v>
      </c>
      <c r="J14" s="3"/>
    </row>
    <row r="15" spans="1:10" ht="15" customHeight="1" x14ac:dyDescent="0.2">
      <c r="A15" s="2"/>
      <c r="B15" s="19">
        <v>12</v>
      </c>
      <c r="C15" s="20">
        <v>0.05</v>
      </c>
      <c r="D15" s="14"/>
      <c r="E15" s="19">
        <v>12</v>
      </c>
      <c r="F15" s="20">
        <v>0.14000000000000001</v>
      </c>
      <c r="G15" s="14"/>
      <c r="H15" s="19">
        <v>12</v>
      </c>
      <c r="I15" s="20">
        <v>0.12</v>
      </c>
      <c r="J15" s="3"/>
    </row>
    <row r="16" spans="1:10" ht="15" customHeight="1" thickBot="1" x14ac:dyDescent="0.25">
      <c r="A16" s="2"/>
      <c r="B16" s="10" t="s">
        <v>37</v>
      </c>
      <c r="C16" s="11">
        <f ca="1">SUM(C4:C15)</f>
        <v>1</v>
      </c>
      <c r="D16" s="12"/>
      <c r="E16" s="10" t="s">
        <v>37</v>
      </c>
      <c r="F16" s="11">
        <f ca="1">SUM(F4:F15)</f>
        <v>1</v>
      </c>
      <c r="G16" s="13"/>
      <c r="H16" s="10" t="s">
        <v>37</v>
      </c>
      <c r="I16" s="11">
        <f ca="1">SUM(I4:I15)</f>
        <v>0.99999999999999989</v>
      </c>
    </row>
    <row r="17" spans="2:3" ht="15" customHeight="1" x14ac:dyDescent="0.2">
      <c r="B17" s="5"/>
      <c r="C17" s="5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2018-07-16T07:49:44Z</cp:lastPrinted>
  <dcterms:created xsi:type="dcterms:W3CDTF">2009-05-28T11:25:29Z</dcterms:created>
  <dcterms:modified xsi:type="dcterms:W3CDTF">2019-11-13T07:32:34Z</dcterms:modified>
</cp:coreProperties>
</file>