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7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8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Git projects\Excel\"/>
    </mc:Choice>
  </mc:AlternateContent>
  <xr:revisionPtr revIDLastSave="0" documentId="13_ncr:1_{9800C72B-C696-4890-A342-78E734013B66}" xr6:coauthVersionLast="45" xr6:coauthVersionMax="45" xr10:uidLastSave="{00000000-0000-0000-0000-000000000000}"/>
  <bookViews>
    <workbookView xWindow="-27675" yWindow="-7335" windowWidth="21600" windowHeight="11385" tabRatio="674" activeTab="8" xr2:uid="{00000000-000D-0000-FFFF-FFFF00000000}"/>
  </bookViews>
  <sheets>
    <sheet name="API" sheetId="15" r:id="rId1"/>
    <sheet name="Model výnosů" sheetId="1" r:id="rId2"/>
    <sheet name="Účty s vývojem" sheetId="9" r:id="rId3"/>
    <sheet name="Penize stav" sheetId="8" r:id="rId4"/>
    <sheet name="Sklady" sheetId="10" r:id="rId5"/>
    <sheet name="Prodej" sheetId="11" r:id="rId6"/>
    <sheet name="Pohledávky a závazky" sheetId="14" r:id="rId7"/>
    <sheet name="Majetek" sheetId="12" r:id="rId8"/>
    <sheet name="Mzdy" sheetId="13" r:id="rId9"/>
    <sheet name="Sezona" sheetId="7" r:id="rId10"/>
  </sheets>
  <functionGroups builtInGroupCount="19"/>
  <definedNames>
    <definedName name="ConnectionTimeout">API!$C$7</definedName>
    <definedName name="Password">API!$C$5</definedName>
    <definedName name="Timeout">API!$C$6</definedName>
    <definedName name="URL">API!$C$3</definedName>
    <definedName name="Username">API!$C$4</definedName>
  </definedNames>
  <calcPr calcId="181029" calcMode="manual" calcCompleted="0" calcOnSave="0" concurrentCalc="0"/>
  <extLs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B19" i="12" l="1"/>
  <c r="AB18" i="12"/>
  <c r="AA19" i="12"/>
  <c r="AA18" i="12"/>
  <c r="Z19" i="12"/>
  <c r="Z18" i="12"/>
  <c r="Y19" i="12"/>
  <c r="Y18" i="12"/>
  <c r="X19" i="12"/>
  <c r="X18" i="12"/>
  <c r="W19" i="12"/>
  <c r="W18" i="12"/>
  <c r="V19" i="12"/>
  <c r="V18" i="12"/>
  <c r="U19" i="12"/>
  <c r="U18" i="12"/>
  <c r="T19" i="12"/>
  <c r="T18" i="12"/>
  <c r="S19" i="12"/>
  <c r="S18" i="12"/>
  <c r="R19" i="12"/>
  <c r="R18" i="12"/>
  <c r="Q19" i="12"/>
  <c r="Q18" i="12"/>
  <c r="P19" i="12"/>
  <c r="P18" i="12"/>
  <c r="O19" i="12"/>
  <c r="O18" i="12"/>
  <c r="N19" i="12"/>
  <c r="N18" i="12"/>
  <c r="M19" i="12"/>
  <c r="M18" i="12"/>
  <c r="L19" i="12"/>
  <c r="L18" i="12"/>
  <c r="K19" i="12"/>
  <c r="K18" i="12"/>
  <c r="J19" i="12"/>
  <c r="J18" i="12"/>
  <c r="I19" i="12"/>
  <c r="I18" i="12"/>
  <c r="H19" i="12"/>
  <c r="H18" i="12"/>
  <c r="G19" i="12"/>
  <c r="G22" i="12"/>
  <c r="AB7" i="12"/>
  <c r="AB6" i="12"/>
  <c r="AA7" i="12"/>
  <c r="AA6" i="12"/>
  <c r="Z7" i="12"/>
  <c r="Z6" i="12"/>
  <c r="Y7" i="12"/>
  <c r="Y6" i="12"/>
  <c r="X7" i="12"/>
  <c r="X6" i="12"/>
  <c r="W7" i="12"/>
  <c r="W6" i="12"/>
  <c r="V7" i="12"/>
  <c r="V6" i="12"/>
  <c r="U7" i="12"/>
  <c r="U6" i="12"/>
  <c r="T7" i="12"/>
  <c r="T6" i="12"/>
  <c r="S7" i="12"/>
  <c r="S6" i="12"/>
  <c r="R7" i="12"/>
  <c r="R6" i="12"/>
  <c r="Q7" i="12"/>
  <c r="Q6" i="12"/>
  <c r="P7" i="12"/>
  <c r="P6" i="12"/>
  <c r="O7" i="12"/>
  <c r="O6" i="12"/>
  <c r="N7" i="12"/>
  <c r="N6" i="12"/>
  <c r="M7" i="12"/>
  <c r="M6" i="12"/>
  <c r="L7" i="12"/>
  <c r="L6" i="12"/>
  <c r="K7" i="12"/>
  <c r="K6" i="12"/>
  <c r="J7" i="12"/>
  <c r="J6" i="12"/>
  <c r="I7" i="12"/>
  <c r="I6" i="12"/>
  <c r="H7" i="12"/>
  <c r="H6" i="12"/>
  <c r="G7" i="12"/>
  <c r="G6" i="12"/>
  <c r="F7" i="12"/>
  <c r="F6" i="12"/>
  <c r="F9" i="12"/>
  <c r="G9" i="12"/>
  <c r="H9" i="12"/>
  <c r="I9" i="12"/>
  <c r="J9" i="12"/>
  <c r="K9" i="12"/>
  <c r="L9" i="12"/>
  <c r="M9" i="12"/>
  <c r="N9" i="12"/>
  <c r="O9" i="12"/>
  <c r="P9" i="12"/>
  <c r="Q9" i="12"/>
  <c r="R9" i="12"/>
  <c r="S9" i="12"/>
  <c r="T9" i="12"/>
  <c r="U9" i="12"/>
  <c r="V9" i="12"/>
  <c r="W9" i="12"/>
  <c r="X9" i="12"/>
  <c r="Y9" i="12"/>
  <c r="Z9" i="12"/>
  <c r="AA9" i="12"/>
  <c r="AB9" i="12"/>
  <c r="G18" i="12"/>
  <c r="F19" i="12"/>
  <c r="F18" i="12"/>
  <c r="E19" i="12"/>
  <c r="E22" i="12"/>
  <c r="F22" i="12"/>
  <c r="H22" i="12"/>
  <c r="I22" i="12"/>
  <c r="J22" i="12"/>
  <c r="K22" i="12"/>
  <c r="L22" i="12"/>
  <c r="M22" i="12"/>
  <c r="N22" i="12"/>
  <c r="O22" i="12"/>
  <c r="P22" i="12"/>
  <c r="Q22" i="12"/>
  <c r="R22" i="12"/>
  <c r="S22" i="12"/>
  <c r="T22" i="12"/>
  <c r="U22" i="12"/>
  <c r="V22" i="12"/>
  <c r="W22" i="12"/>
  <c r="X22" i="12"/>
  <c r="Y22" i="12"/>
  <c r="Z22" i="12"/>
  <c r="AA22" i="12"/>
  <c r="AB22" i="12"/>
  <c r="E23" i="12"/>
  <c r="F23" i="12"/>
  <c r="G23" i="12"/>
  <c r="H23" i="12"/>
  <c r="I23" i="12"/>
  <c r="J23" i="12"/>
  <c r="K23" i="12"/>
  <c r="L23" i="12"/>
  <c r="M23" i="12"/>
  <c r="N23" i="12"/>
  <c r="O23" i="12"/>
  <c r="P23" i="12"/>
  <c r="Q23" i="12"/>
  <c r="R23" i="12"/>
  <c r="S23" i="12"/>
  <c r="T23" i="12"/>
  <c r="U23" i="12"/>
  <c r="V23" i="12"/>
  <c r="W23" i="12"/>
  <c r="X23" i="12"/>
  <c r="Y23" i="12"/>
  <c r="Z23" i="12"/>
  <c r="AA23" i="12"/>
  <c r="AB23" i="12"/>
  <c r="E24" i="12"/>
  <c r="F24" i="12"/>
  <c r="G24" i="12"/>
  <c r="H24" i="12"/>
  <c r="I24" i="12"/>
  <c r="J24" i="12"/>
  <c r="K24" i="12"/>
  <c r="L24" i="12"/>
  <c r="M24" i="12"/>
  <c r="N24" i="12"/>
  <c r="O24" i="12"/>
  <c r="P24" i="12"/>
  <c r="Q24" i="12"/>
  <c r="R24" i="12"/>
  <c r="S24" i="12"/>
  <c r="T24" i="12"/>
  <c r="U24" i="12"/>
  <c r="V24" i="12"/>
  <c r="W24" i="12"/>
  <c r="X24" i="12"/>
  <c r="Y24" i="12"/>
  <c r="Z24" i="12"/>
  <c r="AA24" i="12"/>
  <c r="AB24" i="12"/>
  <c r="F21" i="12"/>
  <c r="G21" i="12"/>
  <c r="H21" i="12"/>
  <c r="I21" i="12"/>
  <c r="J21" i="12"/>
  <c r="K21" i="12"/>
  <c r="L21" i="12"/>
  <c r="M21" i="12"/>
  <c r="N21" i="12"/>
  <c r="O21" i="12"/>
  <c r="P21" i="12"/>
  <c r="Q21" i="12"/>
  <c r="R21" i="12"/>
  <c r="S21" i="12"/>
  <c r="T21" i="12"/>
  <c r="U21" i="12"/>
  <c r="V21" i="12"/>
  <c r="W21" i="12"/>
  <c r="X21" i="12"/>
  <c r="Y21" i="12"/>
  <c r="Z21" i="12"/>
  <c r="AA21" i="12"/>
  <c r="AB21" i="12"/>
  <c r="E21" i="12"/>
  <c r="AB20" i="12"/>
  <c r="AA20" i="12"/>
  <c r="Z20" i="12"/>
  <c r="Y20" i="12"/>
  <c r="X20" i="12"/>
  <c r="W20" i="12"/>
  <c r="V20" i="12"/>
  <c r="U20" i="12"/>
  <c r="T20" i="12"/>
  <c r="S20" i="12"/>
  <c r="R20" i="12"/>
  <c r="Q20" i="12"/>
  <c r="P20" i="12"/>
  <c r="O20" i="12"/>
  <c r="N20" i="12"/>
  <c r="M20" i="12"/>
  <c r="L20" i="12"/>
  <c r="K20" i="12"/>
  <c r="J20" i="12"/>
  <c r="I20" i="12"/>
  <c r="H20" i="12"/>
  <c r="G20" i="12"/>
  <c r="F20" i="12"/>
  <c r="E18" i="12"/>
  <c r="E20" i="12"/>
  <c r="AB21" i="14"/>
  <c r="AB20" i="14"/>
  <c r="AA21" i="14"/>
  <c r="AA20" i="14"/>
  <c r="Z21" i="14"/>
  <c r="Z20" i="14"/>
  <c r="Y21" i="14"/>
  <c r="Y20" i="14"/>
  <c r="X21" i="14"/>
  <c r="X20" i="14"/>
  <c r="W21" i="14"/>
  <c r="W20" i="14"/>
  <c r="V21" i="14"/>
  <c r="V20" i="14"/>
  <c r="U21" i="14"/>
  <c r="U20" i="14"/>
  <c r="T21" i="14"/>
  <c r="T20" i="14"/>
  <c r="S21" i="14"/>
  <c r="S20" i="14"/>
  <c r="R21" i="14"/>
  <c r="R20" i="14"/>
  <c r="Q21" i="14"/>
  <c r="Q20" i="14"/>
  <c r="P21" i="14"/>
  <c r="P20" i="14"/>
  <c r="O21" i="14"/>
  <c r="O20" i="14"/>
  <c r="N21" i="14"/>
  <c r="N20" i="14"/>
  <c r="M21" i="14"/>
  <c r="M20" i="14"/>
  <c r="L21" i="14"/>
  <c r="L20" i="14"/>
  <c r="K21" i="14"/>
  <c r="K20" i="14"/>
  <c r="J21" i="14"/>
  <c r="J20" i="14"/>
  <c r="I21" i="14"/>
  <c r="I20" i="14"/>
  <c r="H21" i="14"/>
  <c r="H20" i="14"/>
  <c r="G21" i="14"/>
  <c r="G20" i="14"/>
  <c r="F21" i="14"/>
  <c r="F20" i="14"/>
  <c r="E21" i="14"/>
  <c r="E20" i="14"/>
  <c r="E24" i="14"/>
  <c r="F24" i="14"/>
  <c r="G24" i="14"/>
  <c r="H24" i="14"/>
  <c r="I24" i="14"/>
  <c r="J24" i="14"/>
  <c r="K24" i="14"/>
  <c r="L24" i="14"/>
  <c r="M24" i="14"/>
  <c r="N24" i="14"/>
  <c r="O24" i="14"/>
  <c r="P24" i="14"/>
  <c r="Q24" i="14"/>
  <c r="R24" i="14"/>
  <c r="S24" i="14"/>
  <c r="T24" i="14"/>
  <c r="U24" i="14"/>
  <c r="V24" i="14"/>
  <c r="W24" i="14"/>
  <c r="X24" i="14"/>
  <c r="Y24" i="14"/>
  <c r="Z24" i="14"/>
  <c r="AA24" i="14"/>
  <c r="AB24" i="14"/>
  <c r="E25" i="14"/>
  <c r="F25" i="14"/>
  <c r="G25" i="14"/>
  <c r="H25" i="14"/>
  <c r="I25" i="14"/>
  <c r="J25" i="14"/>
  <c r="K25" i="14"/>
  <c r="L25" i="14"/>
  <c r="M25" i="14"/>
  <c r="N25" i="14"/>
  <c r="O25" i="14"/>
  <c r="P25" i="14"/>
  <c r="Q25" i="14"/>
  <c r="R25" i="14"/>
  <c r="S25" i="14"/>
  <c r="T25" i="14"/>
  <c r="U25" i="14"/>
  <c r="V25" i="14"/>
  <c r="W25" i="14"/>
  <c r="X25" i="14"/>
  <c r="Y25" i="14"/>
  <c r="Z25" i="14"/>
  <c r="AA25" i="14"/>
  <c r="AB25" i="14"/>
  <c r="E26" i="14"/>
  <c r="F26" i="14"/>
  <c r="G26" i="14"/>
  <c r="H26" i="14"/>
  <c r="I26" i="14"/>
  <c r="J26" i="14"/>
  <c r="K26" i="14"/>
  <c r="L26" i="14"/>
  <c r="M26" i="14"/>
  <c r="N26" i="14"/>
  <c r="O26" i="14"/>
  <c r="P26" i="14"/>
  <c r="Q26" i="14"/>
  <c r="R26" i="14"/>
  <c r="S26" i="14"/>
  <c r="T26" i="14"/>
  <c r="U26" i="14"/>
  <c r="V26" i="14"/>
  <c r="W26" i="14"/>
  <c r="X26" i="14"/>
  <c r="Y26" i="14"/>
  <c r="Z26" i="14"/>
  <c r="AA26" i="14"/>
  <c r="AB26" i="14"/>
  <c r="F23" i="14"/>
  <c r="G23" i="14"/>
  <c r="H23" i="14"/>
  <c r="I23" i="14"/>
  <c r="J23" i="14"/>
  <c r="K23" i="14"/>
  <c r="L23" i="14"/>
  <c r="M23" i="14"/>
  <c r="N23" i="14"/>
  <c r="O23" i="14"/>
  <c r="P23" i="14"/>
  <c r="Q23" i="14"/>
  <c r="R23" i="14"/>
  <c r="S23" i="14"/>
  <c r="T23" i="14"/>
  <c r="U23" i="14"/>
  <c r="V23" i="14"/>
  <c r="W23" i="14"/>
  <c r="X23" i="14"/>
  <c r="Y23" i="14"/>
  <c r="Z23" i="14"/>
  <c r="AA23" i="14"/>
  <c r="AB23" i="14"/>
  <c r="E23" i="14"/>
  <c r="AB7" i="14"/>
  <c r="AB6" i="14"/>
  <c r="AA7" i="14"/>
  <c r="AA6" i="14"/>
  <c r="Z7" i="14"/>
  <c r="Z6" i="14"/>
  <c r="Y7" i="14"/>
  <c r="Y6" i="14"/>
  <c r="X7" i="14"/>
  <c r="X6" i="14"/>
  <c r="W7" i="14"/>
  <c r="W6" i="14"/>
  <c r="V7" i="14"/>
  <c r="V6" i="14"/>
  <c r="U7" i="14"/>
  <c r="U6" i="14"/>
  <c r="T7" i="14"/>
  <c r="T6" i="14"/>
  <c r="S7" i="14"/>
  <c r="S6" i="14"/>
  <c r="R7" i="14"/>
  <c r="R6" i="14"/>
  <c r="Q7" i="14"/>
  <c r="Q6" i="14"/>
  <c r="P7" i="14"/>
  <c r="P6" i="14"/>
  <c r="O7" i="14"/>
  <c r="O6" i="14"/>
  <c r="N7" i="14"/>
  <c r="N6" i="14"/>
  <c r="M7" i="14"/>
  <c r="M6" i="14"/>
  <c r="L7" i="14"/>
  <c r="L6" i="14"/>
  <c r="K7" i="14"/>
  <c r="K6" i="14"/>
  <c r="J7" i="14"/>
  <c r="J6" i="14"/>
  <c r="I7" i="14"/>
  <c r="I6" i="14"/>
  <c r="H7" i="14"/>
  <c r="H6" i="14"/>
  <c r="G7" i="14"/>
  <c r="G6" i="14"/>
  <c r="F7" i="14"/>
  <c r="F6" i="14"/>
  <c r="E7" i="14"/>
  <c r="E6" i="14"/>
  <c r="E10" i="14"/>
  <c r="F10" i="14"/>
  <c r="G10" i="14"/>
  <c r="H10" i="14"/>
  <c r="I10" i="14"/>
  <c r="J10" i="14"/>
  <c r="K10" i="14"/>
  <c r="L10" i="14"/>
  <c r="M10" i="14"/>
  <c r="N10" i="14"/>
  <c r="O10" i="14"/>
  <c r="P10" i="14"/>
  <c r="Q10" i="14"/>
  <c r="R10" i="14"/>
  <c r="S10" i="14"/>
  <c r="T10" i="14"/>
  <c r="U10" i="14"/>
  <c r="V10" i="14"/>
  <c r="W10" i="14"/>
  <c r="X10" i="14"/>
  <c r="Y10" i="14"/>
  <c r="Z10" i="14"/>
  <c r="AA10" i="14"/>
  <c r="AB10" i="14"/>
  <c r="E11" i="14"/>
  <c r="F11" i="14"/>
  <c r="G11" i="14"/>
  <c r="H11" i="14"/>
  <c r="I11" i="14"/>
  <c r="J11" i="14"/>
  <c r="K11" i="14"/>
  <c r="L11" i="14"/>
  <c r="M11" i="14"/>
  <c r="N11" i="14"/>
  <c r="O11" i="14"/>
  <c r="P11" i="14"/>
  <c r="Q11" i="14"/>
  <c r="R11" i="14"/>
  <c r="S11" i="14"/>
  <c r="T11" i="14"/>
  <c r="U11" i="14"/>
  <c r="V11" i="14"/>
  <c r="W11" i="14"/>
  <c r="X11" i="14"/>
  <c r="Y11" i="14"/>
  <c r="Z11" i="14"/>
  <c r="AA11" i="14"/>
  <c r="AB11" i="14"/>
  <c r="E12" i="14"/>
  <c r="F12" i="14"/>
  <c r="G12" i="14"/>
  <c r="H12" i="14"/>
  <c r="I12" i="14"/>
  <c r="J12" i="14"/>
  <c r="K12" i="14"/>
  <c r="L12" i="14"/>
  <c r="M12" i="14"/>
  <c r="N12" i="14"/>
  <c r="O12" i="14"/>
  <c r="P12" i="14"/>
  <c r="Q12" i="14"/>
  <c r="R12" i="14"/>
  <c r="S12" i="14"/>
  <c r="T12" i="14"/>
  <c r="U12" i="14"/>
  <c r="V12" i="14"/>
  <c r="W12" i="14"/>
  <c r="X12" i="14"/>
  <c r="Y12" i="14"/>
  <c r="Z12" i="14"/>
  <c r="AA12" i="14"/>
  <c r="AB12" i="14"/>
  <c r="F9" i="14"/>
  <c r="G9" i="14"/>
  <c r="H9" i="14"/>
  <c r="I9" i="14"/>
  <c r="J9" i="14"/>
  <c r="K9" i="14"/>
  <c r="L9" i="14"/>
  <c r="M9" i="14"/>
  <c r="N9" i="14"/>
  <c r="O9" i="14"/>
  <c r="P9" i="14"/>
  <c r="Q9" i="14"/>
  <c r="R9" i="14"/>
  <c r="S9" i="14"/>
  <c r="T9" i="14"/>
  <c r="U9" i="14"/>
  <c r="V9" i="14"/>
  <c r="W9" i="14"/>
  <c r="X9" i="14"/>
  <c r="Y9" i="14"/>
  <c r="Z9" i="14"/>
  <c r="AA9" i="14"/>
  <c r="AB9" i="14"/>
  <c r="E9" i="14"/>
  <c r="AB7" i="10"/>
  <c r="AB6" i="10"/>
  <c r="AA7" i="10"/>
  <c r="AA6" i="10"/>
  <c r="Z7" i="10"/>
  <c r="Z6" i="10"/>
  <c r="Y7" i="10"/>
  <c r="Y6" i="10"/>
  <c r="X7" i="10"/>
  <c r="X6" i="10"/>
  <c r="W7" i="10"/>
  <c r="W6" i="10"/>
  <c r="V7" i="10"/>
  <c r="V6" i="10"/>
  <c r="U7" i="10"/>
  <c r="U6" i="10"/>
  <c r="T7" i="10"/>
  <c r="T6" i="10"/>
  <c r="S7" i="10"/>
  <c r="S6" i="10"/>
  <c r="R7" i="10"/>
  <c r="R6" i="10"/>
  <c r="Q7" i="10"/>
  <c r="Q6" i="10"/>
  <c r="P7" i="10"/>
  <c r="P6" i="10"/>
  <c r="O7" i="10"/>
  <c r="O6" i="10"/>
  <c r="N7" i="10"/>
  <c r="N6" i="10"/>
  <c r="M7" i="10"/>
  <c r="M6" i="10"/>
  <c r="M8" i="10"/>
  <c r="L7" i="10"/>
  <c r="L6" i="10"/>
  <c r="K7" i="10"/>
  <c r="K6" i="10"/>
  <c r="J7" i="10"/>
  <c r="J6" i="10"/>
  <c r="I7" i="10"/>
  <c r="I6" i="10"/>
  <c r="H7" i="10"/>
  <c r="H6" i="10"/>
  <c r="G7" i="10"/>
  <c r="G6" i="10"/>
  <c r="F7" i="10"/>
  <c r="F6" i="10"/>
  <c r="F16" i="10"/>
  <c r="E7" i="10"/>
  <c r="E6" i="10"/>
  <c r="E16" i="10"/>
  <c r="G16" i="10"/>
  <c r="H16" i="10"/>
  <c r="I16" i="10"/>
  <c r="J16" i="10"/>
  <c r="K16" i="10"/>
  <c r="L16" i="10"/>
  <c r="M16" i="10"/>
  <c r="N16" i="10"/>
  <c r="O16" i="10"/>
  <c r="P16" i="10"/>
  <c r="Q16" i="10"/>
  <c r="R16" i="10"/>
  <c r="S16" i="10"/>
  <c r="T16" i="10"/>
  <c r="U16" i="10"/>
  <c r="V16" i="10"/>
  <c r="W16" i="10"/>
  <c r="X16" i="10"/>
  <c r="Y16" i="10"/>
  <c r="Z16" i="10"/>
  <c r="AA16" i="10"/>
  <c r="AB16" i="10"/>
  <c r="F15" i="10"/>
  <c r="G15" i="10"/>
  <c r="H15" i="10"/>
  <c r="I15" i="10"/>
  <c r="J15" i="10"/>
  <c r="K15" i="10"/>
  <c r="L15" i="10"/>
  <c r="M15" i="10"/>
  <c r="N15" i="10"/>
  <c r="O15" i="10"/>
  <c r="P15" i="10"/>
  <c r="Q15" i="10"/>
  <c r="R15" i="10"/>
  <c r="S15" i="10"/>
  <c r="T15" i="10"/>
  <c r="U15" i="10"/>
  <c r="V15" i="10"/>
  <c r="W15" i="10"/>
  <c r="X15" i="10"/>
  <c r="Y15" i="10"/>
  <c r="Z15" i="10"/>
  <c r="AA15" i="10"/>
  <c r="AB15" i="10"/>
  <c r="E15" i="10"/>
  <c r="E10" i="10"/>
  <c r="F10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Z10" i="10"/>
  <c r="AA10" i="10"/>
  <c r="AB10" i="10"/>
  <c r="F9" i="10"/>
  <c r="G9" i="10"/>
  <c r="H9" i="10"/>
  <c r="I9" i="10"/>
  <c r="J9" i="10"/>
  <c r="K9" i="10"/>
  <c r="L9" i="10"/>
  <c r="M9" i="10"/>
  <c r="N9" i="10"/>
  <c r="O9" i="10"/>
  <c r="P9" i="10"/>
  <c r="Q9" i="10"/>
  <c r="R9" i="10"/>
  <c r="S9" i="10"/>
  <c r="T9" i="10"/>
  <c r="U9" i="10"/>
  <c r="V9" i="10"/>
  <c r="W9" i="10"/>
  <c r="X9" i="10"/>
  <c r="Y9" i="10"/>
  <c r="Z9" i="10"/>
  <c r="AA9" i="10"/>
  <c r="AB9" i="10"/>
  <c r="E9" i="10"/>
  <c r="AA7" i="9"/>
  <c r="AA6" i="9"/>
  <c r="Z7" i="9"/>
  <c r="Z6" i="9"/>
  <c r="Y7" i="9"/>
  <c r="Y6" i="9"/>
  <c r="X7" i="9"/>
  <c r="X6" i="9"/>
  <c r="W7" i="9"/>
  <c r="W6" i="9"/>
  <c r="V7" i="9"/>
  <c r="V6" i="9"/>
  <c r="U7" i="9"/>
  <c r="U6" i="9"/>
  <c r="T7" i="9"/>
  <c r="T6" i="9"/>
  <c r="S7" i="9"/>
  <c r="S6" i="9"/>
  <c r="R7" i="9"/>
  <c r="R6" i="9"/>
  <c r="Q7" i="9"/>
  <c r="Q6" i="9"/>
  <c r="P7" i="9"/>
  <c r="P6" i="9"/>
  <c r="O7" i="9"/>
  <c r="O6" i="9"/>
  <c r="N7" i="9"/>
  <c r="N6" i="9"/>
  <c r="M7" i="9"/>
  <c r="M6" i="9"/>
  <c r="L7" i="9"/>
  <c r="L6" i="9"/>
  <c r="K7" i="9"/>
  <c r="K6" i="9"/>
  <c r="J7" i="9"/>
  <c r="J6" i="9"/>
  <c r="I7" i="9"/>
  <c r="I6" i="9"/>
  <c r="H7" i="9"/>
  <c r="H6" i="9"/>
  <c r="G7" i="9"/>
  <c r="G6" i="9"/>
  <c r="F7" i="9"/>
  <c r="F6" i="9"/>
  <c r="E7" i="9"/>
  <c r="E6" i="9"/>
  <c r="D7" i="9"/>
  <c r="D6" i="9"/>
  <c r="D10" i="9"/>
  <c r="E10" i="9"/>
  <c r="F10" i="9"/>
  <c r="G10" i="9"/>
  <c r="H10" i="9"/>
  <c r="I10" i="9"/>
  <c r="J10" i="9"/>
  <c r="K10" i="9"/>
  <c r="L10" i="9"/>
  <c r="M10" i="9"/>
  <c r="N10" i="9"/>
  <c r="O10" i="9"/>
  <c r="P10" i="9"/>
  <c r="Q10" i="9"/>
  <c r="R10" i="9"/>
  <c r="S10" i="9"/>
  <c r="T10" i="9"/>
  <c r="U10" i="9"/>
  <c r="V10" i="9"/>
  <c r="W10" i="9"/>
  <c r="X10" i="9"/>
  <c r="Y10" i="9"/>
  <c r="Z10" i="9"/>
  <c r="AA10" i="9"/>
  <c r="D9" i="9"/>
  <c r="E9" i="9"/>
  <c r="F9" i="9"/>
  <c r="G9" i="9"/>
  <c r="H9" i="9"/>
  <c r="I9" i="9"/>
  <c r="J9" i="9"/>
  <c r="K9" i="9"/>
  <c r="L9" i="9"/>
  <c r="M9" i="9"/>
  <c r="N9" i="9"/>
  <c r="O9" i="9"/>
  <c r="P9" i="9"/>
  <c r="Q9" i="9"/>
  <c r="R9" i="9"/>
  <c r="S9" i="9"/>
  <c r="T9" i="9"/>
  <c r="U9" i="9"/>
  <c r="V9" i="9"/>
  <c r="W9" i="9"/>
  <c r="X9" i="9"/>
  <c r="Y9" i="9"/>
  <c r="Z9" i="9"/>
  <c r="AA9" i="9"/>
  <c r="AA7" i="8"/>
  <c r="AA6" i="8"/>
  <c r="Z7" i="8"/>
  <c r="Z6" i="8"/>
  <c r="Y7" i="8"/>
  <c r="Y6" i="8"/>
  <c r="X7" i="8"/>
  <c r="X6" i="8"/>
  <c r="W7" i="8"/>
  <c r="W6" i="8"/>
  <c r="V7" i="8"/>
  <c r="V6" i="8"/>
  <c r="U7" i="8"/>
  <c r="U6" i="8"/>
  <c r="T7" i="8"/>
  <c r="T6" i="8"/>
  <c r="S7" i="8"/>
  <c r="S6" i="8"/>
  <c r="R7" i="8"/>
  <c r="R6" i="8"/>
  <c r="Q7" i="8"/>
  <c r="Q6" i="8"/>
  <c r="P7" i="8"/>
  <c r="P6" i="8"/>
  <c r="O7" i="8"/>
  <c r="O6" i="8"/>
  <c r="N7" i="8"/>
  <c r="N6" i="8"/>
  <c r="M7" i="8"/>
  <c r="M6" i="8"/>
  <c r="L7" i="8"/>
  <c r="L6" i="8"/>
  <c r="K7" i="8"/>
  <c r="K6" i="8"/>
  <c r="J7" i="8"/>
  <c r="J6" i="8"/>
  <c r="I7" i="8"/>
  <c r="I6" i="8"/>
  <c r="H7" i="8"/>
  <c r="H6" i="8"/>
  <c r="G7" i="8"/>
  <c r="G6" i="8"/>
  <c r="F7" i="8"/>
  <c r="F6" i="8"/>
  <c r="E7" i="8"/>
  <c r="E6" i="8"/>
  <c r="D7" i="8"/>
  <c r="D6" i="8"/>
  <c r="D10" i="8"/>
  <c r="E10" i="8"/>
  <c r="F10" i="8"/>
  <c r="G10" i="8"/>
  <c r="H10" i="8"/>
  <c r="I10" i="8"/>
  <c r="J10" i="8"/>
  <c r="K10" i="8"/>
  <c r="L10" i="8"/>
  <c r="M10" i="8"/>
  <c r="N10" i="8"/>
  <c r="O10" i="8"/>
  <c r="P10" i="8"/>
  <c r="Q10" i="8"/>
  <c r="R10" i="8"/>
  <c r="S10" i="8"/>
  <c r="T10" i="8"/>
  <c r="U10" i="8"/>
  <c r="V10" i="8"/>
  <c r="W10" i="8"/>
  <c r="X10" i="8"/>
  <c r="Y10" i="8"/>
  <c r="Z10" i="8"/>
  <c r="AA10" i="8"/>
  <c r="D9" i="8"/>
  <c r="E9" i="8"/>
  <c r="F9" i="8"/>
  <c r="G9" i="8"/>
  <c r="H9" i="8"/>
  <c r="I9" i="8"/>
  <c r="J9" i="8"/>
  <c r="K9" i="8"/>
  <c r="L9" i="8"/>
  <c r="M9" i="8"/>
  <c r="N9" i="8"/>
  <c r="O9" i="8"/>
  <c r="P9" i="8"/>
  <c r="Q9" i="8"/>
  <c r="R9" i="8"/>
  <c r="S9" i="8"/>
  <c r="T9" i="8"/>
  <c r="U9" i="8"/>
  <c r="V9" i="8"/>
  <c r="W9" i="8"/>
  <c r="X9" i="8"/>
  <c r="Y9" i="8"/>
  <c r="Z9" i="8"/>
  <c r="AA9" i="8"/>
  <c r="AB9" i="8"/>
  <c r="AB10" i="8"/>
  <c r="AB11" i="8"/>
  <c r="AH11" i="8"/>
  <c r="AD9" i="8"/>
  <c r="AC9" i="8"/>
  <c r="Q10" i="13"/>
  <c r="AB7" i="13"/>
  <c r="AB6" i="13"/>
  <c r="AA7" i="13"/>
  <c r="AA6" i="13"/>
  <c r="Z7" i="13"/>
  <c r="Z6" i="13"/>
  <c r="Y7" i="13"/>
  <c r="Y6" i="13"/>
  <c r="X7" i="13"/>
  <c r="X6" i="13"/>
  <c r="W7" i="13"/>
  <c r="W6" i="13"/>
  <c r="V7" i="13"/>
  <c r="V6" i="13"/>
  <c r="U7" i="13"/>
  <c r="U6" i="13"/>
  <c r="T7" i="13"/>
  <c r="T6" i="13"/>
  <c r="S7" i="13"/>
  <c r="S6" i="13"/>
  <c r="R7" i="13"/>
  <c r="R6" i="13"/>
  <c r="Q7" i="13"/>
  <c r="Q6" i="13"/>
  <c r="Q8" i="13"/>
  <c r="P7" i="13"/>
  <c r="P6" i="13"/>
  <c r="P8" i="13"/>
  <c r="O7" i="13"/>
  <c r="O6" i="13"/>
  <c r="O8" i="13"/>
  <c r="V8" i="13"/>
  <c r="W8" i="13"/>
  <c r="X8" i="13"/>
  <c r="Y8" i="13"/>
  <c r="Z8" i="13"/>
  <c r="AA8" i="13"/>
  <c r="X10" i="13"/>
  <c r="N7" i="13"/>
  <c r="N6" i="13"/>
  <c r="M7" i="13"/>
  <c r="M6" i="13"/>
  <c r="L7" i="13"/>
  <c r="L6" i="13"/>
  <c r="K7" i="13"/>
  <c r="K6" i="13"/>
  <c r="J7" i="13"/>
  <c r="J6" i="13"/>
  <c r="I7" i="13"/>
  <c r="I6" i="13"/>
  <c r="H7" i="13"/>
  <c r="H6" i="13"/>
  <c r="G7" i="13"/>
  <c r="G6" i="13"/>
  <c r="F7" i="13"/>
  <c r="F6" i="13"/>
  <c r="E7" i="13"/>
  <c r="E6" i="13"/>
  <c r="E8" i="13"/>
  <c r="E10" i="13"/>
  <c r="F8" i="13"/>
  <c r="F10" i="13"/>
  <c r="G8" i="13"/>
  <c r="G10" i="13"/>
  <c r="H8" i="13"/>
  <c r="H10" i="13"/>
  <c r="I8" i="13"/>
  <c r="I10" i="13"/>
  <c r="J8" i="13"/>
  <c r="J10" i="13"/>
  <c r="K8" i="13"/>
  <c r="K10" i="13"/>
  <c r="L8" i="13"/>
  <c r="L10" i="13"/>
  <c r="M8" i="13"/>
  <c r="M10" i="13"/>
  <c r="N8" i="13"/>
  <c r="N10" i="13"/>
  <c r="O10" i="13"/>
  <c r="P10" i="13"/>
  <c r="R8" i="13"/>
  <c r="R10" i="13"/>
  <c r="S8" i="13"/>
  <c r="S10" i="13"/>
  <c r="T8" i="13"/>
  <c r="T10" i="13"/>
  <c r="U8" i="13"/>
  <c r="U10" i="13"/>
  <c r="V10" i="13"/>
  <c r="W10" i="13"/>
  <c r="Y10" i="13"/>
  <c r="Z10" i="13"/>
  <c r="AA10" i="13"/>
  <c r="AB8" i="13"/>
  <c r="AB10" i="13"/>
  <c r="AA7" i="1"/>
  <c r="AA6" i="1"/>
  <c r="Z7" i="1"/>
  <c r="Z6" i="1"/>
  <c r="Y7" i="1"/>
  <c r="Y6" i="1"/>
  <c r="X7" i="1"/>
  <c r="X6" i="1"/>
  <c r="W7" i="1"/>
  <c r="W6" i="1"/>
  <c r="V7" i="1"/>
  <c r="V6" i="1"/>
  <c r="U7" i="1"/>
  <c r="U6" i="1"/>
  <c r="T7" i="1"/>
  <c r="T6" i="1"/>
  <c r="S7" i="1"/>
  <c r="S6" i="1"/>
  <c r="R7" i="1"/>
  <c r="R6" i="1"/>
  <c r="Q7" i="1"/>
  <c r="Q6" i="1"/>
  <c r="P7" i="1"/>
  <c r="P6" i="1"/>
  <c r="P11" i="1"/>
  <c r="Q11" i="1"/>
  <c r="R11" i="1"/>
  <c r="S11" i="1"/>
  <c r="T11" i="1"/>
  <c r="U11" i="1"/>
  <c r="V11" i="1"/>
  <c r="W11" i="1"/>
  <c r="X11" i="1"/>
  <c r="Y11" i="1"/>
  <c r="Z11" i="1"/>
  <c r="AA11" i="1"/>
  <c r="AB11" i="1"/>
  <c r="O7" i="1"/>
  <c r="O6" i="1"/>
  <c r="N7" i="1"/>
  <c r="N6" i="1"/>
  <c r="M7" i="1"/>
  <c r="M6" i="1"/>
  <c r="L7" i="1"/>
  <c r="L6" i="1"/>
  <c r="K7" i="1"/>
  <c r="K6" i="1"/>
  <c r="J7" i="1"/>
  <c r="J6" i="1"/>
  <c r="J11" i="1"/>
  <c r="K11" i="1"/>
  <c r="L11" i="1"/>
  <c r="M11" i="1"/>
  <c r="N11" i="1"/>
  <c r="O11" i="1"/>
  <c r="AC11" i="1"/>
  <c r="AH11" i="1"/>
  <c r="AI6" i="1"/>
  <c r="AI8" i="1"/>
  <c r="AI11" i="1"/>
  <c r="AB7" i="11"/>
  <c r="AB6" i="11"/>
  <c r="AA7" i="11"/>
  <c r="AA6" i="11"/>
  <c r="Z7" i="11"/>
  <c r="Z6" i="11"/>
  <c r="Y7" i="11"/>
  <c r="Y6" i="11"/>
  <c r="X7" i="11"/>
  <c r="X6" i="11"/>
  <c r="W7" i="11"/>
  <c r="W6" i="11"/>
  <c r="V7" i="11"/>
  <c r="V6" i="11"/>
  <c r="U7" i="11"/>
  <c r="U6" i="11"/>
  <c r="T7" i="11"/>
  <c r="T6" i="11"/>
  <c r="S7" i="11"/>
  <c r="S6" i="11"/>
  <c r="R7" i="11"/>
  <c r="R6" i="11"/>
  <c r="Q7" i="11"/>
  <c r="Q6" i="11"/>
  <c r="P7" i="11"/>
  <c r="P6" i="11"/>
  <c r="O7" i="11"/>
  <c r="O6" i="11"/>
  <c r="N7" i="11"/>
  <c r="N6" i="11"/>
  <c r="M7" i="11"/>
  <c r="M6" i="11"/>
  <c r="L7" i="11"/>
  <c r="L6" i="11"/>
  <c r="K7" i="11"/>
  <c r="K6" i="11"/>
  <c r="J7" i="11"/>
  <c r="J6" i="11"/>
  <c r="I7" i="11"/>
  <c r="I6" i="11"/>
  <c r="H7" i="11"/>
  <c r="H6" i="11"/>
  <c r="G7" i="11"/>
  <c r="G6" i="11"/>
  <c r="F7" i="11"/>
  <c r="F6" i="11"/>
  <c r="E7" i="11"/>
  <c r="E6" i="11"/>
  <c r="E10" i="11"/>
  <c r="F10" i="11"/>
  <c r="G10" i="11"/>
  <c r="H10" i="11"/>
  <c r="I10" i="11"/>
  <c r="J10" i="11"/>
  <c r="K10" i="11"/>
  <c r="L10" i="11"/>
  <c r="M10" i="11"/>
  <c r="N10" i="11"/>
  <c r="O10" i="11"/>
  <c r="P10" i="11"/>
  <c r="Q10" i="11"/>
  <c r="R10" i="11"/>
  <c r="S10" i="11"/>
  <c r="T10" i="11"/>
  <c r="U10" i="11"/>
  <c r="V10" i="11"/>
  <c r="W10" i="11"/>
  <c r="X10" i="11"/>
  <c r="Y10" i="11"/>
  <c r="Z10" i="11"/>
  <c r="AA10" i="11"/>
  <c r="AB10" i="11"/>
  <c r="F9" i="11"/>
  <c r="G9" i="11"/>
  <c r="H9" i="11"/>
  <c r="I9" i="11"/>
  <c r="J9" i="11"/>
  <c r="K9" i="11"/>
  <c r="L9" i="11"/>
  <c r="M9" i="11"/>
  <c r="N9" i="11"/>
  <c r="O9" i="11"/>
  <c r="P9" i="11"/>
  <c r="Q9" i="11"/>
  <c r="R9" i="11"/>
  <c r="S9" i="11"/>
  <c r="T9" i="11"/>
  <c r="U9" i="11"/>
  <c r="V9" i="11"/>
  <c r="W9" i="11"/>
  <c r="X9" i="11"/>
  <c r="Y9" i="11"/>
  <c r="Z9" i="11"/>
  <c r="AA9" i="11"/>
  <c r="AB9" i="11"/>
  <c r="E9" i="11"/>
  <c r="I7" i="1"/>
  <c r="I6" i="1"/>
  <c r="H7" i="1"/>
  <c r="H6" i="1"/>
  <c r="G7" i="1"/>
  <c r="G6" i="1"/>
  <c r="F7" i="1"/>
  <c r="F6" i="1"/>
  <c r="E7" i="1"/>
  <c r="E6" i="1"/>
  <c r="D7" i="1"/>
  <c r="D6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T10" i="1"/>
  <c r="U10" i="1"/>
  <c r="V10" i="1"/>
  <c r="W10" i="1"/>
  <c r="X10" i="1"/>
  <c r="Y10" i="1"/>
  <c r="Z10" i="1"/>
  <c r="AA10" i="1"/>
  <c r="D11" i="1"/>
  <c r="E11" i="1"/>
  <c r="F11" i="1"/>
  <c r="G11" i="1"/>
  <c r="H11" i="1"/>
  <c r="I11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T12" i="1"/>
  <c r="U12" i="1"/>
  <c r="V12" i="1"/>
  <c r="W12" i="1"/>
  <c r="X12" i="1"/>
  <c r="Y12" i="1"/>
  <c r="Z12" i="1"/>
  <c r="AA12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T13" i="1"/>
  <c r="U13" i="1"/>
  <c r="V13" i="1"/>
  <c r="W13" i="1"/>
  <c r="X13" i="1"/>
  <c r="Y13" i="1"/>
  <c r="Z13" i="1"/>
  <c r="AA13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T14" i="1"/>
  <c r="U14" i="1"/>
  <c r="V14" i="1"/>
  <c r="W14" i="1"/>
  <c r="X14" i="1"/>
  <c r="Y14" i="1"/>
  <c r="Z14" i="1"/>
  <c r="AA14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T17" i="1"/>
  <c r="U17" i="1"/>
  <c r="V17" i="1"/>
  <c r="W17" i="1"/>
  <c r="X17" i="1"/>
  <c r="Y17" i="1"/>
  <c r="Z17" i="1"/>
  <c r="AA17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T18" i="1"/>
  <c r="U18" i="1"/>
  <c r="V18" i="1"/>
  <c r="W18" i="1"/>
  <c r="X18" i="1"/>
  <c r="Y18" i="1"/>
  <c r="Z18" i="1"/>
  <c r="AA18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R19" i="1"/>
  <c r="S19" i="1"/>
  <c r="T19" i="1"/>
  <c r="U19" i="1"/>
  <c r="V19" i="1"/>
  <c r="W19" i="1"/>
  <c r="X19" i="1"/>
  <c r="Y19" i="1"/>
  <c r="Z19" i="1"/>
  <c r="AA19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Z20" i="1"/>
  <c r="AA20" i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T21" i="1"/>
  <c r="U21" i="1"/>
  <c r="V21" i="1"/>
  <c r="W21" i="1"/>
  <c r="X21" i="1"/>
  <c r="Y21" i="1"/>
  <c r="Z21" i="1"/>
  <c r="AA21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R22" i="1"/>
  <c r="S22" i="1"/>
  <c r="T22" i="1"/>
  <c r="U22" i="1"/>
  <c r="V22" i="1"/>
  <c r="W22" i="1"/>
  <c r="X22" i="1"/>
  <c r="Y22" i="1"/>
  <c r="Z22" i="1"/>
  <c r="AA22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Z23" i="1"/>
  <c r="AA23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T24" i="1"/>
  <c r="U24" i="1"/>
  <c r="V24" i="1"/>
  <c r="W24" i="1"/>
  <c r="X24" i="1"/>
  <c r="Y24" i="1"/>
  <c r="Z24" i="1"/>
  <c r="AA24" i="1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T25" i="1"/>
  <c r="U25" i="1"/>
  <c r="V25" i="1"/>
  <c r="W25" i="1"/>
  <c r="X25" i="1"/>
  <c r="Y25" i="1"/>
  <c r="Z25" i="1"/>
  <c r="AA25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T9" i="1"/>
  <c r="U9" i="1"/>
  <c r="V9" i="1"/>
  <c r="W9" i="1"/>
  <c r="X9" i="1"/>
  <c r="Y9" i="1"/>
  <c r="Z9" i="1"/>
  <c r="AA9" i="1"/>
  <c r="D9" i="1"/>
  <c r="E11" i="13"/>
  <c r="F11" i="13"/>
  <c r="G11" i="13"/>
  <c r="H11" i="13"/>
  <c r="I11" i="13"/>
  <c r="J11" i="13"/>
  <c r="K11" i="13"/>
  <c r="L11" i="13"/>
  <c r="M11" i="13"/>
  <c r="N11" i="13"/>
  <c r="O11" i="13"/>
  <c r="P11" i="13"/>
  <c r="Q11" i="13"/>
  <c r="R11" i="13"/>
  <c r="S11" i="13"/>
  <c r="T11" i="13"/>
  <c r="U11" i="13"/>
  <c r="V11" i="13"/>
  <c r="W11" i="13"/>
  <c r="X11" i="13"/>
  <c r="Y11" i="13"/>
  <c r="Z11" i="13"/>
  <c r="AA11" i="13"/>
  <c r="AB11" i="13"/>
  <c r="E12" i="13"/>
  <c r="F12" i="13"/>
  <c r="G12" i="13"/>
  <c r="H12" i="13"/>
  <c r="I12" i="13"/>
  <c r="J12" i="13"/>
  <c r="K12" i="13"/>
  <c r="L12" i="13"/>
  <c r="M12" i="13"/>
  <c r="N12" i="13"/>
  <c r="O12" i="13"/>
  <c r="P12" i="13"/>
  <c r="Q12" i="13"/>
  <c r="R12" i="13"/>
  <c r="S12" i="13"/>
  <c r="T12" i="13"/>
  <c r="U12" i="13"/>
  <c r="V12" i="13"/>
  <c r="W12" i="13"/>
  <c r="X12" i="13"/>
  <c r="Y12" i="13"/>
  <c r="Z12" i="13"/>
  <c r="AA12" i="13"/>
  <c r="AB12" i="13"/>
  <c r="F9" i="13"/>
  <c r="G9" i="13"/>
  <c r="H9" i="13"/>
  <c r="I9" i="13"/>
  <c r="J9" i="13"/>
  <c r="K9" i="13"/>
  <c r="L9" i="13"/>
  <c r="M9" i="13"/>
  <c r="N9" i="13"/>
  <c r="O9" i="13"/>
  <c r="P9" i="13"/>
  <c r="Q9" i="13"/>
  <c r="R9" i="13"/>
  <c r="S9" i="13"/>
  <c r="T9" i="13"/>
  <c r="U9" i="13"/>
  <c r="V9" i="13"/>
  <c r="W9" i="13"/>
  <c r="X9" i="13"/>
  <c r="Y9" i="13"/>
  <c r="Z9" i="13"/>
  <c r="AA9" i="13"/>
  <c r="AB9" i="13"/>
  <c r="E9" i="13"/>
  <c r="E13" i="13"/>
  <c r="F13" i="13"/>
  <c r="G13" i="13"/>
  <c r="H13" i="13"/>
  <c r="I13" i="13"/>
  <c r="J13" i="13"/>
  <c r="K13" i="13"/>
  <c r="L13" i="13"/>
  <c r="M13" i="13"/>
  <c r="N13" i="13"/>
  <c r="O13" i="13"/>
  <c r="P13" i="13"/>
  <c r="Q13" i="13"/>
  <c r="R13" i="13"/>
  <c r="S13" i="13"/>
  <c r="T13" i="13"/>
  <c r="U13" i="13"/>
  <c r="V13" i="13"/>
  <c r="W13" i="13"/>
  <c r="X13" i="13"/>
  <c r="Y13" i="13"/>
  <c r="Z13" i="13"/>
  <c r="AA13" i="13"/>
  <c r="AB13" i="13"/>
  <c r="E7" i="12"/>
  <c r="E6" i="12"/>
  <c r="E10" i="12"/>
  <c r="F10" i="12"/>
  <c r="G10" i="12"/>
  <c r="H10" i="12"/>
  <c r="I10" i="12"/>
  <c r="J10" i="12"/>
  <c r="K10" i="12"/>
  <c r="L10" i="12"/>
  <c r="M10" i="12"/>
  <c r="N10" i="12"/>
  <c r="O10" i="12"/>
  <c r="P10" i="12"/>
  <c r="Q10" i="12"/>
  <c r="R10" i="12"/>
  <c r="S10" i="12"/>
  <c r="T10" i="12"/>
  <c r="U10" i="12"/>
  <c r="V10" i="12"/>
  <c r="W10" i="12"/>
  <c r="X10" i="12"/>
  <c r="Y10" i="12"/>
  <c r="Z10" i="12"/>
  <c r="AA10" i="12"/>
  <c r="AB10" i="12"/>
  <c r="E9" i="12"/>
  <c r="AB11" i="11"/>
  <c r="AB8" i="11"/>
  <c r="AA22" i="14"/>
  <c r="AB22" i="14"/>
  <c r="AA11" i="11"/>
  <c r="AA8" i="11"/>
  <c r="AB8" i="10"/>
  <c r="AB8" i="14"/>
  <c r="AB17" i="10"/>
  <c r="AB11" i="10"/>
  <c r="AB11" i="12"/>
  <c r="AB8" i="12"/>
  <c r="AA8" i="14"/>
  <c r="Z11" i="11"/>
  <c r="Z8" i="11"/>
  <c r="AA11" i="12"/>
  <c r="AA17" i="10"/>
  <c r="AA11" i="10"/>
  <c r="AA8" i="10"/>
  <c r="AA8" i="12"/>
  <c r="Z22" i="14"/>
  <c r="Z8" i="14"/>
  <c r="Y11" i="11"/>
  <c r="Y8" i="11"/>
  <c r="Z11" i="10"/>
  <c r="Z17" i="10"/>
  <c r="Z11" i="12"/>
  <c r="Z8" i="10"/>
  <c r="Z8" i="12"/>
  <c r="AF11" i="9"/>
  <c r="AE11" i="9"/>
  <c r="AA8" i="9"/>
  <c r="AI6" i="9"/>
  <c r="AI7" i="9"/>
  <c r="AJ6" i="9"/>
  <c r="AJ7" i="9"/>
  <c r="AK6" i="9"/>
  <c r="Y22" i="14"/>
  <c r="Y8" i="14"/>
  <c r="AF11" i="8"/>
  <c r="AE11" i="8"/>
  <c r="AA8" i="8"/>
  <c r="AJ8" i="9"/>
  <c r="AI8" i="9"/>
  <c r="X11" i="11"/>
  <c r="X8" i="11"/>
  <c r="AK7" i="9"/>
  <c r="AL6" i="9"/>
  <c r="AK8" i="9"/>
  <c r="Z8" i="9"/>
  <c r="Y17" i="10"/>
  <c r="Y11" i="10"/>
  <c r="Y11" i="12"/>
  <c r="Y8" i="10"/>
  <c r="Y8" i="12"/>
  <c r="AH12" i="1"/>
  <c r="AH25" i="1"/>
  <c r="AH24" i="1"/>
  <c r="AH23" i="1"/>
  <c r="AH22" i="1"/>
  <c r="AH21" i="1"/>
  <c r="AH20" i="1"/>
  <c r="AH19" i="1"/>
  <c r="AH18" i="1"/>
  <c r="AH17" i="1"/>
  <c r="AH16" i="1"/>
  <c r="AH15" i="1"/>
  <c r="AH14" i="1"/>
  <c r="AH13" i="1"/>
  <c r="I16" i="7"/>
  <c r="F16" i="7"/>
  <c r="C16" i="7"/>
  <c r="AE26" i="1"/>
  <c r="AF26" i="1"/>
  <c r="AI7" i="1"/>
  <c r="AJ6" i="1"/>
  <c r="AJ7" i="1"/>
  <c r="AK6" i="1"/>
  <c r="AK7" i="1"/>
  <c r="AL6" i="1"/>
  <c r="AL7" i="1"/>
  <c r="AM6" i="1"/>
  <c r="AM7" i="1"/>
  <c r="AN6" i="1"/>
  <c r="X22" i="14"/>
  <c r="AL7" i="9"/>
  <c r="AM6" i="9"/>
  <c r="AL8" i="9"/>
  <c r="Y8" i="9"/>
  <c r="X8" i="14"/>
  <c r="AJ8" i="1"/>
  <c r="W11" i="11"/>
  <c r="W8" i="11"/>
  <c r="AM7" i="9"/>
  <c r="AN6" i="9"/>
  <c r="AM8" i="9"/>
  <c r="X8" i="9"/>
  <c r="X17" i="10"/>
  <c r="X11" i="10"/>
  <c r="X11" i="12"/>
  <c r="X8" i="10"/>
  <c r="X8" i="12"/>
  <c r="Z8" i="8"/>
  <c r="AA8" i="1"/>
  <c r="AA26" i="1"/>
  <c r="AK8" i="1"/>
  <c r="W22" i="14"/>
  <c r="AN8" i="9"/>
  <c r="AN7" i="9"/>
  <c r="AO6" i="9"/>
  <c r="W8" i="9"/>
  <c r="W8" i="14"/>
  <c r="AL8" i="1"/>
  <c r="V11" i="11"/>
  <c r="V8" i="11"/>
  <c r="V8" i="9"/>
  <c r="AO8" i="9"/>
  <c r="AO7" i="9"/>
  <c r="AP6" i="9"/>
  <c r="W17" i="10"/>
  <c r="W11" i="10"/>
  <c r="W11" i="12"/>
  <c r="W8" i="10"/>
  <c r="W8" i="12"/>
  <c r="Y8" i="8"/>
  <c r="Z26" i="1"/>
  <c r="Z8" i="1"/>
  <c r="AM8" i="1"/>
  <c r="V22" i="14"/>
  <c r="AP8" i="9"/>
  <c r="AP7" i="9"/>
  <c r="AQ6" i="9"/>
  <c r="U8" i="9"/>
  <c r="V8" i="14"/>
  <c r="AN8" i="1"/>
  <c r="AN7" i="1"/>
  <c r="AO6" i="1"/>
  <c r="U11" i="11"/>
  <c r="U8" i="11"/>
  <c r="T8" i="9"/>
  <c r="AQ8" i="9"/>
  <c r="AQ7" i="9"/>
  <c r="AR6" i="9"/>
  <c r="V11" i="10"/>
  <c r="V17" i="10"/>
  <c r="V11" i="12"/>
  <c r="V8" i="10"/>
  <c r="V8" i="12"/>
  <c r="X8" i="8"/>
  <c r="Y26" i="1"/>
  <c r="Y8" i="1"/>
  <c r="AO7" i="1"/>
  <c r="AP6" i="1"/>
  <c r="AO8" i="1"/>
  <c r="U22" i="14"/>
  <c r="S8" i="9"/>
  <c r="AR7" i="9"/>
  <c r="AS6" i="9"/>
  <c r="AR8" i="9"/>
  <c r="U8" i="14"/>
  <c r="AP8" i="1"/>
  <c r="AP7" i="1"/>
  <c r="AQ6" i="1"/>
  <c r="T11" i="11"/>
  <c r="T8" i="11"/>
  <c r="AS7" i="9"/>
  <c r="AT6" i="9"/>
  <c r="AS8" i="9"/>
  <c r="R8" i="9"/>
  <c r="U11" i="10"/>
  <c r="U17" i="10"/>
  <c r="U11" i="12"/>
  <c r="U8" i="10"/>
  <c r="U8" i="12"/>
  <c r="W8" i="8"/>
  <c r="X26" i="1"/>
  <c r="X8" i="1"/>
  <c r="AQ7" i="1"/>
  <c r="AR6" i="1"/>
  <c r="AQ8" i="1"/>
  <c r="T22" i="14"/>
  <c r="Q8" i="9"/>
  <c r="AT7" i="9"/>
  <c r="AT8" i="9"/>
  <c r="T8" i="14"/>
  <c r="AR8" i="1"/>
  <c r="AR7" i="1"/>
  <c r="AS6" i="1"/>
  <c r="S11" i="11"/>
  <c r="S8" i="11"/>
  <c r="P8" i="9"/>
  <c r="T11" i="10"/>
  <c r="T17" i="10"/>
  <c r="T11" i="12"/>
  <c r="T8" i="10"/>
  <c r="T8" i="12"/>
  <c r="V8" i="8"/>
  <c r="W26" i="1"/>
  <c r="W8" i="1"/>
  <c r="AS7" i="1"/>
  <c r="AT6" i="1"/>
  <c r="AS8" i="1"/>
  <c r="S22" i="14"/>
  <c r="O8" i="9"/>
  <c r="S8" i="14"/>
  <c r="AT8" i="1"/>
  <c r="AT7" i="1"/>
  <c r="R11" i="11"/>
  <c r="R8" i="11"/>
  <c r="N8" i="9"/>
  <c r="S11" i="10"/>
  <c r="S17" i="10"/>
  <c r="S11" i="12"/>
  <c r="S8" i="10"/>
  <c r="S8" i="12"/>
  <c r="U8" i="8"/>
  <c r="V26" i="1"/>
  <c r="V8" i="1"/>
  <c r="R22" i="14"/>
  <c r="M8" i="9"/>
  <c r="R8" i="14"/>
  <c r="Q11" i="11"/>
  <c r="Q8" i="11"/>
  <c r="L8" i="9"/>
  <c r="R17" i="10"/>
  <c r="R11" i="10"/>
  <c r="R11" i="12"/>
  <c r="R8" i="10"/>
  <c r="R8" i="12"/>
  <c r="T8" i="8"/>
  <c r="U26" i="1"/>
  <c r="U8" i="1"/>
  <c r="Q22" i="14"/>
  <c r="K8" i="9"/>
  <c r="Q8" i="14"/>
  <c r="P11" i="11"/>
  <c r="P8" i="11"/>
  <c r="J8" i="9"/>
  <c r="Q17" i="10"/>
  <c r="Q11" i="10"/>
  <c r="Q11" i="12"/>
  <c r="Q8" i="10"/>
  <c r="Q8" i="12"/>
  <c r="S8" i="8"/>
  <c r="T26" i="1"/>
  <c r="T8" i="1"/>
  <c r="P22" i="14"/>
  <c r="I8" i="9"/>
  <c r="P8" i="14"/>
  <c r="O11" i="11"/>
  <c r="O8" i="11"/>
  <c r="H8" i="9"/>
  <c r="P17" i="10"/>
  <c r="P11" i="10"/>
  <c r="P11" i="12"/>
  <c r="P8" i="10"/>
  <c r="P8" i="12"/>
  <c r="R8" i="8"/>
  <c r="S26" i="1"/>
  <c r="S8" i="1"/>
  <c r="O22" i="14"/>
  <c r="G8" i="9"/>
  <c r="O8" i="14"/>
  <c r="N11" i="11"/>
  <c r="N8" i="11"/>
  <c r="F8" i="9"/>
  <c r="O17" i="10"/>
  <c r="O11" i="10"/>
  <c r="O11" i="12"/>
  <c r="O8" i="10"/>
  <c r="O8" i="12"/>
  <c r="Q8" i="8"/>
  <c r="R26" i="1"/>
  <c r="R8" i="1"/>
  <c r="N22" i="14"/>
  <c r="E8" i="9"/>
  <c r="N8" i="14"/>
  <c r="M11" i="11"/>
  <c r="M8" i="11"/>
  <c r="D8" i="9"/>
  <c r="N17" i="10"/>
  <c r="N11" i="10"/>
  <c r="N11" i="12"/>
  <c r="N8" i="10"/>
  <c r="N8" i="12"/>
  <c r="P8" i="8"/>
  <c r="Q26" i="1"/>
  <c r="Q8" i="1"/>
  <c r="M22" i="14"/>
  <c r="D11" i="9"/>
  <c r="M8" i="14"/>
  <c r="L11" i="11"/>
  <c r="L8" i="11"/>
  <c r="E11" i="9"/>
  <c r="M17" i="10"/>
  <c r="M11" i="10"/>
  <c r="M11" i="12"/>
  <c r="M8" i="12"/>
  <c r="O8" i="8"/>
  <c r="AB19" i="1"/>
  <c r="AB9" i="1"/>
  <c r="P26" i="1"/>
  <c r="AB10" i="1"/>
  <c r="AB22" i="1"/>
  <c r="AB15" i="1"/>
  <c r="AB17" i="1"/>
  <c r="AB23" i="1"/>
  <c r="AB24" i="1"/>
  <c r="AB18" i="1"/>
  <c r="AB25" i="1"/>
  <c r="AB21" i="1"/>
  <c r="AB14" i="1"/>
  <c r="AB13" i="1"/>
  <c r="AB20" i="1"/>
  <c r="AB12" i="1"/>
  <c r="AB16" i="1"/>
  <c r="P8" i="1"/>
  <c r="L22" i="14"/>
  <c r="F11" i="9"/>
  <c r="L8" i="14"/>
  <c r="AO24" i="1"/>
  <c r="AN24" i="1"/>
  <c r="AP24" i="1"/>
  <c r="AJ24" i="1"/>
  <c r="AM24" i="1"/>
  <c r="AQ24" i="1"/>
  <c r="AL24" i="1"/>
  <c r="AT24" i="1"/>
  <c r="AS24" i="1"/>
  <c r="AR24" i="1"/>
  <c r="AK24" i="1"/>
  <c r="AI24" i="1"/>
  <c r="AO20" i="1"/>
  <c r="AN20" i="1"/>
  <c r="AP20" i="1"/>
  <c r="AJ20" i="1"/>
  <c r="AQ20" i="1"/>
  <c r="AL20" i="1"/>
  <c r="AT20" i="1"/>
  <c r="AK20" i="1"/>
  <c r="AR20" i="1"/>
  <c r="AS20" i="1"/>
  <c r="AM20" i="1"/>
  <c r="AI20" i="1"/>
  <c r="AR23" i="1"/>
  <c r="AJ23" i="1"/>
  <c r="AP23" i="1"/>
  <c r="AS23" i="1"/>
  <c r="AL23" i="1"/>
  <c r="AK23" i="1"/>
  <c r="AQ23" i="1"/>
  <c r="AM23" i="1"/>
  <c r="AN23" i="1"/>
  <c r="AO23" i="1"/>
  <c r="AI23" i="1"/>
  <c r="AT23" i="1"/>
  <c r="AI13" i="1"/>
  <c r="AR13" i="1"/>
  <c r="AL13" i="1"/>
  <c r="AJ13" i="1"/>
  <c r="AK13" i="1"/>
  <c r="AQ13" i="1"/>
  <c r="AP13" i="1"/>
  <c r="AT13" i="1"/>
  <c r="AS13" i="1"/>
  <c r="AM13" i="1"/>
  <c r="AO13" i="1"/>
  <c r="AN13" i="1"/>
  <c r="AP17" i="1"/>
  <c r="AO17" i="1"/>
  <c r="AM17" i="1"/>
  <c r="AK17" i="1"/>
  <c r="AN17" i="1"/>
  <c r="AI17" i="1"/>
  <c r="AT17" i="1"/>
  <c r="AS17" i="1"/>
  <c r="AR17" i="1"/>
  <c r="AL17" i="1"/>
  <c r="AJ17" i="1"/>
  <c r="AQ17" i="1"/>
  <c r="AN19" i="1"/>
  <c r="AM19" i="1"/>
  <c r="AO19" i="1"/>
  <c r="AI19" i="1"/>
  <c r="AK19" i="1"/>
  <c r="AT19" i="1"/>
  <c r="AS19" i="1"/>
  <c r="AR19" i="1"/>
  <c r="AJ19" i="1"/>
  <c r="AP19" i="1"/>
  <c r="AL19" i="1"/>
  <c r="AQ19" i="1"/>
  <c r="AR15" i="1"/>
  <c r="AJ15" i="1"/>
  <c r="AL15" i="1"/>
  <c r="AN15" i="1"/>
  <c r="AQ15" i="1"/>
  <c r="AT15" i="1"/>
  <c r="AK15" i="1"/>
  <c r="AP15" i="1"/>
  <c r="AO15" i="1"/>
  <c r="AM15" i="1"/>
  <c r="AI15" i="1"/>
  <c r="AS15" i="1"/>
  <c r="AR14" i="1"/>
  <c r="AS14" i="1"/>
  <c r="AO14" i="1"/>
  <c r="AM14" i="1"/>
  <c r="AK14" i="1"/>
  <c r="AJ14" i="1"/>
  <c r="AQ14" i="1"/>
  <c r="AI14" i="1"/>
  <c r="AP14" i="1"/>
  <c r="AL14" i="1"/>
  <c r="AN14" i="1"/>
  <c r="AT14" i="1"/>
  <c r="AR22" i="1"/>
  <c r="AS22" i="1"/>
  <c r="AO22" i="1"/>
  <c r="AI22" i="1"/>
  <c r="AK22" i="1"/>
  <c r="AJ22" i="1"/>
  <c r="AT22" i="1"/>
  <c r="AQ22" i="1"/>
  <c r="AM22" i="1"/>
  <c r="AP22" i="1"/>
  <c r="AN22" i="1"/>
  <c r="AL22" i="1"/>
  <c r="AP21" i="1"/>
  <c r="AO21" i="1"/>
  <c r="AM21" i="1"/>
  <c r="AK21" i="1"/>
  <c r="AN21" i="1"/>
  <c r="AQ21" i="1"/>
  <c r="AI21" i="1"/>
  <c r="AT21" i="1"/>
  <c r="AL21" i="1"/>
  <c r="AR21" i="1"/>
  <c r="AS21" i="1"/>
  <c r="AJ21" i="1"/>
  <c r="AR16" i="1"/>
  <c r="AK16" i="1"/>
  <c r="AM16" i="1"/>
  <c r="AS16" i="1"/>
  <c r="AI16" i="1"/>
  <c r="AQ16" i="1"/>
  <c r="AO16" i="1"/>
  <c r="AN16" i="1"/>
  <c r="AT16" i="1"/>
  <c r="AP16" i="1"/>
  <c r="AJ16" i="1"/>
  <c r="AL16" i="1"/>
  <c r="AP25" i="1"/>
  <c r="AO25" i="1"/>
  <c r="AM25" i="1"/>
  <c r="AK25" i="1"/>
  <c r="AN25" i="1"/>
  <c r="AI25" i="1"/>
  <c r="AT25" i="1"/>
  <c r="AR25" i="1"/>
  <c r="AS25" i="1"/>
  <c r="AL25" i="1"/>
  <c r="AJ25" i="1"/>
  <c r="AQ25" i="1"/>
  <c r="AT12" i="1"/>
  <c r="AO12" i="1"/>
  <c r="AP12" i="1"/>
  <c r="AN12" i="1"/>
  <c r="AL12" i="1"/>
  <c r="AJ12" i="1"/>
  <c r="AS12" i="1"/>
  <c r="AQ12" i="1"/>
  <c r="AR12" i="1"/>
  <c r="AK12" i="1"/>
  <c r="AM12" i="1"/>
  <c r="AI12" i="1"/>
  <c r="AR18" i="1"/>
  <c r="AS18" i="1"/>
  <c r="AO18" i="1"/>
  <c r="AI18" i="1"/>
  <c r="AK18" i="1"/>
  <c r="AM18" i="1"/>
  <c r="AQ18" i="1"/>
  <c r="AT18" i="1"/>
  <c r="AL18" i="1"/>
  <c r="AN18" i="1"/>
  <c r="AP18" i="1"/>
  <c r="AJ18" i="1"/>
  <c r="AB26" i="1"/>
  <c r="K11" i="11"/>
  <c r="K8" i="11"/>
  <c r="G11" i="9"/>
  <c r="L17" i="10"/>
  <c r="L11" i="10"/>
  <c r="L11" i="12"/>
  <c r="L8" i="10"/>
  <c r="L8" i="12"/>
  <c r="N8" i="8"/>
  <c r="AU20" i="1"/>
  <c r="AU12" i="1"/>
  <c r="O26" i="1"/>
  <c r="AU19" i="1"/>
  <c r="AU16" i="1"/>
  <c r="AU17" i="1"/>
  <c r="O8" i="1"/>
  <c r="AU13" i="1"/>
  <c r="AU21" i="1"/>
  <c r="AU22" i="1"/>
  <c r="AU14" i="1"/>
  <c r="AU24" i="1"/>
  <c r="AU25" i="1"/>
  <c r="AU15" i="1"/>
  <c r="AU23" i="1"/>
  <c r="AU18" i="1"/>
  <c r="K22" i="14"/>
  <c r="H11" i="9"/>
  <c r="K8" i="14"/>
  <c r="J11" i="11"/>
  <c r="J8" i="11"/>
  <c r="I11" i="9"/>
  <c r="K17" i="10"/>
  <c r="K11" i="10"/>
  <c r="K11" i="12"/>
  <c r="K8" i="10"/>
  <c r="K8" i="12"/>
  <c r="M8" i="8"/>
  <c r="N26" i="1"/>
  <c r="N8" i="1"/>
  <c r="J22" i="14"/>
  <c r="J11" i="9"/>
  <c r="J8" i="14"/>
  <c r="I11" i="11"/>
  <c r="I8" i="11"/>
  <c r="K11" i="9"/>
  <c r="J11" i="10"/>
  <c r="J17" i="10"/>
  <c r="J11" i="12"/>
  <c r="J8" i="10"/>
  <c r="J8" i="12"/>
  <c r="L8" i="8"/>
  <c r="M26" i="1"/>
  <c r="M8" i="1"/>
  <c r="I22" i="14"/>
  <c r="L11" i="9"/>
  <c r="I8" i="14"/>
  <c r="H11" i="11"/>
  <c r="H8" i="11"/>
  <c r="M11" i="9"/>
  <c r="I11" i="10"/>
  <c r="I17" i="10"/>
  <c r="I11" i="12"/>
  <c r="I8" i="10"/>
  <c r="I8" i="12"/>
  <c r="K8" i="8"/>
  <c r="L26" i="1"/>
  <c r="L8" i="1"/>
  <c r="H22" i="14"/>
  <c r="N11" i="9"/>
  <c r="H8" i="14"/>
  <c r="G11" i="11"/>
  <c r="G8" i="11"/>
  <c r="O11" i="9"/>
  <c r="H17" i="10"/>
  <c r="H11" i="10"/>
  <c r="H11" i="12"/>
  <c r="H8" i="10"/>
  <c r="H8" i="12"/>
  <c r="J8" i="8"/>
  <c r="K26" i="1"/>
  <c r="K8" i="1"/>
  <c r="G22" i="14"/>
  <c r="P11" i="9"/>
  <c r="G8" i="14"/>
  <c r="F11" i="11"/>
  <c r="F8" i="11"/>
  <c r="Q11" i="9"/>
  <c r="G17" i="10"/>
  <c r="G11" i="10"/>
  <c r="G11" i="12"/>
  <c r="G8" i="10"/>
  <c r="G8" i="12"/>
  <c r="I8" i="8"/>
  <c r="AC20" i="1"/>
  <c r="AC15" i="1"/>
  <c r="AC21" i="1"/>
  <c r="AC17" i="1"/>
  <c r="AC19" i="1"/>
  <c r="AC24" i="1"/>
  <c r="AC9" i="1"/>
  <c r="AH9" i="1"/>
  <c r="J26" i="1"/>
  <c r="AC26" i="1"/>
  <c r="AC18" i="1"/>
  <c r="AC22" i="1"/>
  <c r="AC25" i="1"/>
  <c r="AC10" i="1"/>
  <c r="AH10" i="1"/>
  <c r="AC12" i="1"/>
  <c r="AC23" i="1"/>
  <c r="AC14" i="1"/>
  <c r="AC16" i="1"/>
  <c r="AC13" i="1"/>
  <c r="J8" i="1"/>
  <c r="F22" i="14"/>
  <c r="R11" i="9"/>
  <c r="F8" i="14"/>
  <c r="AK9" i="1"/>
  <c r="AO9" i="1"/>
  <c r="AN9" i="1"/>
  <c r="AL9" i="1"/>
  <c r="AI9" i="1"/>
  <c r="AT9" i="1"/>
  <c r="AS9" i="1"/>
  <c r="AR9" i="1"/>
  <c r="AP9" i="1"/>
  <c r="AJ9" i="1"/>
  <c r="AM9" i="1"/>
  <c r="AQ9" i="1"/>
  <c r="AL10" i="1"/>
  <c r="AQ10" i="1"/>
  <c r="AM10" i="1"/>
  <c r="AT10" i="1"/>
  <c r="AN10" i="1"/>
  <c r="AO10" i="1"/>
  <c r="AS10" i="1"/>
  <c r="AP10" i="1"/>
  <c r="AJ10" i="1"/>
  <c r="AK10" i="1"/>
  <c r="AR10" i="1"/>
  <c r="AI10" i="1"/>
  <c r="AQ11" i="1"/>
  <c r="AL11" i="1"/>
  <c r="AN11" i="1"/>
  <c r="AP11" i="1"/>
  <c r="AS11" i="1"/>
  <c r="AO11" i="1"/>
  <c r="AM11" i="1"/>
  <c r="AK11" i="1"/>
  <c r="AJ11" i="1"/>
  <c r="AR11" i="1"/>
  <c r="AT11" i="1"/>
  <c r="E11" i="11"/>
  <c r="E8" i="11"/>
  <c r="S11" i="9"/>
  <c r="F17" i="10"/>
  <c r="F11" i="10"/>
  <c r="F11" i="12"/>
  <c r="F8" i="10"/>
  <c r="F8" i="12"/>
  <c r="H8" i="8"/>
  <c r="AM26" i="1"/>
  <c r="AQ26" i="1"/>
  <c r="AL26" i="1"/>
  <c r="AK26" i="1"/>
  <c r="I26" i="1"/>
  <c r="I8" i="1"/>
  <c r="AP26" i="1"/>
  <c r="AU10" i="1"/>
  <c r="AR26" i="1"/>
  <c r="AU11" i="1"/>
  <c r="AS26" i="1"/>
  <c r="AT26" i="1"/>
  <c r="AJ26" i="1"/>
  <c r="AI26" i="1"/>
  <c r="AU9" i="1"/>
  <c r="AN26" i="1"/>
  <c r="AO26" i="1"/>
  <c r="E22" i="14"/>
  <c r="T11" i="9"/>
  <c r="E8" i="14"/>
  <c r="AU26" i="1"/>
  <c r="AH26" i="1"/>
  <c r="U11" i="9"/>
  <c r="E11" i="10"/>
  <c r="E17" i="10"/>
  <c r="E8" i="10"/>
  <c r="E11" i="12"/>
  <c r="E8" i="12"/>
  <c r="G8" i="8"/>
  <c r="H26" i="1"/>
  <c r="H8" i="1"/>
  <c r="V11" i="9"/>
  <c r="W11" i="9"/>
  <c r="F8" i="8"/>
  <c r="G26" i="1"/>
  <c r="G8" i="1"/>
  <c r="X11" i="9"/>
  <c r="Y11" i="9"/>
  <c r="E8" i="8"/>
  <c r="F26" i="1"/>
  <c r="F8" i="1"/>
  <c r="Z11" i="9"/>
  <c r="AD10" i="9"/>
  <c r="AB10" i="9"/>
  <c r="AC10" i="9"/>
  <c r="AH10" i="9"/>
  <c r="AA11" i="9"/>
  <c r="AD9" i="9"/>
  <c r="AC9" i="9"/>
  <c r="AH9" i="9"/>
  <c r="AB9" i="9"/>
  <c r="D8" i="8"/>
  <c r="E26" i="1"/>
  <c r="E8" i="1"/>
  <c r="AK9" i="9"/>
  <c r="AR9" i="9"/>
  <c r="AQ9" i="9"/>
  <c r="AI9" i="9"/>
  <c r="AP9" i="9"/>
  <c r="AB11" i="9"/>
  <c r="AO9" i="9"/>
  <c r="AJ9" i="9"/>
  <c r="AN9" i="9"/>
  <c r="AM9" i="9"/>
  <c r="AT9" i="9"/>
  <c r="AL9" i="9"/>
  <c r="AS9" i="9"/>
  <c r="AJ10" i="9"/>
  <c r="AQ10" i="9"/>
  <c r="AP10" i="9"/>
  <c r="AO10" i="9"/>
  <c r="AN10" i="9"/>
  <c r="AI10" i="9"/>
  <c r="AM10" i="9"/>
  <c r="AR10" i="9"/>
  <c r="AT10" i="9"/>
  <c r="AL10" i="9"/>
  <c r="AS10" i="9"/>
  <c r="AK10" i="9"/>
  <c r="AD11" i="9"/>
  <c r="AC11" i="9"/>
  <c r="D11" i="8"/>
  <c r="AT11" i="9"/>
  <c r="AJ11" i="9"/>
  <c r="AO11" i="9"/>
  <c r="AS11" i="9"/>
  <c r="AP11" i="9"/>
  <c r="AL11" i="9"/>
  <c r="AI11" i="9"/>
  <c r="AU9" i="9"/>
  <c r="AU10" i="9"/>
  <c r="AQ11" i="9"/>
  <c r="AM11" i="9"/>
  <c r="AR11" i="9"/>
  <c r="AN11" i="9"/>
  <c r="AK11" i="9"/>
  <c r="E11" i="8"/>
  <c r="D26" i="1"/>
  <c r="AD26" i="1"/>
  <c r="AD9" i="1"/>
  <c r="AD16" i="1"/>
  <c r="AD14" i="1"/>
  <c r="AD20" i="1"/>
  <c r="AD17" i="1"/>
  <c r="AD12" i="1"/>
  <c r="AD23" i="1"/>
  <c r="AD22" i="1"/>
  <c r="AD19" i="1"/>
  <c r="AD15" i="1"/>
  <c r="AD13" i="1"/>
  <c r="AD21" i="1"/>
  <c r="AD11" i="1"/>
  <c r="AD18" i="1"/>
  <c r="AD24" i="1"/>
  <c r="AD10" i="1"/>
  <c r="AD25" i="1"/>
  <c r="D8" i="1"/>
  <c r="AU11" i="9"/>
  <c r="AH11" i="9"/>
  <c r="F11" i="8"/>
  <c r="G11" i="8"/>
  <c r="H11" i="8"/>
  <c r="I11" i="8"/>
  <c r="J11" i="8"/>
  <c r="K11" i="8"/>
  <c r="L11" i="8"/>
  <c r="M11" i="8"/>
  <c r="N11" i="8"/>
  <c r="O11" i="8"/>
  <c r="P11" i="8"/>
  <c r="Q11" i="8"/>
  <c r="R11" i="8"/>
  <c r="S11" i="8"/>
  <c r="T11" i="8"/>
  <c r="U11" i="8"/>
  <c r="V11" i="8"/>
  <c r="W11" i="8"/>
  <c r="X11" i="8"/>
  <c r="Y11" i="8"/>
  <c r="Z11" i="8"/>
  <c r="AH9" i="8"/>
  <c r="AD10" i="8"/>
  <c r="AC10" i="8"/>
  <c r="AH10" i="8"/>
  <c r="AA11" i="8"/>
  <c r="AD11" i="8"/>
  <c r="AC11" i="8"/>
</calcChain>
</file>

<file path=xl/sharedStrings.xml><?xml version="1.0" encoding="utf-8"?>
<sst xmlns="http://schemas.openxmlformats.org/spreadsheetml/2006/main" count="211" uniqueCount="122">
  <si>
    <t>Období</t>
  </si>
  <si>
    <t>601</t>
  </si>
  <si>
    <t>Výnosy po skupinách</t>
  </si>
  <si>
    <t>Tržby za vlastní výrobky</t>
  </si>
  <si>
    <t>Tržby z prodeje služeb</t>
  </si>
  <si>
    <t>Tržby za zboží</t>
  </si>
  <si>
    <t>Tržby z prodeje dlouhodobého majetku</t>
  </si>
  <si>
    <t>641</t>
  </si>
  <si>
    <t>604</t>
  </si>
  <si>
    <t>602</t>
  </si>
  <si>
    <t>Tržby z prodeje materiálu</t>
  </si>
  <si>
    <t>Smluvní pokuty a úroky z prodlení</t>
  </si>
  <si>
    <t>Výnosy z odepsaných pohledávek</t>
  </si>
  <si>
    <t>Ostatní provozní výnosy</t>
  </si>
  <si>
    <t>642</t>
  </si>
  <si>
    <t>644</t>
  </si>
  <si>
    <t>646</t>
  </si>
  <si>
    <t>648</t>
  </si>
  <si>
    <t>Tržby z prodeje cenných papírů a podílů</t>
  </si>
  <si>
    <t>Úroky</t>
  </si>
  <si>
    <t>Kursové zisky</t>
  </si>
  <si>
    <t>Výnosy z přecenění cenných papírů</t>
  </si>
  <si>
    <t>Výnosy z dlouhodobého finančního majetku</t>
  </si>
  <si>
    <t>Výnosy z krátkodobého finančního majetku</t>
  </si>
  <si>
    <t>Výnosy z derivátových operací</t>
  </si>
  <si>
    <t>Ostatní finanční výnosy</t>
  </si>
  <si>
    <t>661</t>
  </si>
  <si>
    <t>662</t>
  </si>
  <si>
    <t>663</t>
  </si>
  <si>
    <t>664</t>
  </si>
  <si>
    <t>665</t>
  </si>
  <si>
    <t>666</t>
  </si>
  <si>
    <t>667</t>
  </si>
  <si>
    <t>668</t>
  </si>
  <si>
    <t>Převod provozních výnosů</t>
  </si>
  <si>
    <t>697</t>
  </si>
  <si>
    <t>12 měsíců</t>
  </si>
  <si>
    <t>Celkem</t>
  </si>
  <si>
    <t>Predikce</t>
  </si>
  <si>
    <t>Ručně</t>
  </si>
  <si>
    <t>Změna</t>
  </si>
  <si>
    <t>Růst</t>
  </si>
  <si>
    <t>183 dní</t>
  </si>
  <si>
    <t>365 dní</t>
  </si>
  <si>
    <t>Minimum</t>
  </si>
  <si>
    <t>Maximum</t>
  </si>
  <si>
    <t>Účet</t>
  </si>
  <si>
    <t>Historie</t>
  </si>
  <si>
    <t>-</t>
  </si>
  <si>
    <t>Tržby za vlastní výrobky a služby</t>
  </si>
  <si>
    <t>Měsíc</t>
  </si>
  <si>
    <t>Podíl</t>
  </si>
  <si>
    <t>(údaje v tis. Kč)                         Stav ke dni:</t>
  </si>
  <si>
    <t>a</t>
  </si>
  <si>
    <t>211</t>
  </si>
  <si>
    <t>221</t>
  </si>
  <si>
    <t>Banky</t>
  </si>
  <si>
    <t>Pokladny</t>
  </si>
  <si>
    <t>Peníze celkem</t>
  </si>
  <si>
    <t>Peníze - vývoj</t>
  </si>
  <si>
    <t>Sklady vývoj</t>
  </si>
  <si>
    <t>Prodej po období</t>
  </si>
  <si>
    <t>Mzdy</t>
  </si>
  <si>
    <t>typ informace</t>
  </si>
  <si>
    <t xml:space="preserve">Pohledávky </t>
  </si>
  <si>
    <t>Závazky</t>
  </si>
  <si>
    <t>t</t>
  </si>
  <si>
    <t>p</t>
  </si>
  <si>
    <t>np</t>
  </si>
  <si>
    <t>c</t>
  </si>
  <si>
    <t>Rozdíl</t>
  </si>
  <si>
    <t>tb</t>
  </si>
  <si>
    <t>ab</t>
  </si>
  <si>
    <t>tr</t>
  </si>
  <si>
    <t>ar</t>
  </si>
  <si>
    <t>Účetní odpisy</t>
  </si>
  <si>
    <t>Daňové odpisy</t>
  </si>
  <si>
    <t>n</t>
  </si>
  <si>
    <t>d</t>
  </si>
  <si>
    <t>f</t>
  </si>
  <si>
    <t>g</t>
  </si>
  <si>
    <t>počet mzdových listů</t>
  </si>
  <si>
    <t>úvazky v hodinách</t>
  </si>
  <si>
    <t>fond pracovní doby</t>
  </si>
  <si>
    <t>odpracovaná doba</t>
  </si>
  <si>
    <t>hrubá mzda</t>
  </si>
  <si>
    <t>q</t>
  </si>
  <si>
    <t>Průměrná cena</t>
  </si>
  <si>
    <t>ABRA API Settings</t>
  </si>
  <si>
    <t>URL</t>
  </si>
  <si>
    <t>Username</t>
  </si>
  <si>
    <t>Password</t>
  </si>
  <si>
    <t>Max. Timeout [s]</t>
  </si>
  <si>
    <t>Max. Connection Timeout [s]</t>
  </si>
  <si>
    <t>Supervisor</t>
  </si>
  <si>
    <t>http://localhost/data</t>
  </si>
  <si>
    <t>https://4a49-abc3-4571eda3e01a1d202429da4e6api.abra.eu/cz</t>
  </si>
  <si>
    <t>PNS - senzory</t>
  </si>
  <si>
    <t>PCS - hlídače</t>
  </si>
  <si>
    <t>Stav ke dni:</t>
  </si>
  <si>
    <t xml:space="preserve">(údaje v tis. Kč) </t>
  </si>
  <si>
    <t>zkratka</t>
  </si>
  <si>
    <t>Skladová cena</t>
  </si>
  <si>
    <t>Počet</t>
  </si>
  <si>
    <t>Prodejní cena bez DPH</t>
  </si>
  <si>
    <t xml:space="preserve">(údaje v tis. Kč)                        </t>
  </si>
  <si>
    <t xml:space="preserve"> Stav ke dni:</t>
  </si>
  <si>
    <t>Zaplaceno</t>
  </si>
  <si>
    <t>Nezaplaceno</t>
  </si>
  <si>
    <t>Dobropisováno</t>
  </si>
  <si>
    <t xml:space="preserve">(údaje v tis. Kč)                         </t>
  </si>
  <si>
    <t>Daňová vstupní cena</t>
  </si>
  <si>
    <t>Účetní vstupní cena</t>
  </si>
  <si>
    <t>Daňová zůstatková cena</t>
  </si>
  <si>
    <t>Účetní zůstatková cena</t>
  </si>
  <si>
    <t>(údaje v tis. Kč)</t>
  </si>
  <si>
    <t>Majetek - odpisy</t>
  </si>
  <si>
    <t>Majetek - stav</t>
  </si>
  <si>
    <t>mzdové období</t>
  </si>
  <si>
    <t>Pohyby</t>
  </si>
  <si>
    <t>(údaje v tis. Kč)              Stav ke dni:</t>
  </si>
  <si>
    <t>(údaje v tis. Kč)                Stav ke dni: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</si>
</sst>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d/m/yyyy;@"/>
    <numFmt numFmtId="165" formatCode="#,##0.00\ [$Kč-405];[Red]\-#,##0.00\ [$Kč-405]"/>
    <numFmt numFmtId="166" formatCode="#,##0\ _K_č"/>
    <numFmt numFmtId="167" formatCode="0.000"/>
    <numFmt numFmtId="168" formatCode="[$-405]mmmm\ yy;@"/>
    <numFmt numFmtId="169" formatCode="0.0%"/>
    <numFmt numFmtId="170" formatCode="#,##0.000\ _K_č"/>
    <numFmt numFmtId="171" formatCode="yyyy\/mm"/>
  </numFmts>
  <fonts count="19" x14ac:knownFonts="1">
    <font>
      <sz val="10"/>
      <name val="Arial"/>
      <charset val="238"/>
    </font>
    <font>
      <sz val="10"/>
      <name val="Arial"/>
      <family val="2"/>
      <charset val="238"/>
    </font>
    <font>
      <sz val="8"/>
      <name val="Arial"/>
      <family val="2"/>
      <charset val="238"/>
    </font>
    <font>
      <b/>
      <sz val="8"/>
      <name val="Arial"/>
      <family val="2"/>
      <charset val="238"/>
    </font>
    <font>
      <b/>
      <sz val="10"/>
      <name val="Arial"/>
      <family val="2"/>
      <charset val="238"/>
    </font>
    <font>
      <b/>
      <sz val="10"/>
      <color rgb="FFFFFFFF"/>
      <name val="Verdana"/>
      <family val="2"/>
      <charset val="238"/>
    </font>
    <font>
      <sz val="10"/>
      <color rgb="FFFFFFFF"/>
      <name val="Verdana"/>
      <family val="2"/>
      <charset val="238"/>
    </font>
    <font>
      <sz val="10"/>
      <name val="Verdana"/>
      <family val="2"/>
      <charset val="238"/>
    </font>
    <font>
      <u/>
      <sz val="10"/>
      <color theme="10"/>
      <name val="Arial"/>
      <family val="2"/>
      <charset val="238"/>
    </font>
    <font>
      <b/>
      <sz val="10"/>
      <color theme="1" tint="0.14999847407452621"/>
      <name val="Verdana"/>
      <family val="2"/>
      <charset val="238"/>
    </font>
    <font>
      <sz val="8"/>
      <color theme="1" tint="0.14999847407452621"/>
      <name val="Verdana"/>
      <family val="2"/>
      <charset val="238"/>
    </font>
    <font>
      <b/>
      <sz val="8"/>
      <color theme="1" tint="0.14999847407452621"/>
      <name val="Verdana"/>
      <family val="2"/>
      <charset val="238"/>
    </font>
    <font>
      <sz val="8"/>
      <name val="Verdana"/>
      <family val="2"/>
      <charset val="238"/>
    </font>
    <font>
      <b/>
      <sz val="8"/>
      <name val="Verdana"/>
      <family val="2"/>
      <charset val="238"/>
    </font>
    <font>
      <b/>
      <sz val="10"/>
      <name val="Verdana"/>
      <family val="2"/>
      <charset val="238"/>
    </font>
    <font>
      <sz val="12"/>
      <name val="Verdana"/>
      <family val="2"/>
      <charset val="238"/>
    </font>
    <font>
      <b/>
      <sz val="11"/>
      <color theme="1" tint="0.14999847407452621"/>
      <name val="Verdana"/>
      <family val="2"/>
      <charset val="238"/>
    </font>
    <font>
      <b/>
      <sz val="11"/>
      <name val="Verdana"/>
      <family val="2"/>
      <charset val="238"/>
    </font>
    <font>
      <b/>
      <i/>
      <sz val="8"/>
      <name val="Verdana"/>
      <family val="2"/>
      <charset val="238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2B76D2"/>
        <bgColor indexed="64"/>
      </patternFill>
    </fill>
  </fills>
  <borders count="93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rgb="FFEFFAFF"/>
      </right>
      <top style="medium">
        <color theme="0"/>
      </top>
      <bottom style="medium">
        <color theme="0"/>
      </bottom>
      <diagonal/>
    </border>
    <border>
      <left style="thin">
        <color rgb="FFEFFAFF"/>
      </left>
      <right style="thin">
        <color rgb="FFEFFAFF"/>
      </right>
      <top style="medium">
        <color theme="0"/>
      </top>
      <bottom style="medium">
        <color theme="0"/>
      </bottom>
      <diagonal/>
    </border>
    <border>
      <left style="thin">
        <color rgb="FFEFFAFF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thin">
        <color rgb="FFEFFAFF"/>
      </right>
      <top/>
      <bottom style="medium">
        <color theme="0"/>
      </bottom>
      <diagonal/>
    </border>
    <border>
      <left style="thin">
        <color rgb="FFEFFAFF"/>
      </left>
      <right style="thin">
        <color rgb="FFEFFAFF"/>
      </right>
      <top/>
      <bottom style="medium">
        <color theme="0"/>
      </bottom>
      <diagonal/>
    </border>
    <border>
      <left style="thin">
        <color rgb="FFEFFAFF"/>
      </left>
      <right style="medium">
        <color theme="0"/>
      </right>
      <top/>
      <bottom style="medium">
        <color theme="0"/>
      </bottom>
      <diagonal/>
    </border>
    <border>
      <left style="thin">
        <color rgb="FFEFFAFF"/>
      </left>
      <right/>
      <top/>
      <bottom style="medium">
        <color theme="0"/>
      </bottom>
      <diagonal/>
    </border>
    <border>
      <left style="medium">
        <color theme="0" tint="-0.14996795556505021"/>
      </left>
      <right style="thin">
        <color theme="0" tint="-0.14993743705557422"/>
      </right>
      <top style="medium">
        <color theme="0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medium">
        <color theme="0"/>
      </top>
      <bottom style="thin">
        <color theme="0" tint="-0.14996795556505021"/>
      </bottom>
      <diagonal/>
    </border>
    <border>
      <left style="medium">
        <color theme="0" tint="-0.14996795556505021"/>
      </left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medium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theme="0" tint="-0.14996795556505021"/>
      </left>
      <right style="thin">
        <color theme="0" tint="-0.14993743705557422"/>
      </right>
      <top style="thin">
        <color theme="0" tint="-0.14996795556505021"/>
      </top>
      <bottom style="medium">
        <color theme="0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 style="medium">
        <color theme="0"/>
      </bottom>
      <diagonal/>
    </border>
    <border>
      <left style="thin">
        <color theme="0" tint="-0.14993743705557422"/>
      </left>
      <right style="medium">
        <color theme="0" tint="-0.14996795556505021"/>
      </right>
      <top style="thin">
        <color theme="0" tint="-0.14996795556505021"/>
      </top>
      <bottom style="medium">
        <color theme="0"/>
      </bottom>
      <diagonal/>
    </border>
    <border>
      <left/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thin">
        <color indexed="9"/>
      </right>
      <top style="medium">
        <color theme="0"/>
      </top>
      <bottom style="thin">
        <color theme="0"/>
      </bottom>
      <diagonal/>
    </border>
    <border>
      <left style="thin">
        <color indexed="9"/>
      </left>
      <right style="medium">
        <color theme="0"/>
      </right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/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 style="thin">
        <color indexed="9"/>
      </right>
      <top style="thin">
        <color theme="0"/>
      </top>
      <bottom style="medium">
        <color theme="0"/>
      </bottom>
      <diagonal/>
    </border>
    <border>
      <left style="thin">
        <color indexed="9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thin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indexed="9"/>
      </right>
      <top style="medium">
        <color theme="0"/>
      </top>
      <bottom style="medium">
        <color theme="0"/>
      </bottom>
      <diagonal/>
    </border>
    <border>
      <left style="thin">
        <color indexed="9"/>
      </left>
      <right style="thin">
        <color indexed="9"/>
      </right>
      <top style="medium">
        <color theme="0"/>
      </top>
      <bottom style="medium">
        <color theme="0"/>
      </bottom>
      <diagonal/>
    </border>
    <border>
      <left style="thin">
        <color indexed="9"/>
      </left>
      <right/>
      <top style="medium">
        <color theme="0"/>
      </top>
      <bottom style="medium">
        <color theme="0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 style="medium">
        <color theme="0"/>
      </bottom>
      <diagonal/>
    </border>
    <border>
      <left style="thin">
        <color theme="0" tint="-0.14990691854609822"/>
      </left>
      <right/>
      <top style="medium">
        <color theme="0"/>
      </top>
      <bottom style="thin">
        <color theme="0" tint="-0.14996795556505021"/>
      </bottom>
      <diagonal/>
    </border>
    <border>
      <left style="thin">
        <color theme="0" tint="-0.14990691854609822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0691854609822"/>
      </left>
      <right/>
      <top style="thin">
        <color theme="0" tint="-0.14996795556505021"/>
      </top>
      <bottom style="medium">
        <color theme="0"/>
      </bottom>
      <diagonal/>
    </border>
    <border>
      <left style="thin">
        <color indexed="9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n">
        <color theme="0"/>
      </right>
      <top style="medium">
        <color theme="0"/>
      </top>
      <bottom/>
      <diagonal/>
    </border>
    <border>
      <left style="thin">
        <color theme="0"/>
      </left>
      <right style="thin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thin">
        <color theme="0"/>
      </left>
      <right style="medium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medium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 style="medium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medium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/>
      </bottom>
      <diagonal/>
    </border>
    <border>
      <left style="medium">
        <color theme="0" tint="-0.14996795556505021"/>
      </left>
      <right style="thin">
        <color theme="0" tint="-0.14993743705557422"/>
      </right>
      <top style="medium">
        <color theme="0" tint="-0.14993743705557422"/>
      </top>
      <bottom style="thin">
        <color theme="0" tint="-0.14996795556505021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3743705557422"/>
      </left>
      <right/>
      <top style="medium">
        <color theme="0" tint="-0.14993743705557422"/>
      </top>
      <bottom style="thin">
        <color theme="0" tint="-0.14996795556505021"/>
      </bottom>
      <diagonal/>
    </border>
    <border>
      <left style="thin">
        <color theme="0" tint="-0.14993743705557422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theme="0" tint="-0.14996795556505021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3743705557422"/>
      </left>
      <right/>
      <top/>
      <bottom style="thin">
        <color theme="0" tint="-0.14996795556505021"/>
      </bottom>
      <diagonal/>
    </border>
    <border>
      <left style="thin">
        <color rgb="FF2B76D2"/>
      </left>
      <right style="thin">
        <color rgb="FF2B76D2"/>
      </right>
      <top style="thin">
        <color rgb="FF2B76D2"/>
      </top>
      <bottom style="thin">
        <color rgb="FF2B76D2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thin">
        <color theme="0" tint="-0.14993743705557422"/>
      </right>
      <top style="medium">
        <color theme="0"/>
      </top>
      <bottom style="thin">
        <color theme="0" tint="-0.14996795556505021"/>
      </bottom>
      <diagonal/>
    </border>
    <border>
      <left/>
      <right/>
      <top style="medium">
        <color theme="0" tint="-0.14993743705557422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3743705557422"/>
      </left>
      <right style="medium">
        <color theme="0" tint="-0.14996795556505021"/>
      </right>
      <top/>
      <bottom style="thin">
        <color theme="0" tint="-0.14996795556505021"/>
      </bottom>
      <diagonal/>
    </border>
    <border>
      <left style="medium">
        <color theme="0"/>
      </left>
      <right style="thin">
        <color theme="0" tint="-0.14993743705557422"/>
      </right>
      <top style="medium">
        <color theme="0"/>
      </top>
      <bottom style="medium">
        <color theme="0"/>
      </bottom>
      <diagonal/>
    </border>
    <border>
      <left style="thin">
        <color theme="0" tint="-0.14993743705557422"/>
      </left>
      <right style="thin">
        <color theme="0" tint="-0.14993743705557422"/>
      </right>
      <top style="medium">
        <color theme="0"/>
      </top>
      <bottom style="medium">
        <color theme="0"/>
      </bottom>
      <diagonal/>
    </border>
    <border>
      <left style="thin">
        <color theme="0" tint="-0.14993743705557422"/>
      </left>
      <right style="medium">
        <color theme="0" tint="-0.14996795556505021"/>
      </right>
      <top style="medium">
        <color theme="0"/>
      </top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theme="0" tint="-0.14990691854609822"/>
      </right>
      <top/>
      <bottom style="thin">
        <color theme="0" tint="-0.14990691854609822"/>
      </bottom>
      <diagonal/>
    </border>
    <border>
      <left style="thin">
        <color theme="0" tint="-0.14993743705557422"/>
      </left>
      <right style="thin">
        <color theme="0" tint="-0.14993743705557422"/>
      </right>
      <top style="medium">
        <color theme="0"/>
      </top>
      <bottom/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/>
      <diagonal/>
    </border>
    <border>
      <left style="thin">
        <color theme="0" tint="-0.14990691854609822"/>
      </left>
      <right/>
      <top/>
      <bottom/>
      <diagonal/>
    </border>
    <border>
      <left/>
      <right style="thin">
        <color theme="0" tint="-0.14990691854609822"/>
      </right>
      <top/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/>
      <diagonal/>
    </border>
    <border>
      <left style="thin">
        <color indexed="9"/>
      </left>
      <right style="thin">
        <color indexed="9"/>
      </right>
      <top style="medium">
        <color theme="0"/>
      </top>
      <bottom/>
      <diagonal/>
    </border>
    <border>
      <left style="thin">
        <color theme="0" tint="-0.14993743705557422"/>
      </left>
      <right/>
      <top style="medium">
        <color theme="0"/>
      </top>
      <bottom style="thin">
        <color theme="0" tint="-0.14996795556505021"/>
      </bottom>
      <diagonal/>
    </border>
    <border>
      <left/>
      <right style="thin">
        <color theme="0" tint="-0.14993743705557422"/>
      </right>
      <top style="medium">
        <color theme="0"/>
      </top>
      <bottom/>
      <diagonal/>
    </border>
    <border>
      <left style="medium">
        <color theme="0"/>
      </left>
      <right style="thin">
        <color indexed="9"/>
      </right>
      <top style="medium">
        <color theme="0"/>
      </top>
      <bottom/>
      <diagonal/>
    </border>
    <border>
      <left style="thin">
        <color theme="0" tint="-0.14990691854609822"/>
      </left>
      <right style="thin">
        <color theme="0" tint="-0.14990691854609822"/>
      </right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8" fillId="0" borderId="0" applyNumberFormat="0" applyFill="0" applyBorder="0" applyAlignment="0" applyProtection="0"/>
  </cellStyleXfs>
  <cellXfs count="250">
    <xf numFmtId="0" fontId="0" fillId="0" borderId="0" xfId="0"/>
    <xf numFmtId="0" fontId="0" fillId="0" borderId="4" xfId="0" applyBorder="1"/>
    <xf numFmtId="0" fontId="0" fillId="0" borderId="54" xfId="0" applyBorder="1"/>
    <xf numFmtId="0" fontId="0" fillId="0" borderId="55" xfId="0" applyBorder="1"/>
    <xf numFmtId="0" fontId="0" fillId="0" borderId="56" xfId="0" applyBorder="1"/>
    <xf numFmtId="0" fontId="0" fillId="0" borderId="1" xfId="0" applyBorder="1"/>
    <xf numFmtId="0" fontId="3" fillId="3" borderId="58" xfId="0" applyFont="1" applyFill="1" applyBorder="1" applyAlignment="1">
      <alignment horizontal="right"/>
    </xf>
    <xf numFmtId="0" fontId="3" fillId="3" borderId="53" xfId="0" applyFont="1" applyFill="1" applyBorder="1" applyAlignment="1">
      <alignment horizontal="right"/>
    </xf>
    <xf numFmtId="0" fontId="0" fillId="0" borderId="55" xfId="0" applyBorder="1" applyAlignment="1">
      <alignment vertical="center"/>
    </xf>
    <xf numFmtId="0" fontId="0" fillId="0" borderId="4" xfId="0" applyBorder="1" applyAlignment="1">
      <alignment vertical="center"/>
    </xf>
    <xf numFmtId="0" fontId="3" fillId="3" borderId="59" xfId="0" applyFont="1" applyFill="1" applyBorder="1"/>
    <xf numFmtId="9" fontId="3" fillId="3" borderId="60" xfId="1" applyFont="1" applyFill="1" applyBorder="1"/>
    <xf numFmtId="0" fontId="4" fillId="0" borderId="55" xfId="0" applyFont="1" applyBorder="1"/>
    <xf numFmtId="0" fontId="4" fillId="0" borderId="4" xfId="0" applyFont="1" applyBorder="1"/>
    <xf numFmtId="0" fontId="0" fillId="0" borderId="61" xfId="0" applyBorder="1"/>
    <xf numFmtId="0" fontId="2" fillId="0" borderId="62" xfId="0" applyFont="1" applyBorder="1"/>
    <xf numFmtId="9" fontId="2" fillId="0" borderId="62" xfId="1" applyFont="1" applyBorder="1"/>
    <xf numFmtId="0" fontId="2" fillId="0" borderId="63" xfId="0" applyFont="1" applyBorder="1"/>
    <xf numFmtId="9" fontId="2" fillId="0" borderId="63" xfId="1" applyFont="1" applyBorder="1"/>
    <xf numFmtId="0" fontId="2" fillId="0" borderId="64" xfId="0" applyFont="1" applyBorder="1"/>
    <xf numFmtId="9" fontId="2" fillId="0" borderId="64" xfId="1" applyFont="1" applyBorder="1"/>
    <xf numFmtId="0" fontId="7" fillId="0" borderId="72" xfId="0" applyFont="1" applyBorder="1"/>
    <xf numFmtId="0" fontId="6" fillId="0" borderId="72" xfId="0" applyFont="1" applyBorder="1"/>
    <xf numFmtId="0" fontId="8" fillId="0" borderId="72" xfId="2" applyBorder="1"/>
    <xf numFmtId="0" fontId="8" fillId="2" borderId="0" xfId="2" applyFill="1"/>
    <xf numFmtId="166" fontId="9" fillId="3" borderId="6" xfId="0" applyNumberFormat="1" applyFont="1" applyFill="1" applyBorder="1"/>
    <xf numFmtId="166" fontId="10" fillId="3" borderId="7" xfId="0" applyNumberFormat="1" applyFont="1" applyFill="1" applyBorder="1"/>
    <xf numFmtId="164" fontId="10" fillId="2" borderId="0" xfId="0" applyNumberFormat="1" applyFont="1" applyFill="1" applyBorder="1" applyAlignment="1">
      <alignment horizontal="right" vertical="center"/>
    </xf>
    <xf numFmtId="166" fontId="10" fillId="3" borderId="0" xfId="0" applyNumberFormat="1" applyFont="1" applyFill="1" applyBorder="1" applyAlignment="1"/>
    <xf numFmtId="0" fontId="10" fillId="3" borderId="2" xfId="0" applyFont="1" applyFill="1" applyBorder="1" applyAlignment="1"/>
    <xf numFmtId="0" fontId="10" fillId="3" borderId="0" xfId="0" applyFont="1" applyFill="1" applyBorder="1" applyAlignment="1"/>
    <xf numFmtId="165" fontId="11" fillId="3" borderId="37" xfId="0" applyNumberFormat="1" applyFont="1" applyFill="1" applyBorder="1" applyAlignment="1">
      <alignment vertical="center"/>
    </xf>
    <xf numFmtId="165" fontId="11" fillId="3" borderId="38" xfId="0" applyNumberFormat="1" applyFont="1" applyFill="1" applyBorder="1" applyAlignment="1">
      <alignment vertical="center"/>
    </xf>
    <xf numFmtId="165" fontId="12" fillId="0" borderId="4" xfId="0" applyNumberFormat="1" applyFont="1" applyFill="1" applyBorder="1" applyAlignment="1">
      <alignment horizontal="left"/>
    </xf>
    <xf numFmtId="165" fontId="13" fillId="0" borderId="4" xfId="0" applyNumberFormat="1" applyFont="1" applyFill="1" applyBorder="1" applyAlignment="1">
      <alignment horizontal="left"/>
    </xf>
    <xf numFmtId="165" fontId="14" fillId="0" borderId="4" xfId="0" applyNumberFormat="1" applyFont="1" applyFill="1" applyBorder="1" applyAlignment="1">
      <alignment horizontal="left"/>
    </xf>
    <xf numFmtId="165" fontId="7" fillId="0" borderId="4" xfId="0" applyNumberFormat="1" applyFont="1" applyFill="1" applyBorder="1" applyAlignment="1">
      <alignment horizontal="left"/>
    </xf>
    <xf numFmtId="166" fontId="9" fillId="3" borderId="7" xfId="0" applyNumberFormat="1" applyFont="1" applyFill="1" applyBorder="1"/>
    <xf numFmtId="166" fontId="10" fillId="3" borderId="0" xfId="0" applyNumberFormat="1" applyFont="1" applyFill="1" applyBorder="1" applyAlignment="1">
      <alignment horizontal="right" vertical="center"/>
    </xf>
    <xf numFmtId="166" fontId="10" fillId="3" borderId="2" xfId="0" applyNumberFormat="1" applyFont="1" applyFill="1" applyBorder="1" applyAlignment="1">
      <alignment horizontal="left"/>
    </xf>
    <xf numFmtId="166" fontId="10" fillId="3" borderId="2" xfId="0" applyNumberFormat="1" applyFont="1" applyFill="1" applyBorder="1" applyAlignment="1">
      <alignment horizontal="left" vertical="center"/>
    </xf>
    <xf numFmtId="0" fontId="15" fillId="0" borderId="4" xfId="0" applyFont="1" applyFill="1" applyBorder="1" applyAlignment="1">
      <alignment vertical="center"/>
    </xf>
    <xf numFmtId="166" fontId="12" fillId="0" borderId="4" xfId="0" applyNumberFormat="1" applyFont="1" applyFill="1" applyBorder="1"/>
    <xf numFmtId="4" fontId="7" fillId="0" borderId="4" xfId="0" applyNumberFormat="1" applyFont="1" applyFill="1" applyBorder="1"/>
    <xf numFmtId="0" fontId="7" fillId="0" borderId="4" xfId="0" applyFont="1" applyFill="1" applyBorder="1"/>
    <xf numFmtId="0" fontId="12" fillId="0" borderId="4" xfId="0" applyFont="1" applyFill="1" applyBorder="1"/>
    <xf numFmtId="166" fontId="10" fillId="3" borderId="0" xfId="0" applyNumberFormat="1" applyFont="1" applyFill="1" applyBorder="1"/>
    <xf numFmtId="164" fontId="15" fillId="0" borderId="4" xfId="0" applyNumberFormat="1" applyFont="1" applyFill="1" applyBorder="1" applyAlignment="1">
      <alignment vertical="center"/>
    </xf>
    <xf numFmtId="164" fontId="12" fillId="0" borderId="4" xfId="0" applyNumberFormat="1" applyFont="1" applyFill="1" applyBorder="1"/>
    <xf numFmtId="164" fontId="12" fillId="0" borderId="4" xfId="0" applyNumberFormat="1" applyFont="1" applyFill="1" applyBorder="1" applyAlignment="1">
      <alignment vertical="center"/>
    </xf>
    <xf numFmtId="0" fontId="15" fillId="0" borderId="4" xfId="0" applyFont="1" applyFill="1" applyBorder="1" applyAlignment="1"/>
    <xf numFmtId="166" fontId="12" fillId="0" borderId="4" xfId="0" applyNumberFormat="1" applyFont="1" applyFill="1" applyBorder="1" applyAlignment="1"/>
    <xf numFmtId="0" fontId="12" fillId="0" borderId="4" xfId="0" applyFont="1" applyFill="1" applyBorder="1" applyAlignment="1"/>
    <xf numFmtId="166" fontId="12" fillId="0" borderId="55" xfId="0" applyNumberFormat="1" applyFont="1" applyFill="1" applyBorder="1"/>
    <xf numFmtId="164" fontId="10" fillId="3" borderId="29" xfId="0" applyNumberFormat="1" applyFont="1" applyFill="1" applyBorder="1" applyAlignment="1">
      <alignment vertical="center"/>
    </xf>
    <xf numFmtId="164" fontId="10" fillId="3" borderId="30" xfId="0" applyNumberFormat="1" applyFont="1" applyFill="1" applyBorder="1" applyAlignment="1">
      <alignment vertical="center"/>
    </xf>
    <xf numFmtId="164" fontId="10" fillId="3" borderId="34" xfId="0" applyNumberFormat="1" applyFont="1" applyFill="1" applyBorder="1" applyAlignment="1">
      <alignment vertical="center"/>
    </xf>
    <xf numFmtId="164" fontId="10" fillId="3" borderId="9" xfId="0" applyNumberFormat="1" applyFont="1" applyFill="1" applyBorder="1" applyAlignment="1">
      <alignment vertical="center"/>
    </xf>
    <xf numFmtId="168" fontId="11" fillId="3" borderId="39" xfId="0" applyNumberFormat="1" applyFont="1" applyFill="1" applyBorder="1" applyAlignment="1">
      <alignment vertical="center"/>
    </xf>
    <xf numFmtId="168" fontId="11" fillId="3" borderId="40" xfId="0" applyNumberFormat="1" applyFont="1" applyFill="1" applyBorder="1" applyAlignment="1">
      <alignment vertical="center"/>
    </xf>
    <xf numFmtId="168" fontId="11" fillId="3" borderId="40" xfId="0" applyNumberFormat="1" applyFont="1" applyFill="1" applyBorder="1" applyAlignment="1">
      <alignment horizontal="right" vertical="center"/>
    </xf>
    <xf numFmtId="49" fontId="10" fillId="0" borderId="21" xfId="0" applyNumberFormat="1" applyFont="1" applyFill="1" applyBorder="1" applyAlignment="1">
      <alignment vertical="center"/>
    </xf>
    <xf numFmtId="49" fontId="10" fillId="0" borderId="74" xfId="0" applyNumberFormat="1" applyFont="1" applyFill="1" applyBorder="1" applyAlignment="1">
      <alignment vertical="center"/>
    </xf>
    <xf numFmtId="49" fontId="10" fillId="0" borderId="22" xfId="0" applyNumberFormat="1" applyFont="1" applyFill="1" applyBorder="1" applyAlignment="1">
      <alignment vertical="center"/>
    </xf>
    <xf numFmtId="3" fontId="10" fillId="0" borderId="22" xfId="0" applyNumberFormat="1" applyFont="1" applyFill="1" applyBorder="1" applyAlignment="1">
      <alignment vertical="center"/>
    </xf>
    <xf numFmtId="49" fontId="10" fillId="0" borderId="23" xfId="0" applyNumberFormat="1" applyFont="1" applyFill="1" applyBorder="1" applyAlignment="1">
      <alignment vertical="center"/>
    </xf>
    <xf numFmtId="49" fontId="10" fillId="0" borderId="42" xfId="0" applyNumberFormat="1" applyFont="1" applyFill="1" applyBorder="1" applyAlignment="1">
      <alignment vertical="center"/>
    </xf>
    <xf numFmtId="49" fontId="10" fillId="0" borderId="24" xfId="0" applyNumberFormat="1" applyFont="1" applyFill="1" applyBorder="1" applyAlignment="1">
      <alignment vertical="center"/>
    </xf>
    <xf numFmtId="3" fontId="11" fillId="3" borderId="12" xfId="0" applyNumberFormat="1" applyFont="1" applyFill="1" applyBorder="1" applyAlignment="1">
      <alignment vertical="center"/>
    </xf>
    <xf numFmtId="3" fontId="11" fillId="3" borderId="13" xfId="0" applyNumberFormat="1" applyFont="1" applyFill="1" applyBorder="1" applyAlignment="1">
      <alignment vertical="center"/>
    </xf>
    <xf numFmtId="165" fontId="11" fillId="3" borderId="0" xfId="0" applyNumberFormat="1" applyFont="1" applyFill="1" applyBorder="1" applyAlignment="1">
      <alignment horizontal="left" vertical="center"/>
    </xf>
    <xf numFmtId="3" fontId="11" fillId="3" borderId="0" xfId="0" applyNumberFormat="1" applyFont="1" applyFill="1" applyBorder="1" applyAlignment="1">
      <alignment vertical="center"/>
    </xf>
    <xf numFmtId="165" fontId="12" fillId="0" borderId="4" xfId="0" applyNumberFormat="1" applyFont="1" applyFill="1" applyBorder="1" applyAlignment="1">
      <alignment horizontal="left" vertical="center"/>
    </xf>
    <xf numFmtId="166" fontId="12" fillId="0" borderId="4" xfId="0" applyNumberFormat="1" applyFont="1" applyFill="1" applyBorder="1" applyAlignment="1">
      <alignment vertical="center"/>
    </xf>
    <xf numFmtId="4" fontId="7" fillId="0" borderId="4" xfId="0" applyNumberFormat="1" applyFont="1" applyFill="1" applyBorder="1" applyAlignment="1">
      <alignment vertical="center"/>
    </xf>
    <xf numFmtId="0" fontId="7" fillId="0" borderId="4" xfId="0" applyFont="1" applyFill="1" applyBorder="1" applyAlignment="1">
      <alignment vertical="center"/>
    </xf>
    <xf numFmtId="165" fontId="12" fillId="0" borderId="56" xfId="0" applyNumberFormat="1" applyFont="1" applyFill="1" applyBorder="1" applyAlignment="1">
      <alignment horizontal="left" vertical="center"/>
    </xf>
    <xf numFmtId="166" fontId="12" fillId="0" borderId="56" xfId="0" applyNumberFormat="1" applyFont="1" applyFill="1" applyBorder="1" applyAlignment="1">
      <alignment vertical="center"/>
    </xf>
    <xf numFmtId="4" fontId="7" fillId="0" borderId="56" xfId="0" applyNumberFormat="1" applyFont="1" applyFill="1" applyBorder="1" applyAlignment="1">
      <alignment vertical="center"/>
    </xf>
    <xf numFmtId="0" fontId="7" fillId="0" borderId="56" xfId="0" applyFont="1" applyFill="1" applyBorder="1" applyAlignment="1">
      <alignment vertical="center"/>
    </xf>
    <xf numFmtId="49" fontId="10" fillId="0" borderId="65" xfId="0" applyNumberFormat="1" applyFont="1" applyFill="1" applyBorder="1" applyAlignment="1">
      <alignment vertical="center"/>
    </xf>
    <xf numFmtId="49" fontId="10" fillId="0" borderId="75" xfId="0" applyNumberFormat="1" applyFont="1" applyFill="1" applyBorder="1" applyAlignment="1">
      <alignment vertical="center"/>
    </xf>
    <xf numFmtId="49" fontId="10" fillId="0" borderId="67" xfId="0" applyNumberFormat="1" applyFont="1" applyFill="1" applyBorder="1" applyAlignment="1">
      <alignment vertical="center"/>
    </xf>
    <xf numFmtId="3" fontId="10" fillId="0" borderId="66" xfId="0" applyNumberFormat="1" applyFont="1" applyFill="1" applyBorder="1" applyAlignment="1">
      <alignment vertical="center"/>
    </xf>
    <xf numFmtId="49" fontId="10" fillId="0" borderId="76" xfId="0" applyNumberFormat="1" applyFont="1" applyFill="1" applyBorder="1" applyAlignment="1">
      <alignment vertical="center"/>
    </xf>
    <xf numFmtId="49" fontId="10" fillId="0" borderId="68" xfId="0" applyNumberFormat="1" applyFont="1" applyFill="1" applyBorder="1" applyAlignment="1">
      <alignment vertical="center"/>
    </xf>
    <xf numFmtId="3" fontId="11" fillId="3" borderId="17" xfId="0" applyNumberFormat="1" applyFont="1" applyFill="1" applyBorder="1" applyAlignment="1">
      <alignment vertical="center"/>
    </xf>
    <xf numFmtId="166" fontId="9" fillId="3" borderId="7" xfId="0" applyNumberFormat="1" applyFont="1" applyFill="1" applyBorder="1" applyAlignment="1">
      <alignment vertical="center"/>
    </xf>
    <xf numFmtId="166" fontId="9" fillId="3" borderId="8" xfId="0" applyNumberFormat="1" applyFont="1" applyFill="1" applyBorder="1" applyAlignment="1">
      <alignment horizontal="center" vertical="center"/>
    </xf>
    <xf numFmtId="166" fontId="10" fillId="3" borderId="2" xfId="0" applyNumberFormat="1" applyFont="1" applyFill="1" applyBorder="1" applyAlignment="1">
      <alignment horizontal="right" vertical="center"/>
    </xf>
    <xf numFmtId="166" fontId="9" fillId="3" borderId="0" xfId="0" applyNumberFormat="1" applyFont="1" applyFill="1" applyBorder="1" applyAlignment="1">
      <alignment vertical="center"/>
    </xf>
    <xf numFmtId="166" fontId="9" fillId="3" borderId="3" xfId="0" applyNumberFormat="1" applyFont="1" applyFill="1" applyBorder="1" applyAlignment="1">
      <alignment vertical="center"/>
    </xf>
    <xf numFmtId="166" fontId="9" fillId="3" borderId="33" xfId="0" applyNumberFormat="1" applyFont="1" applyFill="1" applyBorder="1" applyAlignment="1">
      <alignment vertical="center"/>
    </xf>
    <xf numFmtId="166" fontId="12" fillId="0" borderId="4" xfId="0" applyNumberFormat="1" applyFont="1" applyFill="1" applyBorder="1" applyAlignment="1">
      <alignment horizontal="right" vertical="center"/>
    </xf>
    <xf numFmtId="0" fontId="12" fillId="0" borderId="4" xfId="0" applyFont="1" applyFill="1" applyBorder="1" applyAlignment="1">
      <alignment vertical="center"/>
    </xf>
    <xf numFmtId="166" fontId="9" fillId="3" borderId="6" xfId="0" applyNumberFormat="1" applyFont="1" applyFill="1" applyBorder="1" applyAlignment="1">
      <alignment vertical="center"/>
    </xf>
    <xf numFmtId="166" fontId="10" fillId="3" borderId="7" xfId="0" applyNumberFormat="1" applyFont="1" applyFill="1" applyBorder="1" applyAlignment="1">
      <alignment vertical="center"/>
    </xf>
    <xf numFmtId="166" fontId="10" fillId="3" borderId="8" xfId="0" applyNumberFormat="1" applyFont="1" applyFill="1" applyBorder="1" applyAlignment="1">
      <alignment vertical="center"/>
    </xf>
    <xf numFmtId="166" fontId="10" fillId="3" borderId="0" xfId="0" applyNumberFormat="1" applyFont="1" applyFill="1" applyBorder="1" applyAlignment="1">
      <alignment vertical="center"/>
    </xf>
    <xf numFmtId="166" fontId="10" fillId="3" borderId="3" xfId="0" applyNumberFormat="1" applyFont="1" applyFill="1" applyBorder="1" applyAlignment="1">
      <alignment vertical="center"/>
    </xf>
    <xf numFmtId="166" fontId="16" fillId="3" borderId="0" xfId="0" applyNumberFormat="1" applyFont="1" applyFill="1" applyBorder="1" applyAlignment="1">
      <alignment vertical="center"/>
    </xf>
    <xf numFmtId="166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vertical="center"/>
    </xf>
    <xf numFmtId="0" fontId="10" fillId="3" borderId="0" xfId="0" applyFont="1" applyFill="1" applyBorder="1" applyAlignment="1">
      <alignment vertical="center"/>
    </xf>
    <xf numFmtId="166" fontId="10" fillId="3" borderId="16" xfId="0" applyNumberFormat="1" applyFont="1" applyFill="1" applyBorder="1" applyAlignment="1">
      <alignment vertical="center"/>
    </xf>
    <xf numFmtId="164" fontId="10" fillId="3" borderId="31" xfId="0" applyNumberFormat="1" applyFont="1" applyFill="1" applyBorder="1" applyAlignment="1">
      <alignment vertical="center"/>
    </xf>
    <xf numFmtId="164" fontId="10" fillId="3" borderId="35" xfId="0" applyNumberFormat="1" applyFont="1" applyFill="1" applyBorder="1" applyAlignment="1">
      <alignment vertical="center"/>
    </xf>
    <xf numFmtId="168" fontId="11" fillId="3" borderId="47" xfId="0" applyNumberFormat="1" applyFont="1" applyFill="1" applyBorder="1" applyAlignment="1">
      <alignment horizontal="right" vertical="center"/>
    </xf>
    <xf numFmtId="168" fontId="11" fillId="3" borderId="10" xfId="0" applyNumberFormat="1" applyFont="1" applyFill="1" applyBorder="1" applyAlignment="1">
      <alignment horizontal="right" vertical="center"/>
    </xf>
    <xf numFmtId="168" fontId="11" fillId="3" borderId="41" xfId="0" applyNumberFormat="1" applyFont="1" applyFill="1" applyBorder="1" applyAlignment="1">
      <alignment horizontal="right" vertical="center"/>
    </xf>
    <xf numFmtId="168" fontId="11" fillId="3" borderId="5" xfId="0" applyNumberFormat="1" applyFont="1" applyFill="1" applyBorder="1" applyAlignment="1">
      <alignment horizontal="right" vertical="center"/>
    </xf>
    <xf numFmtId="166" fontId="11" fillId="3" borderId="5" xfId="0" applyNumberFormat="1" applyFont="1" applyFill="1" applyBorder="1" applyAlignment="1">
      <alignment horizontal="right" vertical="center"/>
    </xf>
    <xf numFmtId="3" fontId="11" fillId="0" borderId="44" xfId="0" applyNumberFormat="1" applyFont="1" applyFill="1" applyBorder="1" applyAlignment="1">
      <alignment vertical="center"/>
    </xf>
    <xf numFmtId="169" fontId="10" fillId="4" borderId="1" xfId="1" applyNumberFormat="1" applyFont="1" applyFill="1" applyBorder="1" applyAlignment="1">
      <alignment horizontal="right" vertical="center"/>
    </xf>
    <xf numFmtId="169" fontId="10" fillId="4" borderId="52" xfId="1" applyNumberFormat="1" applyFont="1" applyFill="1" applyBorder="1" applyAlignment="1">
      <alignment horizontal="right" vertical="center"/>
    </xf>
    <xf numFmtId="3" fontId="10" fillId="0" borderId="42" xfId="0" applyNumberFormat="1" applyFont="1" applyFill="1" applyBorder="1" applyAlignment="1">
      <alignment vertical="center"/>
    </xf>
    <xf numFmtId="3" fontId="10" fillId="0" borderId="24" xfId="0" applyNumberFormat="1" applyFont="1" applyFill="1" applyBorder="1" applyAlignment="1">
      <alignment vertical="center"/>
    </xf>
    <xf numFmtId="3" fontId="11" fillId="0" borderId="25" xfId="0" applyNumberFormat="1" applyFont="1" applyFill="1" applyBorder="1" applyAlignment="1">
      <alignment vertical="center"/>
    </xf>
    <xf numFmtId="3" fontId="11" fillId="0" borderId="45" xfId="0" applyNumberFormat="1" applyFont="1" applyFill="1" applyBorder="1" applyAlignment="1">
      <alignment vertical="center"/>
    </xf>
    <xf numFmtId="169" fontId="10" fillId="4" borderId="4" xfId="1" applyNumberFormat="1" applyFont="1" applyFill="1" applyBorder="1" applyAlignment="1">
      <alignment horizontal="right" vertical="center"/>
    </xf>
    <xf numFmtId="169" fontId="10" fillId="4" borderId="53" xfId="1" applyNumberFormat="1" applyFont="1" applyFill="1" applyBorder="1" applyAlignment="1">
      <alignment horizontal="right" vertical="center"/>
    </xf>
    <xf numFmtId="49" fontId="10" fillId="0" borderId="26" xfId="0" applyNumberFormat="1" applyFont="1" applyFill="1" applyBorder="1" applyAlignment="1">
      <alignment vertical="center"/>
    </xf>
    <xf numFmtId="49" fontId="10" fillId="0" borderId="27" xfId="0" applyNumberFormat="1" applyFont="1" applyFill="1" applyBorder="1" applyAlignment="1">
      <alignment vertical="center"/>
    </xf>
    <xf numFmtId="3" fontId="11" fillId="0" borderId="46" xfId="0" applyNumberFormat="1" applyFont="1" applyFill="1" applyBorder="1" applyAlignment="1">
      <alignment vertical="center"/>
    </xf>
    <xf numFmtId="3" fontId="10" fillId="0" borderId="43" xfId="0" applyNumberFormat="1" applyFont="1" applyFill="1" applyBorder="1" applyAlignment="1">
      <alignment vertical="center"/>
    </xf>
    <xf numFmtId="3" fontId="10" fillId="0" borderId="27" xfId="0" applyNumberFormat="1" applyFont="1" applyFill="1" applyBorder="1" applyAlignment="1">
      <alignment vertical="center"/>
    </xf>
    <xf numFmtId="3" fontId="11" fillId="0" borderId="28" xfId="0" applyNumberFormat="1" applyFont="1" applyFill="1" applyBorder="1" applyAlignment="1">
      <alignment vertical="center"/>
    </xf>
    <xf numFmtId="3" fontId="11" fillId="3" borderId="14" xfId="0" applyNumberFormat="1" applyFont="1" applyFill="1" applyBorder="1" applyAlignment="1">
      <alignment vertical="center"/>
    </xf>
    <xf numFmtId="169" fontId="11" fillId="3" borderId="17" xfId="1" applyNumberFormat="1" applyFont="1" applyFill="1" applyBorder="1" applyAlignment="1">
      <alignment horizontal="right" vertical="center"/>
    </xf>
    <xf numFmtId="169" fontId="11" fillId="3" borderId="18" xfId="1" applyNumberFormat="1" applyFont="1" applyFill="1" applyBorder="1" applyAlignment="1">
      <alignment horizontal="right" vertical="center"/>
    </xf>
    <xf numFmtId="169" fontId="11" fillId="3" borderId="20" xfId="1" applyNumberFormat="1" applyFont="1" applyFill="1" applyBorder="1" applyAlignment="1">
      <alignment horizontal="right" vertical="center"/>
    </xf>
    <xf numFmtId="169" fontId="11" fillId="3" borderId="19" xfId="1" applyNumberFormat="1" applyFont="1" applyFill="1" applyBorder="1" applyAlignment="1">
      <alignment horizontal="right" vertical="center"/>
    </xf>
    <xf numFmtId="3" fontId="11" fillId="3" borderId="5" xfId="0" applyNumberFormat="1" applyFont="1" applyFill="1" applyBorder="1" applyAlignment="1">
      <alignment vertical="center"/>
    </xf>
    <xf numFmtId="170" fontId="12" fillId="0" borderId="4" xfId="0" applyNumberFormat="1" applyFont="1" applyFill="1" applyBorder="1" applyAlignment="1">
      <alignment vertical="center"/>
    </xf>
    <xf numFmtId="167" fontId="12" fillId="0" borderId="4" xfId="0" applyNumberFormat="1" applyFont="1" applyFill="1" applyBorder="1" applyAlignment="1">
      <alignment vertical="center"/>
    </xf>
    <xf numFmtId="10" fontId="12" fillId="0" borderId="4" xfId="0" applyNumberFormat="1" applyFont="1" applyFill="1" applyBorder="1" applyAlignment="1">
      <alignment vertical="center"/>
    </xf>
    <xf numFmtId="0" fontId="15" fillId="0" borderId="4" xfId="0" applyFont="1" applyFill="1" applyBorder="1" applyAlignment="1">
      <alignment horizontal="right" vertical="center"/>
    </xf>
    <xf numFmtId="164" fontId="15" fillId="0" borderId="4" xfId="0" applyNumberFormat="1" applyFont="1" applyFill="1" applyBorder="1" applyAlignment="1">
      <alignment horizontal="right" vertical="center"/>
    </xf>
    <xf numFmtId="164" fontId="12" fillId="0" borderId="4" xfId="0" applyNumberFormat="1" applyFont="1" applyFill="1" applyBorder="1" applyAlignment="1">
      <alignment horizontal="right" vertical="center"/>
    </xf>
    <xf numFmtId="165" fontId="12" fillId="0" borderId="4" xfId="0" applyNumberFormat="1" applyFont="1" applyFill="1" applyBorder="1" applyAlignment="1">
      <alignment horizontal="right" vertical="center"/>
    </xf>
    <xf numFmtId="4" fontId="7" fillId="0" borderId="4" xfId="0" applyNumberFormat="1" applyFont="1" applyFill="1" applyBorder="1" applyAlignment="1">
      <alignment horizontal="right" vertical="center"/>
    </xf>
    <xf numFmtId="0" fontId="7" fillId="0" borderId="4" xfId="0" applyFont="1" applyFill="1" applyBorder="1" applyAlignment="1">
      <alignment horizontal="right" vertical="center"/>
    </xf>
    <xf numFmtId="0" fontId="12" fillId="0" borderId="4" xfId="0" applyFont="1" applyFill="1" applyBorder="1" applyAlignment="1">
      <alignment horizontal="right" vertical="center"/>
    </xf>
    <xf numFmtId="166" fontId="10" fillId="3" borderId="7" xfId="0" applyNumberFormat="1" applyFont="1" applyFill="1" applyBorder="1" applyAlignment="1">
      <alignment horizontal="right" vertical="center"/>
    </xf>
    <xf numFmtId="164" fontId="10" fillId="3" borderId="29" xfId="0" applyNumberFormat="1" applyFont="1" applyFill="1" applyBorder="1" applyAlignment="1">
      <alignment horizontal="right" vertical="center"/>
    </xf>
    <xf numFmtId="164" fontId="10" fillId="3" borderId="30" xfId="0" applyNumberFormat="1" applyFont="1" applyFill="1" applyBorder="1" applyAlignment="1">
      <alignment horizontal="right" vertical="center"/>
    </xf>
    <xf numFmtId="164" fontId="10" fillId="3" borderId="34" xfId="0" applyNumberFormat="1" applyFont="1" applyFill="1" applyBorder="1" applyAlignment="1">
      <alignment horizontal="right" vertical="center"/>
    </xf>
    <xf numFmtId="164" fontId="10" fillId="3" borderId="9" xfId="0" applyNumberFormat="1" applyFont="1" applyFill="1" applyBorder="1" applyAlignment="1">
      <alignment horizontal="right" vertical="center"/>
    </xf>
    <xf numFmtId="168" fontId="11" fillId="3" borderId="39" xfId="0" applyNumberFormat="1" applyFont="1" applyFill="1" applyBorder="1" applyAlignment="1">
      <alignment horizontal="right" vertical="center"/>
    </xf>
    <xf numFmtId="3" fontId="10" fillId="0" borderId="22" xfId="0" applyNumberFormat="1" applyFont="1" applyFill="1" applyBorder="1" applyAlignment="1">
      <alignment horizontal="right" vertical="center"/>
    </xf>
    <xf numFmtId="4" fontId="12" fillId="0" borderId="4" xfId="0" applyNumberFormat="1" applyFont="1" applyFill="1" applyBorder="1" applyAlignment="1">
      <alignment horizontal="right" vertical="center"/>
    </xf>
    <xf numFmtId="3" fontId="11" fillId="3" borderId="12" xfId="0" applyNumberFormat="1" applyFont="1" applyFill="1" applyBorder="1" applyAlignment="1">
      <alignment horizontal="right" vertical="center"/>
    </xf>
    <xf numFmtId="3" fontId="11" fillId="3" borderId="0" xfId="0" applyNumberFormat="1" applyFont="1" applyFill="1" applyBorder="1" applyAlignment="1">
      <alignment horizontal="right" vertical="center"/>
    </xf>
    <xf numFmtId="165" fontId="13" fillId="0" borderId="4" xfId="0" applyNumberFormat="1" applyFont="1" applyFill="1" applyBorder="1" applyAlignment="1">
      <alignment horizontal="right" vertical="center"/>
    </xf>
    <xf numFmtId="165" fontId="14" fillId="0" borderId="4" xfId="0" applyNumberFormat="1" applyFont="1" applyFill="1" applyBorder="1" applyAlignment="1">
      <alignment horizontal="right" vertical="center"/>
    </xf>
    <xf numFmtId="165" fontId="7" fillId="0" borderId="4" xfId="0" applyNumberFormat="1" applyFont="1" applyFill="1" applyBorder="1" applyAlignment="1">
      <alignment horizontal="right" vertical="center"/>
    </xf>
    <xf numFmtId="165" fontId="11" fillId="3" borderId="73" xfId="0" applyNumberFormat="1" applyFont="1" applyFill="1" applyBorder="1" applyAlignment="1">
      <alignment horizontal="left" vertical="center"/>
    </xf>
    <xf numFmtId="165" fontId="11" fillId="3" borderId="73" xfId="0" applyNumberFormat="1" applyFont="1" applyFill="1" applyBorder="1" applyAlignment="1">
      <alignment vertical="center"/>
    </xf>
    <xf numFmtId="165" fontId="11" fillId="3" borderId="73" xfId="0" applyNumberFormat="1" applyFont="1" applyFill="1" applyBorder="1" applyAlignment="1">
      <alignment horizontal="left" vertical="center"/>
    </xf>
    <xf numFmtId="166" fontId="9" fillId="3" borderId="6" xfId="0" applyNumberFormat="1" applyFont="1" applyFill="1" applyBorder="1" applyAlignment="1">
      <alignment horizontal="left" vertical="center"/>
    </xf>
    <xf numFmtId="166" fontId="9" fillId="3" borderId="7" xfId="0" applyNumberFormat="1" applyFont="1" applyFill="1" applyBorder="1" applyAlignment="1">
      <alignment horizontal="left" vertical="center"/>
    </xf>
    <xf numFmtId="166" fontId="10" fillId="3" borderId="7" xfId="0" applyNumberFormat="1" applyFont="1" applyFill="1" applyBorder="1" applyAlignment="1">
      <alignment horizontal="left" vertical="center"/>
    </xf>
    <xf numFmtId="166" fontId="10" fillId="3" borderId="0" xfId="0" applyNumberFormat="1" applyFont="1" applyFill="1" applyBorder="1" applyAlignment="1">
      <alignment horizontal="left" vertical="center"/>
    </xf>
    <xf numFmtId="164" fontId="10" fillId="2" borderId="0" xfId="0" applyNumberFormat="1" applyFont="1" applyFill="1" applyBorder="1" applyAlignment="1">
      <alignment horizontal="left" vertical="center"/>
    </xf>
    <xf numFmtId="0" fontId="10" fillId="3" borderId="2" xfId="0" applyFont="1" applyFill="1" applyBorder="1" applyAlignment="1">
      <alignment horizontal="left" vertical="center"/>
    </xf>
    <xf numFmtId="0" fontId="10" fillId="3" borderId="0" xfId="0" applyFont="1" applyFill="1" applyBorder="1" applyAlignment="1">
      <alignment horizontal="left" vertical="center"/>
    </xf>
    <xf numFmtId="165" fontId="11" fillId="3" borderId="37" xfId="0" applyNumberFormat="1" applyFont="1" applyFill="1" applyBorder="1" applyAlignment="1">
      <alignment horizontal="left" vertical="center"/>
    </xf>
    <xf numFmtId="165" fontId="11" fillId="3" borderId="38" xfId="0" applyNumberFormat="1" applyFont="1" applyFill="1" applyBorder="1" applyAlignment="1">
      <alignment horizontal="left" vertical="center"/>
    </xf>
    <xf numFmtId="49" fontId="10" fillId="0" borderId="21" xfId="0" applyNumberFormat="1" applyFont="1" applyFill="1" applyBorder="1" applyAlignment="1">
      <alignment horizontal="left" vertical="center"/>
    </xf>
    <xf numFmtId="49" fontId="10" fillId="0" borderId="74" xfId="0" applyNumberFormat="1" applyFont="1" applyFill="1" applyBorder="1" applyAlignment="1">
      <alignment horizontal="left" vertical="center"/>
    </xf>
    <xf numFmtId="49" fontId="10" fillId="0" borderId="22" xfId="0" applyNumberFormat="1" applyFont="1" applyFill="1" applyBorder="1" applyAlignment="1">
      <alignment horizontal="left" vertical="center"/>
    </xf>
    <xf numFmtId="49" fontId="10" fillId="0" borderId="23" xfId="0" applyNumberFormat="1" applyFont="1" applyFill="1" applyBorder="1" applyAlignment="1">
      <alignment horizontal="left" vertical="center"/>
    </xf>
    <xf numFmtId="49" fontId="10" fillId="0" borderId="42" xfId="0" applyNumberFormat="1" applyFont="1" applyFill="1" applyBorder="1" applyAlignment="1">
      <alignment horizontal="left" vertical="center"/>
    </xf>
    <xf numFmtId="49" fontId="10" fillId="0" borderId="24" xfId="0" applyNumberFormat="1" applyFont="1" applyFill="1" applyBorder="1" applyAlignment="1">
      <alignment horizontal="left" vertical="center"/>
    </xf>
    <xf numFmtId="165" fontId="13" fillId="0" borderId="4" xfId="0" applyNumberFormat="1" applyFont="1" applyFill="1" applyBorder="1" applyAlignment="1">
      <alignment horizontal="left" vertical="center"/>
    </xf>
    <xf numFmtId="0" fontId="15" fillId="0" borderId="4" xfId="0" applyFont="1" applyFill="1" applyBorder="1" applyAlignment="1">
      <alignment horizontal="left" vertical="center"/>
    </xf>
    <xf numFmtId="164" fontId="15" fillId="0" borderId="4" xfId="0" applyNumberFormat="1" applyFont="1" applyFill="1" applyBorder="1" applyAlignment="1">
      <alignment horizontal="left" vertical="center"/>
    </xf>
    <xf numFmtId="164" fontId="12" fillId="0" borderId="4" xfId="0" applyNumberFormat="1" applyFont="1" applyFill="1" applyBorder="1" applyAlignment="1">
      <alignment horizontal="left" vertical="center"/>
    </xf>
    <xf numFmtId="166" fontId="12" fillId="0" borderId="4" xfId="0" applyNumberFormat="1" applyFont="1" applyFill="1" applyBorder="1" applyAlignment="1">
      <alignment horizontal="left" vertical="center"/>
    </xf>
    <xf numFmtId="4" fontId="7" fillId="0" borderId="4" xfId="0" applyNumberFormat="1" applyFont="1" applyFill="1" applyBorder="1" applyAlignment="1">
      <alignment horizontal="left" vertical="center"/>
    </xf>
    <xf numFmtId="0" fontId="7" fillId="0" borderId="4" xfId="0" applyFont="1" applyFill="1" applyBorder="1" applyAlignment="1">
      <alignment horizontal="left" vertical="center"/>
    </xf>
    <xf numFmtId="0" fontId="12" fillId="0" borderId="4" xfId="0" applyFont="1" applyFill="1" applyBorder="1" applyAlignment="1">
      <alignment horizontal="left" vertical="center"/>
    </xf>
    <xf numFmtId="164" fontId="10" fillId="3" borderId="29" xfId="0" applyNumberFormat="1" applyFont="1" applyFill="1" applyBorder="1" applyAlignment="1">
      <alignment horizontal="left" vertical="center"/>
    </xf>
    <xf numFmtId="164" fontId="10" fillId="3" borderId="30" xfId="0" applyNumberFormat="1" applyFont="1" applyFill="1" applyBorder="1" applyAlignment="1">
      <alignment horizontal="left" vertical="center"/>
    </xf>
    <xf numFmtId="164" fontId="10" fillId="3" borderId="34" xfId="0" applyNumberFormat="1" applyFont="1" applyFill="1" applyBorder="1" applyAlignment="1">
      <alignment horizontal="left" vertical="center"/>
    </xf>
    <xf numFmtId="164" fontId="10" fillId="3" borderId="9" xfId="0" applyNumberFormat="1" applyFont="1" applyFill="1" applyBorder="1" applyAlignment="1">
      <alignment horizontal="left" vertical="center"/>
    </xf>
    <xf numFmtId="168" fontId="11" fillId="3" borderId="39" xfId="0" applyNumberFormat="1" applyFont="1" applyFill="1" applyBorder="1" applyAlignment="1">
      <alignment horizontal="left" vertical="center"/>
    </xf>
    <xf numFmtId="168" fontId="11" fillId="3" borderId="40" xfId="0" applyNumberFormat="1" applyFont="1" applyFill="1" applyBorder="1" applyAlignment="1">
      <alignment horizontal="left" vertical="center"/>
    </xf>
    <xf numFmtId="3" fontId="10" fillId="0" borderId="22" xfId="0" applyNumberFormat="1" applyFont="1" applyFill="1" applyBorder="1" applyAlignment="1">
      <alignment horizontal="left" vertical="center"/>
    </xf>
    <xf numFmtId="4" fontId="12" fillId="0" borderId="4" xfId="0" applyNumberFormat="1" applyFont="1" applyFill="1" applyBorder="1" applyAlignment="1">
      <alignment horizontal="left" vertical="center"/>
    </xf>
    <xf numFmtId="49" fontId="10" fillId="0" borderId="69" xfId="0" applyNumberFormat="1" applyFont="1" applyFill="1" applyBorder="1" applyAlignment="1">
      <alignment horizontal="left" vertical="center"/>
    </xf>
    <xf numFmtId="49" fontId="10" fillId="0" borderId="77" xfId="0" applyNumberFormat="1" applyFont="1" applyFill="1" applyBorder="1" applyAlignment="1">
      <alignment horizontal="left" vertical="center"/>
    </xf>
    <xf numFmtId="49" fontId="10" fillId="0" borderId="70" xfId="0" applyNumberFormat="1" applyFont="1" applyFill="1" applyBorder="1" applyAlignment="1">
      <alignment horizontal="left" vertical="center"/>
    </xf>
    <xf numFmtId="3" fontId="11" fillId="3" borderId="0" xfId="0" applyNumberFormat="1" applyFont="1" applyFill="1" applyBorder="1" applyAlignment="1">
      <alignment horizontal="left" vertical="center"/>
    </xf>
    <xf numFmtId="165" fontId="17" fillId="0" borderId="4" xfId="0" applyNumberFormat="1" applyFont="1" applyFill="1" applyBorder="1" applyAlignment="1">
      <alignment horizontal="left" vertical="center"/>
    </xf>
    <xf numFmtId="165" fontId="14" fillId="0" borderId="4" xfId="0" applyNumberFormat="1" applyFont="1" applyFill="1" applyBorder="1" applyAlignment="1">
      <alignment horizontal="left" vertical="center"/>
    </xf>
    <xf numFmtId="3" fontId="10" fillId="0" borderId="70" xfId="0" applyNumberFormat="1" applyFont="1" applyFill="1" applyBorder="1" applyAlignment="1">
      <alignment vertical="center"/>
    </xf>
    <xf numFmtId="166" fontId="12" fillId="0" borderId="55" xfId="0" applyNumberFormat="1" applyFont="1" applyFill="1" applyBorder="1" applyAlignment="1">
      <alignment vertical="center"/>
    </xf>
    <xf numFmtId="49" fontId="10" fillId="0" borderId="69" xfId="0" applyNumberFormat="1" applyFont="1" applyFill="1" applyBorder="1" applyAlignment="1">
      <alignment vertical="center"/>
    </xf>
    <xf numFmtId="49" fontId="10" fillId="0" borderId="71" xfId="0" applyNumberFormat="1" applyFont="1" applyFill="1" applyBorder="1" applyAlignment="1">
      <alignment vertical="center"/>
    </xf>
    <xf numFmtId="165" fontId="18" fillId="0" borderId="4" xfId="0" applyNumberFormat="1" applyFont="1" applyFill="1" applyBorder="1" applyAlignment="1">
      <alignment horizontal="left" vertical="center"/>
    </xf>
    <xf numFmtId="0" fontId="11" fillId="3" borderId="8" xfId="0" applyNumberFormat="1" applyFont="1" applyFill="1" applyBorder="1" applyAlignment="1">
      <alignment horizontal="center" vertical="center"/>
    </xf>
    <xf numFmtId="0" fontId="11" fillId="3" borderId="16" xfId="0" applyNumberFormat="1" applyFont="1" applyFill="1" applyBorder="1" applyAlignment="1">
      <alignment horizontal="center" vertical="center"/>
    </xf>
    <xf numFmtId="171" fontId="11" fillId="3" borderId="39" xfId="0" applyNumberFormat="1" applyFont="1" applyFill="1" applyBorder="1" applyAlignment="1">
      <alignment vertical="center"/>
    </xf>
    <xf numFmtId="49" fontId="11" fillId="0" borderId="22" xfId="0" applyNumberFormat="1" applyFont="1" applyFill="1" applyBorder="1" applyAlignment="1">
      <alignment horizontal="left" vertical="center"/>
    </xf>
    <xf numFmtId="49" fontId="11" fillId="0" borderId="70" xfId="0" applyNumberFormat="1" applyFont="1" applyFill="1" applyBorder="1" applyAlignment="1">
      <alignment horizontal="left" vertical="center"/>
    </xf>
    <xf numFmtId="49" fontId="11" fillId="0" borderId="24" xfId="0" applyNumberFormat="1" applyFont="1" applyFill="1" applyBorder="1" applyAlignment="1">
      <alignment horizontal="left" vertical="center"/>
    </xf>
    <xf numFmtId="3" fontId="10" fillId="0" borderId="77" xfId="0" applyNumberFormat="1" applyFont="1" applyFill="1" applyBorder="1" applyAlignment="1">
      <alignment vertical="center"/>
    </xf>
    <xf numFmtId="3" fontId="11" fillId="0" borderId="78" xfId="0" applyNumberFormat="1" applyFont="1" applyFill="1" applyBorder="1" applyAlignment="1">
      <alignment vertical="center"/>
    </xf>
    <xf numFmtId="3" fontId="10" fillId="0" borderId="79" xfId="0" applyNumberFormat="1" applyFont="1" applyFill="1" applyBorder="1" applyAlignment="1">
      <alignment vertical="center"/>
    </xf>
    <xf numFmtId="3" fontId="10" fillId="0" borderId="80" xfId="0" applyNumberFormat="1" applyFont="1" applyFill="1" applyBorder="1" applyAlignment="1">
      <alignment vertical="center"/>
    </xf>
    <xf numFmtId="3" fontId="11" fillId="0" borderId="81" xfId="0" applyNumberFormat="1" applyFont="1" applyFill="1" applyBorder="1" applyAlignment="1">
      <alignment vertical="center"/>
    </xf>
    <xf numFmtId="3" fontId="10" fillId="0" borderId="82" xfId="0" applyNumberFormat="1" applyFont="1" applyFill="1" applyBorder="1" applyAlignment="1">
      <alignment vertical="center"/>
    </xf>
    <xf numFmtId="3" fontId="10" fillId="0" borderId="83" xfId="0" applyNumberFormat="1" applyFont="1" applyFill="1" applyBorder="1" applyAlignment="1">
      <alignment vertical="center"/>
    </xf>
    <xf numFmtId="3" fontId="10" fillId="0" borderId="84" xfId="0" applyNumberFormat="1" applyFont="1" applyFill="1" applyBorder="1" applyAlignment="1">
      <alignment vertical="center"/>
    </xf>
    <xf numFmtId="3" fontId="11" fillId="3" borderId="18" xfId="0" applyNumberFormat="1" applyFont="1" applyFill="1" applyBorder="1" applyAlignment="1">
      <alignment vertical="center"/>
    </xf>
    <xf numFmtId="3" fontId="10" fillId="0" borderId="85" xfId="0" applyNumberFormat="1" applyFont="1" applyFill="1" applyBorder="1" applyAlignment="1">
      <alignment vertical="center"/>
    </xf>
    <xf numFmtId="3" fontId="10" fillId="0" borderId="0" xfId="0" applyNumberFormat="1" applyFont="1" applyFill="1" applyBorder="1" applyAlignment="1">
      <alignment vertical="center"/>
    </xf>
    <xf numFmtId="3" fontId="10" fillId="0" borderId="86" xfId="0" applyNumberFormat="1" applyFont="1" applyFill="1" applyBorder="1" applyAlignment="1">
      <alignment vertical="center"/>
    </xf>
    <xf numFmtId="168" fontId="11" fillId="3" borderId="88" xfId="0" applyNumberFormat="1" applyFont="1" applyFill="1" applyBorder="1" applyAlignment="1">
      <alignment horizontal="right" vertical="center"/>
    </xf>
    <xf numFmtId="3" fontId="10" fillId="0" borderId="87" xfId="0" applyNumberFormat="1" applyFont="1" applyFill="1" applyBorder="1" applyAlignment="1">
      <alignment vertical="center"/>
    </xf>
    <xf numFmtId="49" fontId="10" fillId="0" borderId="89" xfId="0" applyNumberFormat="1" applyFont="1" applyFill="1" applyBorder="1" applyAlignment="1">
      <alignment vertical="center"/>
    </xf>
    <xf numFmtId="3" fontId="10" fillId="0" borderId="90" xfId="0" applyNumberFormat="1" applyFont="1" applyFill="1" applyBorder="1" applyAlignment="1">
      <alignment vertical="center"/>
    </xf>
    <xf numFmtId="168" fontId="11" fillId="3" borderId="91" xfId="0" applyNumberFormat="1" applyFont="1" applyFill="1" applyBorder="1" applyAlignment="1">
      <alignment vertical="center"/>
    </xf>
    <xf numFmtId="3" fontId="10" fillId="0" borderId="92" xfId="0" applyNumberFormat="1" applyFont="1" applyFill="1" applyBorder="1" applyAlignment="1">
      <alignment vertical="center"/>
    </xf>
    <xf numFmtId="0" fontId="5" fillId="5" borderId="72" xfId="0" applyFont="1" applyFill="1" applyBorder="1" applyAlignment="1">
      <alignment horizontal="center"/>
    </xf>
    <xf numFmtId="0" fontId="6" fillId="5" borderId="72" xfId="0" applyFont="1" applyFill="1" applyBorder="1" applyAlignment="1">
      <alignment horizontal="center"/>
    </xf>
    <xf numFmtId="164" fontId="10" fillId="3" borderId="32" xfId="0" applyNumberFormat="1" applyFont="1" applyFill="1" applyBorder="1" applyAlignment="1">
      <alignment horizontal="center" vertical="center"/>
    </xf>
    <xf numFmtId="164" fontId="10" fillId="3" borderId="36" xfId="0" applyNumberFormat="1" applyFont="1" applyFill="1" applyBorder="1" applyAlignment="1">
      <alignment horizontal="center" vertical="center"/>
    </xf>
    <xf numFmtId="165" fontId="11" fillId="3" borderId="10" xfId="0" applyNumberFormat="1" applyFont="1" applyFill="1" applyBorder="1" applyAlignment="1">
      <alignment horizontal="left" vertical="center"/>
    </xf>
    <xf numFmtId="165" fontId="11" fillId="3" borderId="11" xfId="0" applyNumberFormat="1" applyFont="1" applyFill="1" applyBorder="1" applyAlignment="1">
      <alignment horizontal="left" vertical="center"/>
    </xf>
    <xf numFmtId="164" fontId="10" fillId="3" borderId="48" xfId="0" applyNumberFormat="1" applyFont="1" applyFill="1" applyBorder="1" applyAlignment="1">
      <alignment horizontal="center" vertical="center"/>
    </xf>
    <xf numFmtId="164" fontId="10" fillId="3" borderId="49" xfId="0" applyNumberFormat="1" applyFont="1" applyFill="1" applyBorder="1" applyAlignment="1">
      <alignment horizontal="center" vertical="center"/>
    </xf>
    <xf numFmtId="166" fontId="9" fillId="3" borderId="50" xfId="0" applyNumberFormat="1" applyFont="1" applyFill="1" applyBorder="1" applyAlignment="1">
      <alignment horizontal="center" vertical="center"/>
    </xf>
    <xf numFmtId="166" fontId="9" fillId="3" borderId="51" xfId="0" applyNumberFormat="1" applyFont="1" applyFill="1" applyBorder="1" applyAlignment="1">
      <alignment horizontal="center" vertical="center"/>
    </xf>
    <xf numFmtId="0" fontId="11" fillId="3" borderId="6" xfId="0" applyNumberFormat="1" applyFont="1" applyFill="1" applyBorder="1" applyAlignment="1">
      <alignment horizontal="center" vertical="center"/>
    </xf>
    <xf numFmtId="0" fontId="11" fillId="3" borderId="8" xfId="0" applyNumberFormat="1" applyFont="1" applyFill="1" applyBorder="1" applyAlignment="1">
      <alignment horizontal="center" vertical="center"/>
    </xf>
    <xf numFmtId="0" fontId="11" fillId="3" borderId="15" xfId="0" applyNumberFormat="1" applyFont="1" applyFill="1" applyBorder="1" applyAlignment="1">
      <alignment horizontal="center" vertical="center"/>
    </xf>
    <xf numFmtId="0" fontId="11" fillId="3" borderId="16" xfId="0" applyNumberFormat="1" applyFont="1" applyFill="1" applyBorder="1" applyAlignment="1">
      <alignment horizontal="center" vertical="center"/>
    </xf>
    <xf numFmtId="165" fontId="11" fillId="3" borderId="73" xfId="0" applyNumberFormat="1" applyFont="1" applyFill="1" applyBorder="1" applyAlignment="1">
      <alignment horizontal="left" vertical="center"/>
    </xf>
    <xf numFmtId="0" fontId="11" fillId="3" borderId="7" xfId="0" applyNumberFormat="1" applyFont="1" applyFill="1" applyBorder="1" applyAlignment="1">
      <alignment horizontal="center" vertical="center"/>
    </xf>
    <xf numFmtId="0" fontId="11" fillId="3" borderId="33" xfId="0" applyNumberFormat="1" applyFont="1" applyFill="1" applyBorder="1" applyAlignment="1">
      <alignment horizontal="center" vertical="center"/>
    </xf>
    <xf numFmtId="0" fontId="11" fillId="3" borderId="6" xfId="0" applyNumberFormat="1" applyFont="1" applyFill="1" applyBorder="1" applyAlignment="1">
      <alignment horizontal="left" vertical="center"/>
    </xf>
    <xf numFmtId="0" fontId="11" fillId="3" borderId="7" xfId="0" applyNumberFormat="1" applyFont="1" applyFill="1" applyBorder="1" applyAlignment="1">
      <alignment horizontal="left" vertical="center"/>
    </xf>
    <xf numFmtId="0" fontId="11" fillId="3" borderId="8" xfId="0" applyNumberFormat="1" applyFont="1" applyFill="1" applyBorder="1" applyAlignment="1">
      <alignment horizontal="left" vertical="center"/>
    </xf>
    <xf numFmtId="0" fontId="11" fillId="3" borderId="15" xfId="0" applyNumberFormat="1" applyFont="1" applyFill="1" applyBorder="1" applyAlignment="1">
      <alignment horizontal="left" vertical="center"/>
    </xf>
    <xf numFmtId="0" fontId="11" fillId="3" borderId="33" xfId="0" applyNumberFormat="1" applyFont="1" applyFill="1" applyBorder="1" applyAlignment="1">
      <alignment horizontal="left" vertical="center"/>
    </xf>
    <xf numFmtId="0" fontId="11" fillId="3" borderId="16" xfId="0" applyNumberFormat="1" applyFont="1" applyFill="1" applyBorder="1" applyAlignment="1">
      <alignment horizontal="left" vertical="center"/>
    </xf>
    <xf numFmtId="0" fontId="3" fillId="3" borderId="57" xfId="0" applyFont="1" applyFill="1" applyBorder="1" applyAlignment="1">
      <alignment horizontal="center" vertical="center"/>
    </xf>
    <xf numFmtId="0" fontId="3" fillId="3" borderId="52" xfId="0" applyFont="1" applyFill="1" applyBorder="1" applyAlignment="1">
      <alignment horizontal="center" vertical="center"/>
    </xf>
  </cellXfs>
  <cellStyles count="3">
    <cellStyle name="Hypertextový odkaz" xfId="2" builtinId="8"/>
    <cellStyle name="Normální" xfId="0" builtinId="0"/>
    <cellStyle name="Procenta" xfId="1" builtinId="5"/>
  </cellStyles>
  <dxfs count="6"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</dxfs>
  <tableStyles count="0" defaultTableStyle="TableStyleMedium9" defaultPivotStyle="PivotStyleLight16"/>
  <colors>
    <mruColors>
      <color rgb="FFB20277"/>
      <color rgb="FFFEA4E0"/>
      <color rgb="FFD9F5FF"/>
      <color rgb="FFF4DD9E"/>
      <color rgb="FFFCF5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Výnosy nejdůležitějšíh účtů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>
        <c:manualLayout>
          <c:layoutTarget val="inner"/>
          <c:xMode val="edge"/>
          <c:yMode val="edge"/>
          <c:x val="2.4593998630806597E-2"/>
          <c:y val="8.444843441816749E-2"/>
          <c:w val="0.96921454058444101"/>
          <c:h val="0.69013372477974588"/>
        </c:manualLayout>
      </c:layout>
      <c:lineChart>
        <c:grouping val="standard"/>
        <c:varyColors val="0"/>
        <c:ser>
          <c:idx val="1"/>
          <c:order val="0"/>
          <c:tx>
            <c:strRef>
              <c:f>'Model výnosů'!$B$10:$C$10</c:f>
              <c:strCache>
                <c:ptCount val="2"/>
                <c:pt idx="0">
                  <c:v>Tržby z prodeje služeb</c:v>
                </c:pt>
                <c:pt idx="1">
                  <c:v>602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'Model výnosů'!$D$8:$AA$8</c:f>
              <c:numCache>
                <c:formatCode>[$-405]mmmm\ yy;@</c:formatCode>
                <c:ptCount val="24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  <c:pt idx="14">
                  <c:v>42430</c:v>
                </c:pt>
                <c:pt idx="15">
                  <c:v>42461</c:v>
                </c:pt>
                <c:pt idx="16">
                  <c:v>42491</c:v>
                </c:pt>
                <c:pt idx="17">
                  <c:v>42522</c:v>
                </c:pt>
                <c:pt idx="18">
                  <c:v>42552</c:v>
                </c:pt>
                <c:pt idx="19">
                  <c:v>42583</c:v>
                </c:pt>
                <c:pt idx="20">
                  <c:v>42614</c:v>
                </c:pt>
                <c:pt idx="21">
                  <c:v>42644</c:v>
                </c:pt>
                <c:pt idx="22">
                  <c:v>42675</c:v>
                </c:pt>
                <c:pt idx="23">
                  <c:v>42705</c:v>
                </c:pt>
              </c:numCache>
            </c:numRef>
          </c:cat>
          <c:val>
            <c:numRef>
              <c:f>'Model výnosů'!$D$10:$AA$10</c:f>
              <c:numCache>
                <c:formatCode>#,##0</c:formatCode>
                <c:ptCount val="24"/>
                <c:pt idx="0">
                  <c:v>10971.59338</c:v>
                </c:pt>
                <c:pt idx="1">
                  <c:v>12190.168369999999</c:v>
                </c:pt>
                <c:pt idx="2">
                  <c:v>10809.828230000001</c:v>
                </c:pt>
                <c:pt idx="3">
                  <c:v>9861.4147899999989</c:v>
                </c:pt>
                <c:pt idx="4">
                  <c:v>10406.14522</c:v>
                </c:pt>
                <c:pt idx="5">
                  <c:v>10825.697789999998</c:v>
                </c:pt>
                <c:pt idx="6">
                  <c:v>10269.749760000001</c:v>
                </c:pt>
                <c:pt idx="7">
                  <c:v>9334.2040199999992</c:v>
                </c:pt>
                <c:pt idx="8">
                  <c:v>10067.953039999999</c:v>
                </c:pt>
                <c:pt idx="9">
                  <c:v>10245.98386</c:v>
                </c:pt>
                <c:pt idx="10">
                  <c:v>10982.264869999999</c:v>
                </c:pt>
                <c:pt idx="11">
                  <c:v>13554.1021</c:v>
                </c:pt>
                <c:pt idx="12">
                  <c:v>12176.45182</c:v>
                </c:pt>
                <c:pt idx="13">
                  <c:v>11691.45602</c:v>
                </c:pt>
                <c:pt idx="14">
                  <c:v>11017.495779999999</c:v>
                </c:pt>
                <c:pt idx="15">
                  <c:v>11334.81127</c:v>
                </c:pt>
                <c:pt idx="16">
                  <c:v>11474.586230000001</c:v>
                </c:pt>
                <c:pt idx="17">
                  <c:v>11281.733850000001</c:v>
                </c:pt>
                <c:pt idx="18">
                  <c:v>11545.346119999998</c:v>
                </c:pt>
                <c:pt idx="19">
                  <c:v>11237.745580000001</c:v>
                </c:pt>
                <c:pt idx="20">
                  <c:v>12342.731179999999</c:v>
                </c:pt>
                <c:pt idx="21">
                  <c:v>11941.10701</c:v>
                </c:pt>
                <c:pt idx="22">
                  <c:v>15040.916289999999</c:v>
                </c:pt>
                <c:pt idx="23">
                  <c:v>15779.86715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A3A-462A-B577-D323344000B2}"/>
            </c:ext>
          </c:extLst>
        </c:ser>
        <c:ser>
          <c:idx val="2"/>
          <c:order val="2"/>
          <c:tx>
            <c:strRef>
              <c:f>'Model výnosů'!$B$11:$C$11</c:f>
              <c:strCache>
                <c:ptCount val="2"/>
                <c:pt idx="0">
                  <c:v>Tržby za zboží</c:v>
                </c:pt>
                <c:pt idx="1">
                  <c:v>604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'Model výnosů'!$D$8:$AA$8</c:f>
              <c:numCache>
                <c:formatCode>[$-405]mmmm\ yy;@</c:formatCode>
                <c:ptCount val="24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  <c:pt idx="14">
                  <c:v>42430</c:v>
                </c:pt>
                <c:pt idx="15">
                  <c:v>42461</c:v>
                </c:pt>
                <c:pt idx="16">
                  <c:v>42491</c:v>
                </c:pt>
                <c:pt idx="17">
                  <c:v>42522</c:v>
                </c:pt>
                <c:pt idx="18">
                  <c:v>42552</c:v>
                </c:pt>
                <c:pt idx="19">
                  <c:v>42583</c:v>
                </c:pt>
                <c:pt idx="20">
                  <c:v>42614</c:v>
                </c:pt>
                <c:pt idx="21">
                  <c:v>42644</c:v>
                </c:pt>
                <c:pt idx="22">
                  <c:v>42675</c:v>
                </c:pt>
                <c:pt idx="23">
                  <c:v>42705</c:v>
                </c:pt>
              </c:numCache>
            </c:numRef>
          </c:cat>
          <c:val>
            <c:numRef>
              <c:f>'Model výnosů'!$D$11:$AA$11</c:f>
              <c:numCache>
                <c:formatCode>#,##0</c:formatCode>
                <c:ptCount val="24"/>
                <c:pt idx="0">
                  <c:v>708.18127000000004</c:v>
                </c:pt>
                <c:pt idx="1">
                  <c:v>763.25078000000008</c:v>
                </c:pt>
                <c:pt idx="2">
                  <c:v>747.23693000000003</c:v>
                </c:pt>
                <c:pt idx="3">
                  <c:v>642.28336999999999</c:v>
                </c:pt>
                <c:pt idx="4">
                  <c:v>900.18232</c:v>
                </c:pt>
                <c:pt idx="5">
                  <c:v>123.65600000000001</c:v>
                </c:pt>
                <c:pt idx="6">
                  <c:v>340.24200000000002</c:v>
                </c:pt>
                <c:pt idx="7">
                  <c:v>302.23219</c:v>
                </c:pt>
                <c:pt idx="8">
                  <c:v>316.59926000000002</c:v>
                </c:pt>
                <c:pt idx="9">
                  <c:v>378.99196000000001</c:v>
                </c:pt>
                <c:pt idx="10">
                  <c:v>2551.9782500000001</c:v>
                </c:pt>
                <c:pt idx="11">
                  <c:v>834.49444999999992</c:v>
                </c:pt>
                <c:pt idx="12">
                  <c:v>138.95232000000001</c:v>
                </c:pt>
                <c:pt idx="13">
                  <c:v>230.22289999999998</c:v>
                </c:pt>
                <c:pt idx="14">
                  <c:v>561.02606000000003</c:v>
                </c:pt>
                <c:pt idx="15">
                  <c:v>247.63200000000001</c:v>
                </c:pt>
                <c:pt idx="16">
                  <c:v>262.00564000000003</c:v>
                </c:pt>
                <c:pt idx="17">
                  <c:v>1006.1477199999999</c:v>
                </c:pt>
                <c:pt idx="18">
                  <c:v>580.73649999999998</c:v>
                </c:pt>
                <c:pt idx="19">
                  <c:v>645.84749999999997</c:v>
                </c:pt>
                <c:pt idx="20">
                  <c:v>378.37099000000001</c:v>
                </c:pt>
                <c:pt idx="21">
                  <c:v>228.78899999999999</c:v>
                </c:pt>
                <c:pt idx="22">
                  <c:v>469.8759</c:v>
                </c:pt>
                <c:pt idx="23">
                  <c:v>748.6730500000001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A3A-462A-B577-D323344000B2}"/>
            </c:ext>
          </c:extLst>
        </c:ser>
        <c:ser>
          <c:idx val="7"/>
          <c:order val="7"/>
          <c:tx>
            <c:strRef>
              <c:f>'Model výnosů'!$B$16:$C$16</c:f>
              <c:strCache>
                <c:ptCount val="2"/>
                <c:pt idx="0">
                  <c:v>Ostatní provozní výnosy</c:v>
                </c:pt>
                <c:pt idx="1">
                  <c:v>648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'Model výnosů'!$D$8:$AA$8</c:f>
              <c:numCache>
                <c:formatCode>[$-405]mmmm\ yy;@</c:formatCode>
                <c:ptCount val="24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  <c:pt idx="14">
                  <c:v>42430</c:v>
                </c:pt>
                <c:pt idx="15">
                  <c:v>42461</c:v>
                </c:pt>
                <c:pt idx="16">
                  <c:v>42491</c:v>
                </c:pt>
                <c:pt idx="17">
                  <c:v>42522</c:v>
                </c:pt>
                <c:pt idx="18">
                  <c:v>42552</c:v>
                </c:pt>
                <c:pt idx="19">
                  <c:v>42583</c:v>
                </c:pt>
                <c:pt idx="20">
                  <c:v>42614</c:v>
                </c:pt>
                <c:pt idx="21">
                  <c:v>42644</c:v>
                </c:pt>
                <c:pt idx="22">
                  <c:v>42675</c:v>
                </c:pt>
                <c:pt idx="23">
                  <c:v>42705</c:v>
                </c:pt>
              </c:numCache>
              <c:extLst xmlns:c15="http://schemas.microsoft.com/office/drawing/2012/chart"/>
            </c:numRef>
          </c:cat>
          <c:val>
            <c:numRef>
              <c:f>'Model výnosů'!$D$16:$AA$16</c:f>
              <c:numCache>
                <c:formatCode>#,##0</c:formatCode>
                <c:ptCount val="24"/>
                <c:pt idx="0">
                  <c:v>81.804640000000006</c:v>
                </c:pt>
                <c:pt idx="1">
                  <c:v>264.48590999999999</c:v>
                </c:pt>
                <c:pt idx="2">
                  <c:v>201.17025000000001</c:v>
                </c:pt>
                <c:pt idx="3">
                  <c:v>229.72810000000001</c:v>
                </c:pt>
                <c:pt idx="4">
                  <c:v>79.467380000000006</c:v>
                </c:pt>
                <c:pt idx="5">
                  <c:v>59.983150000000002</c:v>
                </c:pt>
                <c:pt idx="6">
                  <c:v>102.45948</c:v>
                </c:pt>
                <c:pt idx="7">
                  <c:v>53.415999999999997</c:v>
                </c:pt>
                <c:pt idx="8">
                  <c:v>74.671379999999999</c:v>
                </c:pt>
                <c:pt idx="9">
                  <c:v>45.231919999999995</c:v>
                </c:pt>
                <c:pt idx="10">
                  <c:v>98.05561999999999</c:v>
                </c:pt>
                <c:pt idx="11">
                  <c:v>78.85999000000001</c:v>
                </c:pt>
                <c:pt idx="12">
                  <c:v>67.168759999999992</c:v>
                </c:pt>
                <c:pt idx="13">
                  <c:v>67.593580000000003</c:v>
                </c:pt>
                <c:pt idx="14">
                  <c:v>61.83222</c:v>
                </c:pt>
                <c:pt idx="15">
                  <c:v>81.790679999999995</c:v>
                </c:pt>
                <c:pt idx="16">
                  <c:v>28.97241</c:v>
                </c:pt>
                <c:pt idx="17">
                  <c:v>442.38346999999999</c:v>
                </c:pt>
                <c:pt idx="18">
                  <c:v>43.776449999999997</c:v>
                </c:pt>
                <c:pt idx="19">
                  <c:v>41.538820000000001</c:v>
                </c:pt>
                <c:pt idx="20">
                  <c:v>59.105719999999998</c:v>
                </c:pt>
                <c:pt idx="21">
                  <c:v>85.36739</c:v>
                </c:pt>
                <c:pt idx="22">
                  <c:v>43.108489999999996</c:v>
                </c:pt>
                <c:pt idx="23">
                  <c:v>306.98892000000001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1A3A-462A-B577-D323344000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4868272"/>
        <c:axId val="634871224"/>
        <c:extLst>
          <c:ext xmlns:c15="http://schemas.microsoft.com/office/drawing/2012/chart" uri="{02D57815-91ED-43cb-92C2-25804820EDAC}">
            <c15:filteredLineSeries>
              <c15:ser>
                <c:idx val="0"/>
                <c:order val="1"/>
                <c:tx>
                  <c:strRef>
                    <c:extLst>
                      <c:ext uri="{02D57815-91ED-43cb-92C2-25804820EDAC}">
                        <c15:formulaRef>
                          <c15:sqref>'Model výnosů'!$B$9:$C$9</c15:sqref>
                        </c15:formulaRef>
                      </c:ext>
                    </c:extLst>
                    <c:strCache>
                      <c:ptCount val="2"/>
                      <c:pt idx="0">
                        <c:v>Tržby za vlastní výrobky</c:v>
                      </c:pt>
                      <c:pt idx="1">
                        <c:v>601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'Model výnosů'!$D$8:$AA$8</c15:sqref>
                        </c15:formulaRef>
                      </c:ext>
                    </c:extLst>
                    <c:numCache>
                      <c:formatCode>[$-405]mmmm\ yy;@</c:formatCode>
                      <c:ptCount val="24"/>
                      <c:pt idx="0">
                        <c:v>42005</c:v>
                      </c:pt>
                      <c:pt idx="1">
                        <c:v>42036</c:v>
                      </c:pt>
                      <c:pt idx="2">
                        <c:v>42064</c:v>
                      </c:pt>
                      <c:pt idx="3">
                        <c:v>42095</c:v>
                      </c:pt>
                      <c:pt idx="4">
                        <c:v>42125</c:v>
                      </c:pt>
                      <c:pt idx="5">
                        <c:v>42156</c:v>
                      </c:pt>
                      <c:pt idx="6">
                        <c:v>42186</c:v>
                      </c:pt>
                      <c:pt idx="7">
                        <c:v>42217</c:v>
                      </c:pt>
                      <c:pt idx="8">
                        <c:v>42248</c:v>
                      </c:pt>
                      <c:pt idx="9">
                        <c:v>42278</c:v>
                      </c:pt>
                      <c:pt idx="10">
                        <c:v>42309</c:v>
                      </c:pt>
                      <c:pt idx="11">
                        <c:v>42339</c:v>
                      </c:pt>
                      <c:pt idx="12">
                        <c:v>42370</c:v>
                      </c:pt>
                      <c:pt idx="13">
                        <c:v>42401</c:v>
                      </c:pt>
                      <c:pt idx="14">
                        <c:v>42430</c:v>
                      </c:pt>
                      <c:pt idx="15">
                        <c:v>42461</c:v>
                      </c:pt>
                      <c:pt idx="16">
                        <c:v>42491</c:v>
                      </c:pt>
                      <c:pt idx="17">
                        <c:v>42522</c:v>
                      </c:pt>
                      <c:pt idx="18">
                        <c:v>42552</c:v>
                      </c:pt>
                      <c:pt idx="19">
                        <c:v>42583</c:v>
                      </c:pt>
                      <c:pt idx="20">
                        <c:v>42614</c:v>
                      </c:pt>
                      <c:pt idx="21">
                        <c:v>42644</c:v>
                      </c:pt>
                      <c:pt idx="22">
                        <c:v>42675</c:v>
                      </c:pt>
                      <c:pt idx="23">
                        <c:v>42705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'Model výnosů'!$D$9:$AA$9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1A3A-462A-B577-D323344000B2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výnosů'!$B$12:$C$12</c15:sqref>
                        </c15:formulaRef>
                      </c:ext>
                    </c:extLst>
                    <c:strCache>
                      <c:ptCount val="2"/>
                      <c:pt idx="0">
                        <c:v>Tržby z prodeje dlouhodobého majetku</c:v>
                      </c:pt>
                      <c:pt idx="1">
                        <c:v>641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výnosů'!$D$8:$AA$8</c15:sqref>
                        </c15:formulaRef>
                      </c:ext>
                    </c:extLst>
                    <c:numCache>
                      <c:formatCode>[$-405]mmmm\ yy;@</c:formatCode>
                      <c:ptCount val="24"/>
                      <c:pt idx="0">
                        <c:v>42005</c:v>
                      </c:pt>
                      <c:pt idx="1">
                        <c:v>42036</c:v>
                      </c:pt>
                      <c:pt idx="2">
                        <c:v>42064</c:v>
                      </c:pt>
                      <c:pt idx="3">
                        <c:v>42095</c:v>
                      </c:pt>
                      <c:pt idx="4">
                        <c:v>42125</c:v>
                      </c:pt>
                      <c:pt idx="5">
                        <c:v>42156</c:v>
                      </c:pt>
                      <c:pt idx="6">
                        <c:v>42186</c:v>
                      </c:pt>
                      <c:pt idx="7">
                        <c:v>42217</c:v>
                      </c:pt>
                      <c:pt idx="8">
                        <c:v>42248</c:v>
                      </c:pt>
                      <c:pt idx="9">
                        <c:v>42278</c:v>
                      </c:pt>
                      <c:pt idx="10">
                        <c:v>42309</c:v>
                      </c:pt>
                      <c:pt idx="11">
                        <c:v>42339</c:v>
                      </c:pt>
                      <c:pt idx="12">
                        <c:v>42370</c:v>
                      </c:pt>
                      <c:pt idx="13">
                        <c:v>42401</c:v>
                      </c:pt>
                      <c:pt idx="14">
                        <c:v>42430</c:v>
                      </c:pt>
                      <c:pt idx="15">
                        <c:v>42461</c:v>
                      </c:pt>
                      <c:pt idx="16">
                        <c:v>42491</c:v>
                      </c:pt>
                      <c:pt idx="17">
                        <c:v>42522</c:v>
                      </c:pt>
                      <c:pt idx="18">
                        <c:v>42552</c:v>
                      </c:pt>
                      <c:pt idx="19">
                        <c:v>42583</c:v>
                      </c:pt>
                      <c:pt idx="20">
                        <c:v>42614</c:v>
                      </c:pt>
                      <c:pt idx="21">
                        <c:v>42644</c:v>
                      </c:pt>
                      <c:pt idx="22">
                        <c:v>42675</c:v>
                      </c:pt>
                      <c:pt idx="23">
                        <c:v>42705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výnosů'!$D$12:$AA$12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1074.32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200.14479999999998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3.5539999999999998</c:v>
                      </c:pt>
                      <c:pt idx="12">
                        <c:v>32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95.867999999999995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41.322000000000003</c:v>
                      </c:pt>
                      <c:pt idx="21">
                        <c:v>0</c:v>
                      </c:pt>
                      <c:pt idx="22">
                        <c:v>42.975000000000001</c:v>
                      </c:pt>
                      <c:pt idx="23">
                        <c:v>661.12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1A3A-462A-B577-D323344000B2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výnosů'!$B$13:$C$13</c15:sqref>
                        </c15:formulaRef>
                      </c:ext>
                    </c:extLst>
                    <c:strCache>
                      <c:ptCount val="2"/>
                      <c:pt idx="0">
                        <c:v>Tržby z prodeje materiálu</c:v>
                      </c:pt>
                      <c:pt idx="1">
                        <c:v>642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výnosů'!$D$8:$AA$8</c15:sqref>
                        </c15:formulaRef>
                      </c:ext>
                    </c:extLst>
                    <c:numCache>
                      <c:formatCode>[$-405]mmmm\ yy;@</c:formatCode>
                      <c:ptCount val="24"/>
                      <c:pt idx="0">
                        <c:v>42005</c:v>
                      </c:pt>
                      <c:pt idx="1">
                        <c:v>42036</c:v>
                      </c:pt>
                      <c:pt idx="2">
                        <c:v>42064</c:v>
                      </c:pt>
                      <c:pt idx="3">
                        <c:v>42095</c:v>
                      </c:pt>
                      <c:pt idx="4">
                        <c:v>42125</c:v>
                      </c:pt>
                      <c:pt idx="5">
                        <c:v>42156</c:v>
                      </c:pt>
                      <c:pt idx="6">
                        <c:v>42186</c:v>
                      </c:pt>
                      <c:pt idx="7">
                        <c:v>42217</c:v>
                      </c:pt>
                      <c:pt idx="8">
                        <c:v>42248</c:v>
                      </c:pt>
                      <c:pt idx="9">
                        <c:v>42278</c:v>
                      </c:pt>
                      <c:pt idx="10">
                        <c:v>42309</c:v>
                      </c:pt>
                      <c:pt idx="11">
                        <c:v>42339</c:v>
                      </c:pt>
                      <c:pt idx="12">
                        <c:v>42370</c:v>
                      </c:pt>
                      <c:pt idx="13">
                        <c:v>42401</c:v>
                      </c:pt>
                      <c:pt idx="14">
                        <c:v>42430</c:v>
                      </c:pt>
                      <c:pt idx="15">
                        <c:v>42461</c:v>
                      </c:pt>
                      <c:pt idx="16">
                        <c:v>42491</c:v>
                      </c:pt>
                      <c:pt idx="17">
                        <c:v>42522</c:v>
                      </c:pt>
                      <c:pt idx="18">
                        <c:v>42552</c:v>
                      </c:pt>
                      <c:pt idx="19">
                        <c:v>42583</c:v>
                      </c:pt>
                      <c:pt idx="20">
                        <c:v>42614</c:v>
                      </c:pt>
                      <c:pt idx="21">
                        <c:v>42644</c:v>
                      </c:pt>
                      <c:pt idx="22">
                        <c:v>42675</c:v>
                      </c:pt>
                      <c:pt idx="23">
                        <c:v>42705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výnosů'!$D$13:$AA$13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52.601999999999997</c:v>
                      </c:pt>
                      <c:pt idx="23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1A3A-462A-B577-D323344000B2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výnosů'!$B$14:$C$14</c15:sqref>
                        </c15:formulaRef>
                      </c:ext>
                    </c:extLst>
                    <c:strCache>
                      <c:ptCount val="2"/>
                      <c:pt idx="0">
                        <c:v>Smluvní pokuty a úroky z prodlení</c:v>
                      </c:pt>
                      <c:pt idx="1">
                        <c:v>644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výnosů'!$D$8:$AA$8</c15:sqref>
                        </c15:formulaRef>
                      </c:ext>
                    </c:extLst>
                    <c:numCache>
                      <c:formatCode>[$-405]mmmm\ yy;@</c:formatCode>
                      <c:ptCount val="24"/>
                      <c:pt idx="0">
                        <c:v>42005</c:v>
                      </c:pt>
                      <c:pt idx="1">
                        <c:v>42036</c:v>
                      </c:pt>
                      <c:pt idx="2">
                        <c:v>42064</c:v>
                      </c:pt>
                      <c:pt idx="3">
                        <c:v>42095</c:v>
                      </c:pt>
                      <c:pt idx="4">
                        <c:v>42125</c:v>
                      </c:pt>
                      <c:pt idx="5">
                        <c:v>42156</c:v>
                      </c:pt>
                      <c:pt idx="6">
                        <c:v>42186</c:v>
                      </c:pt>
                      <c:pt idx="7">
                        <c:v>42217</c:v>
                      </c:pt>
                      <c:pt idx="8">
                        <c:v>42248</c:v>
                      </c:pt>
                      <c:pt idx="9">
                        <c:v>42278</c:v>
                      </c:pt>
                      <c:pt idx="10">
                        <c:v>42309</c:v>
                      </c:pt>
                      <c:pt idx="11">
                        <c:v>42339</c:v>
                      </c:pt>
                      <c:pt idx="12">
                        <c:v>42370</c:v>
                      </c:pt>
                      <c:pt idx="13">
                        <c:v>42401</c:v>
                      </c:pt>
                      <c:pt idx="14">
                        <c:v>42430</c:v>
                      </c:pt>
                      <c:pt idx="15">
                        <c:v>42461</c:v>
                      </c:pt>
                      <c:pt idx="16">
                        <c:v>42491</c:v>
                      </c:pt>
                      <c:pt idx="17">
                        <c:v>42522</c:v>
                      </c:pt>
                      <c:pt idx="18">
                        <c:v>42552</c:v>
                      </c:pt>
                      <c:pt idx="19">
                        <c:v>42583</c:v>
                      </c:pt>
                      <c:pt idx="20">
                        <c:v>42614</c:v>
                      </c:pt>
                      <c:pt idx="21">
                        <c:v>42644</c:v>
                      </c:pt>
                      <c:pt idx="22">
                        <c:v>42675</c:v>
                      </c:pt>
                      <c:pt idx="23">
                        <c:v>42705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výnosů'!$D$14:$AA$14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8.6389999999999993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1.27</c:v>
                      </c:pt>
                      <c:pt idx="22">
                        <c:v>0</c:v>
                      </c:pt>
                      <c:pt idx="23">
                        <c:v>6.9854599999999998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1A3A-462A-B577-D323344000B2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výnosů'!$B$15:$C$15</c15:sqref>
                        </c15:formulaRef>
                      </c:ext>
                    </c:extLst>
                    <c:strCache>
                      <c:ptCount val="2"/>
                      <c:pt idx="0">
                        <c:v>Výnosy z odepsaných pohledávek</c:v>
                      </c:pt>
                      <c:pt idx="1">
                        <c:v>646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výnosů'!$D$8:$AA$8</c15:sqref>
                        </c15:formulaRef>
                      </c:ext>
                    </c:extLst>
                    <c:numCache>
                      <c:formatCode>[$-405]mmmm\ yy;@</c:formatCode>
                      <c:ptCount val="24"/>
                      <c:pt idx="0">
                        <c:v>42005</c:v>
                      </c:pt>
                      <c:pt idx="1">
                        <c:v>42036</c:v>
                      </c:pt>
                      <c:pt idx="2">
                        <c:v>42064</c:v>
                      </c:pt>
                      <c:pt idx="3">
                        <c:v>42095</c:v>
                      </c:pt>
                      <c:pt idx="4">
                        <c:v>42125</c:v>
                      </c:pt>
                      <c:pt idx="5">
                        <c:v>42156</c:v>
                      </c:pt>
                      <c:pt idx="6">
                        <c:v>42186</c:v>
                      </c:pt>
                      <c:pt idx="7">
                        <c:v>42217</c:v>
                      </c:pt>
                      <c:pt idx="8">
                        <c:v>42248</c:v>
                      </c:pt>
                      <c:pt idx="9">
                        <c:v>42278</c:v>
                      </c:pt>
                      <c:pt idx="10">
                        <c:v>42309</c:v>
                      </c:pt>
                      <c:pt idx="11">
                        <c:v>42339</c:v>
                      </c:pt>
                      <c:pt idx="12">
                        <c:v>42370</c:v>
                      </c:pt>
                      <c:pt idx="13">
                        <c:v>42401</c:v>
                      </c:pt>
                      <c:pt idx="14">
                        <c:v>42430</c:v>
                      </c:pt>
                      <c:pt idx="15">
                        <c:v>42461</c:v>
                      </c:pt>
                      <c:pt idx="16">
                        <c:v>42491</c:v>
                      </c:pt>
                      <c:pt idx="17">
                        <c:v>42522</c:v>
                      </c:pt>
                      <c:pt idx="18">
                        <c:v>42552</c:v>
                      </c:pt>
                      <c:pt idx="19">
                        <c:v>42583</c:v>
                      </c:pt>
                      <c:pt idx="20">
                        <c:v>42614</c:v>
                      </c:pt>
                      <c:pt idx="21">
                        <c:v>42644</c:v>
                      </c:pt>
                      <c:pt idx="22">
                        <c:v>42675</c:v>
                      </c:pt>
                      <c:pt idx="23">
                        <c:v>42705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výnosů'!$D$15:$AA$15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1A3A-462A-B577-D323344000B2}"/>
                  </c:ext>
                </c:extLst>
              </c15:ser>
            </c15:filteredLineSeries>
            <c15:filteredLine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výnosů'!$B$17:$C$17</c15:sqref>
                        </c15:formulaRef>
                      </c:ext>
                    </c:extLst>
                    <c:strCache>
                      <c:ptCount val="2"/>
                      <c:pt idx="0">
                        <c:v>Tržby z prodeje cenných papírů a podílů</c:v>
                      </c:pt>
                      <c:pt idx="1">
                        <c:v>661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výnosů'!$D$8:$AA$8</c15:sqref>
                        </c15:formulaRef>
                      </c:ext>
                    </c:extLst>
                    <c:numCache>
                      <c:formatCode>[$-405]mmmm\ yy;@</c:formatCode>
                      <c:ptCount val="24"/>
                      <c:pt idx="0">
                        <c:v>42005</c:v>
                      </c:pt>
                      <c:pt idx="1">
                        <c:v>42036</c:v>
                      </c:pt>
                      <c:pt idx="2">
                        <c:v>42064</c:v>
                      </c:pt>
                      <c:pt idx="3">
                        <c:v>42095</c:v>
                      </c:pt>
                      <c:pt idx="4">
                        <c:v>42125</c:v>
                      </c:pt>
                      <c:pt idx="5">
                        <c:v>42156</c:v>
                      </c:pt>
                      <c:pt idx="6">
                        <c:v>42186</c:v>
                      </c:pt>
                      <c:pt idx="7">
                        <c:v>42217</c:v>
                      </c:pt>
                      <c:pt idx="8">
                        <c:v>42248</c:v>
                      </c:pt>
                      <c:pt idx="9">
                        <c:v>42278</c:v>
                      </c:pt>
                      <c:pt idx="10">
                        <c:v>42309</c:v>
                      </c:pt>
                      <c:pt idx="11">
                        <c:v>42339</c:v>
                      </c:pt>
                      <c:pt idx="12">
                        <c:v>42370</c:v>
                      </c:pt>
                      <c:pt idx="13">
                        <c:v>42401</c:v>
                      </c:pt>
                      <c:pt idx="14">
                        <c:v>42430</c:v>
                      </c:pt>
                      <c:pt idx="15">
                        <c:v>42461</c:v>
                      </c:pt>
                      <c:pt idx="16">
                        <c:v>42491</c:v>
                      </c:pt>
                      <c:pt idx="17">
                        <c:v>42522</c:v>
                      </c:pt>
                      <c:pt idx="18">
                        <c:v>42552</c:v>
                      </c:pt>
                      <c:pt idx="19">
                        <c:v>42583</c:v>
                      </c:pt>
                      <c:pt idx="20">
                        <c:v>42614</c:v>
                      </c:pt>
                      <c:pt idx="21">
                        <c:v>42644</c:v>
                      </c:pt>
                      <c:pt idx="22">
                        <c:v>42675</c:v>
                      </c:pt>
                      <c:pt idx="23">
                        <c:v>42705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výnosů'!$D$17:$AA$17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1A3A-462A-B577-D323344000B2}"/>
                  </c:ext>
                </c:extLst>
              </c15:ser>
            </c15:filteredLineSeries>
            <c15:filteredLine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výnosů'!$B$18:$C$18</c15:sqref>
                        </c15:formulaRef>
                      </c:ext>
                    </c:extLst>
                    <c:strCache>
                      <c:ptCount val="2"/>
                      <c:pt idx="0">
                        <c:v>Úroky</c:v>
                      </c:pt>
                      <c:pt idx="1">
                        <c:v>662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výnosů'!$D$8:$AA$8</c15:sqref>
                        </c15:formulaRef>
                      </c:ext>
                    </c:extLst>
                    <c:numCache>
                      <c:formatCode>[$-405]mmmm\ yy;@</c:formatCode>
                      <c:ptCount val="24"/>
                      <c:pt idx="0">
                        <c:v>42005</c:v>
                      </c:pt>
                      <c:pt idx="1">
                        <c:v>42036</c:v>
                      </c:pt>
                      <c:pt idx="2">
                        <c:v>42064</c:v>
                      </c:pt>
                      <c:pt idx="3">
                        <c:v>42095</c:v>
                      </c:pt>
                      <c:pt idx="4">
                        <c:v>42125</c:v>
                      </c:pt>
                      <c:pt idx="5">
                        <c:v>42156</c:v>
                      </c:pt>
                      <c:pt idx="6">
                        <c:v>42186</c:v>
                      </c:pt>
                      <c:pt idx="7">
                        <c:v>42217</c:v>
                      </c:pt>
                      <c:pt idx="8">
                        <c:v>42248</c:v>
                      </c:pt>
                      <c:pt idx="9">
                        <c:v>42278</c:v>
                      </c:pt>
                      <c:pt idx="10">
                        <c:v>42309</c:v>
                      </c:pt>
                      <c:pt idx="11">
                        <c:v>42339</c:v>
                      </c:pt>
                      <c:pt idx="12">
                        <c:v>42370</c:v>
                      </c:pt>
                      <c:pt idx="13">
                        <c:v>42401</c:v>
                      </c:pt>
                      <c:pt idx="14">
                        <c:v>42430</c:v>
                      </c:pt>
                      <c:pt idx="15">
                        <c:v>42461</c:v>
                      </c:pt>
                      <c:pt idx="16">
                        <c:v>42491</c:v>
                      </c:pt>
                      <c:pt idx="17">
                        <c:v>42522</c:v>
                      </c:pt>
                      <c:pt idx="18">
                        <c:v>42552</c:v>
                      </c:pt>
                      <c:pt idx="19">
                        <c:v>42583</c:v>
                      </c:pt>
                      <c:pt idx="20">
                        <c:v>42614</c:v>
                      </c:pt>
                      <c:pt idx="21">
                        <c:v>42644</c:v>
                      </c:pt>
                      <c:pt idx="22">
                        <c:v>42675</c:v>
                      </c:pt>
                      <c:pt idx="23">
                        <c:v>42705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výnosů'!$D$18:$AA$18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11.6373</c:v>
                      </c:pt>
                      <c:pt idx="1">
                        <c:v>11.86891</c:v>
                      </c:pt>
                      <c:pt idx="2">
                        <c:v>12.07963</c:v>
                      </c:pt>
                      <c:pt idx="3">
                        <c:v>11.324440000000001</c:v>
                      </c:pt>
                      <c:pt idx="4">
                        <c:v>10.815719999999999</c:v>
                      </c:pt>
                      <c:pt idx="5">
                        <c:v>93.836669999999998</c:v>
                      </c:pt>
                      <c:pt idx="6">
                        <c:v>9.070549999999999</c:v>
                      </c:pt>
                      <c:pt idx="7">
                        <c:v>8.4828500000000009</c:v>
                      </c:pt>
                      <c:pt idx="8">
                        <c:v>8.3544300000000007</c:v>
                      </c:pt>
                      <c:pt idx="9">
                        <c:v>8.15259</c:v>
                      </c:pt>
                      <c:pt idx="10">
                        <c:v>8.0033799999999999</c:v>
                      </c:pt>
                      <c:pt idx="11">
                        <c:v>9.4857300000000002</c:v>
                      </c:pt>
                      <c:pt idx="12">
                        <c:v>73.405710000000013</c:v>
                      </c:pt>
                      <c:pt idx="13">
                        <c:v>10.996649999999999</c:v>
                      </c:pt>
                      <c:pt idx="14">
                        <c:v>10.866879999999998</c:v>
                      </c:pt>
                      <c:pt idx="15">
                        <c:v>9.5736000000000008</c:v>
                      </c:pt>
                      <c:pt idx="16">
                        <c:v>9.5068799999999989</c:v>
                      </c:pt>
                      <c:pt idx="17">
                        <c:v>63.650220000000004</c:v>
                      </c:pt>
                      <c:pt idx="18">
                        <c:v>5.58535</c:v>
                      </c:pt>
                      <c:pt idx="19">
                        <c:v>4.85982</c:v>
                      </c:pt>
                      <c:pt idx="20">
                        <c:v>3.9747199999999996</c:v>
                      </c:pt>
                      <c:pt idx="21">
                        <c:v>3.3685700000000001</c:v>
                      </c:pt>
                      <c:pt idx="22">
                        <c:v>3.2081500000000003</c:v>
                      </c:pt>
                      <c:pt idx="23">
                        <c:v>2.2499000000000002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1A3A-462A-B577-D323344000B2}"/>
                  </c:ext>
                </c:extLst>
              </c15:ser>
            </c15:filteredLineSeries>
            <c15:filteredLine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výnosů'!$B$19:$C$19</c15:sqref>
                        </c15:formulaRef>
                      </c:ext>
                    </c:extLst>
                    <c:strCache>
                      <c:ptCount val="2"/>
                      <c:pt idx="0">
                        <c:v>Kursové zisky</c:v>
                      </c:pt>
                      <c:pt idx="1">
                        <c:v>663</c:v>
                      </c:pt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výnosů'!$D$8:$AA$8</c15:sqref>
                        </c15:formulaRef>
                      </c:ext>
                    </c:extLst>
                    <c:numCache>
                      <c:formatCode>[$-405]mmmm\ yy;@</c:formatCode>
                      <c:ptCount val="24"/>
                      <c:pt idx="0">
                        <c:v>42005</c:v>
                      </c:pt>
                      <c:pt idx="1">
                        <c:v>42036</c:v>
                      </c:pt>
                      <c:pt idx="2">
                        <c:v>42064</c:v>
                      </c:pt>
                      <c:pt idx="3">
                        <c:v>42095</c:v>
                      </c:pt>
                      <c:pt idx="4">
                        <c:v>42125</c:v>
                      </c:pt>
                      <c:pt idx="5">
                        <c:v>42156</c:v>
                      </c:pt>
                      <c:pt idx="6">
                        <c:v>42186</c:v>
                      </c:pt>
                      <c:pt idx="7">
                        <c:v>42217</c:v>
                      </c:pt>
                      <c:pt idx="8">
                        <c:v>42248</c:v>
                      </c:pt>
                      <c:pt idx="9">
                        <c:v>42278</c:v>
                      </c:pt>
                      <c:pt idx="10">
                        <c:v>42309</c:v>
                      </c:pt>
                      <c:pt idx="11">
                        <c:v>42339</c:v>
                      </c:pt>
                      <c:pt idx="12">
                        <c:v>42370</c:v>
                      </c:pt>
                      <c:pt idx="13">
                        <c:v>42401</c:v>
                      </c:pt>
                      <c:pt idx="14">
                        <c:v>42430</c:v>
                      </c:pt>
                      <c:pt idx="15">
                        <c:v>42461</c:v>
                      </c:pt>
                      <c:pt idx="16">
                        <c:v>42491</c:v>
                      </c:pt>
                      <c:pt idx="17">
                        <c:v>42522</c:v>
                      </c:pt>
                      <c:pt idx="18">
                        <c:v>42552</c:v>
                      </c:pt>
                      <c:pt idx="19">
                        <c:v>42583</c:v>
                      </c:pt>
                      <c:pt idx="20">
                        <c:v>42614</c:v>
                      </c:pt>
                      <c:pt idx="21">
                        <c:v>42644</c:v>
                      </c:pt>
                      <c:pt idx="22">
                        <c:v>42675</c:v>
                      </c:pt>
                      <c:pt idx="23">
                        <c:v>42705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výnosů'!$D$19:$AA$19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64.750950000000003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0.54596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2.36294</c:v>
                      </c:pt>
                      <c:pt idx="15">
                        <c:v>0</c:v>
                      </c:pt>
                      <c:pt idx="16">
                        <c:v>1.09E-2</c:v>
                      </c:pt>
                      <c:pt idx="17">
                        <c:v>16.121980000000001</c:v>
                      </c:pt>
                      <c:pt idx="18">
                        <c:v>-9.7959999999999992E-2</c:v>
                      </c:pt>
                      <c:pt idx="19">
                        <c:v>-0.56996000000000002</c:v>
                      </c:pt>
                      <c:pt idx="20">
                        <c:v>6.1826999999999996</c:v>
                      </c:pt>
                      <c:pt idx="21">
                        <c:v>0</c:v>
                      </c:pt>
                      <c:pt idx="22">
                        <c:v>2.954E-2</c:v>
                      </c:pt>
                      <c:pt idx="23">
                        <c:v>1.6460000000000002E-2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1A3A-462A-B577-D323344000B2}"/>
                  </c:ext>
                </c:extLst>
              </c15:ser>
            </c15:filteredLineSeries>
            <c15:filteredLine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výnosů'!$B$20:$C$20</c15:sqref>
                        </c15:formulaRef>
                      </c:ext>
                    </c:extLst>
                    <c:strCache>
                      <c:ptCount val="2"/>
                      <c:pt idx="0">
                        <c:v>Výnosy z přecenění cenných papírů</c:v>
                      </c:pt>
                      <c:pt idx="1">
                        <c:v>664</c:v>
                      </c:pt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výnosů'!$D$8:$AA$8</c15:sqref>
                        </c15:formulaRef>
                      </c:ext>
                    </c:extLst>
                    <c:numCache>
                      <c:formatCode>[$-405]mmmm\ yy;@</c:formatCode>
                      <c:ptCount val="24"/>
                      <c:pt idx="0">
                        <c:v>42005</c:v>
                      </c:pt>
                      <c:pt idx="1">
                        <c:v>42036</c:v>
                      </c:pt>
                      <c:pt idx="2">
                        <c:v>42064</c:v>
                      </c:pt>
                      <c:pt idx="3">
                        <c:v>42095</c:v>
                      </c:pt>
                      <c:pt idx="4">
                        <c:v>42125</c:v>
                      </c:pt>
                      <c:pt idx="5">
                        <c:v>42156</c:v>
                      </c:pt>
                      <c:pt idx="6">
                        <c:v>42186</c:v>
                      </c:pt>
                      <c:pt idx="7">
                        <c:v>42217</c:v>
                      </c:pt>
                      <c:pt idx="8">
                        <c:v>42248</c:v>
                      </c:pt>
                      <c:pt idx="9">
                        <c:v>42278</c:v>
                      </c:pt>
                      <c:pt idx="10">
                        <c:v>42309</c:v>
                      </c:pt>
                      <c:pt idx="11">
                        <c:v>42339</c:v>
                      </c:pt>
                      <c:pt idx="12">
                        <c:v>42370</c:v>
                      </c:pt>
                      <c:pt idx="13">
                        <c:v>42401</c:v>
                      </c:pt>
                      <c:pt idx="14">
                        <c:v>42430</c:v>
                      </c:pt>
                      <c:pt idx="15">
                        <c:v>42461</c:v>
                      </c:pt>
                      <c:pt idx="16">
                        <c:v>42491</c:v>
                      </c:pt>
                      <c:pt idx="17">
                        <c:v>42522</c:v>
                      </c:pt>
                      <c:pt idx="18">
                        <c:v>42552</c:v>
                      </c:pt>
                      <c:pt idx="19">
                        <c:v>42583</c:v>
                      </c:pt>
                      <c:pt idx="20">
                        <c:v>42614</c:v>
                      </c:pt>
                      <c:pt idx="21">
                        <c:v>42644</c:v>
                      </c:pt>
                      <c:pt idx="22">
                        <c:v>42675</c:v>
                      </c:pt>
                      <c:pt idx="23">
                        <c:v>42705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výnosů'!$D$20:$AA$20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1A3A-462A-B577-D323344000B2}"/>
                  </c:ext>
                </c:extLst>
              </c15:ser>
            </c15:filteredLineSeries>
            <c15:filteredLine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výnosů'!$B$21:$C$21</c15:sqref>
                        </c15:formulaRef>
                      </c:ext>
                    </c:extLst>
                    <c:strCache>
                      <c:ptCount val="2"/>
                      <c:pt idx="0">
                        <c:v>Výnosy z dlouhodobého finančního majetku</c:v>
                      </c:pt>
                      <c:pt idx="1">
                        <c:v>665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výnosů'!$D$8:$AA$8</c15:sqref>
                        </c15:formulaRef>
                      </c:ext>
                    </c:extLst>
                    <c:numCache>
                      <c:formatCode>[$-405]mmmm\ yy;@</c:formatCode>
                      <c:ptCount val="24"/>
                      <c:pt idx="0">
                        <c:v>42005</c:v>
                      </c:pt>
                      <c:pt idx="1">
                        <c:v>42036</c:v>
                      </c:pt>
                      <c:pt idx="2">
                        <c:v>42064</c:v>
                      </c:pt>
                      <c:pt idx="3">
                        <c:v>42095</c:v>
                      </c:pt>
                      <c:pt idx="4">
                        <c:v>42125</c:v>
                      </c:pt>
                      <c:pt idx="5">
                        <c:v>42156</c:v>
                      </c:pt>
                      <c:pt idx="6">
                        <c:v>42186</c:v>
                      </c:pt>
                      <c:pt idx="7">
                        <c:v>42217</c:v>
                      </c:pt>
                      <c:pt idx="8">
                        <c:v>42248</c:v>
                      </c:pt>
                      <c:pt idx="9">
                        <c:v>42278</c:v>
                      </c:pt>
                      <c:pt idx="10">
                        <c:v>42309</c:v>
                      </c:pt>
                      <c:pt idx="11">
                        <c:v>42339</c:v>
                      </c:pt>
                      <c:pt idx="12">
                        <c:v>42370</c:v>
                      </c:pt>
                      <c:pt idx="13">
                        <c:v>42401</c:v>
                      </c:pt>
                      <c:pt idx="14">
                        <c:v>42430</c:v>
                      </c:pt>
                      <c:pt idx="15">
                        <c:v>42461</c:v>
                      </c:pt>
                      <c:pt idx="16">
                        <c:v>42491</c:v>
                      </c:pt>
                      <c:pt idx="17">
                        <c:v>42522</c:v>
                      </c:pt>
                      <c:pt idx="18">
                        <c:v>42552</c:v>
                      </c:pt>
                      <c:pt idx="19">
                        <c:v>42583</c:v>
                      </c:pt>
                      <c:pt idx="20">
                        <c:v>42614</c:v>
                      </c:pt>
                      <c:pt idx="21">
                        <c:v>42644</c:v>
                      </c:pt>
                      <c:pt idx="22">
                        <c:v>42675</c:v>
                      </c:pt>
                      <c:pt idx="23">
                        <c:v>42705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výnosů'!$D$21:$AA$21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1A3A-462A-B577-D323344000B2}"/>
                  </c:ext>
                </c:extLst>
              </c15:ser>
            </c15:filteredLineSeries>
            <c15:filteredLine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výnosů'!$B$22:$C$22</c15:sqref>
                        </c15:formulaRef>
                      </c:ext>
                    </c:extLst>
                    <c:strCache>
                      <c:ptCount val="2"/>
                      <c:pt idx="0">
                        <c:v>Výnosy z krátkodobého finančního majetku</c:v>
                      </c:pt>
                      <c:pt idx="1">
                        <c:v>666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výnosů'!$D$8:$AA$8</c15:sqref>
                        </c15:formulaRef>
                      </c:ext>
                    </c:extLst>
                    <c:numCache>
                      <c:formatCode>[$-405]mmmm\ yy;@</c:formatCode>
                      <c:ptCount val="24"/>
                      <c:pt idx="0">
                        <c:v>42005</c:v>
                      </c:pt>
                      <c:pt idx="1">
                        <c:v>42036</c:v>
                      </c:pt>
                      <c:pt idx="2">
                        <c:v>42064</c:v>
                      </c:pt>
                      <c:pt idx="3">
                        <c:v>42095</c:v>
                      </c:pt>
                      <c:pt idx="4">
                        <c:v>42125</c:v>
                      </c:pt>
                      <c:pt idx="5">
                        <c:v>42156</c:v>
                      </c:pt>
                      <c:pt idx="6">
                        <c:v>42186</c:v>
                      </c:pt>
                      <c:pt idx="7">
                        <c:v>42217</c:v>
                      </c:pt>
                      <c:pt idx="8">
                        <c:v>42248</c:v>
                      </c:pt>
                      <c:pt idx="9">
                        <c:v>42278</c:v>
                      </c:pt>
                      <c:pt idx="10">
                        <c:v>42309</c:v>
                      </c:pt>
                      <c:pt idx="11">
                        <c:v>42339</c:v>
                      </c:pt>
                      <c:pt idx="12">
                        <c:v>42370</c:v>
                      </c:pt>
                      <c:pt idx="13">
                        <c:v>42401</c:v>
                      </c:pt>
                      <c:pt idx="14">
                        <c:v>42430</c:v>
                      </c:pt>
                      <c:pt idx="15">
                        <c:v>42461</c:v>
                      </c:pt>
                      <c:pt idx="16">
                        <c:v>42491</c:v>
                      </c:pt>
                      <c:pt idx="17">
                        <c:v>42522</c:v>
                      </c:pt>
                      <c:pt idx="18">
                        <c:v>42552</c:v>
                      </c:pt>
                      <c:pt idx="19">
                        <c:v>42583</c:v>
                      </c:pt>
                      <c:pt idx="20">
                        <c:v>42614</c:v>
                      </c:pt>
                      <c:pt idx="21">
                        <c:v>42644</c:v>
                      </c:pt>
                      <c:pt idx="22">
                        <c:v>42675</c:v>
                      </c:pt>
                      <c:pt idx="23">
                        <c:v>42705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výnosů'!$D$22:$AA$22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1A3A-462A-B577-D323344000B2}"/>
                  </c:ext>
                </c:extLst>
              </c15:ser>
            </c15:filteredLineSeries>
            <c15:filteredLine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výnosů'!$B$23:$C$23</c15:sqref>
                        </c15:formulaRef>
                      </c:ext>
                    </c:extLst>
                    <c:strCache>
                      <c:ptCount val="2"/>
                      <c:pt idx="0">
                        <c:v>Výnosy z derivátových operací</c:v>
                      </c:pt>
                      <c:pt idx="1">
                        <c:v>667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výnosů'!$D$8:$AA$8</c15:sqref>
                        </c15:formulaRef>
                      </c:ext>
                    </c:extLst>
                    <c:numCache>
                      <c:formatCode>[$-405]mmmm\ yy;@</c:formatCode>
                      <c:ptCount val="24"/>
                      <c:pt idx="0">
                        <c:v>42005</c:v>
                      </c:pt>
                      <c:pt idx="1">
                        <c:v>42036</c:v>
                      </c:pt>
                      <c:pt idx="2">
                        <c:v>42064</c:v>
                      </c:pt>
                      <c:pt idx="3">
                        <c:v>42095</c:v>
                      </c:pt>
                      <c:pt idx="4">
                        <c:v>42125</c:v>
                      </c:pt>
                      <c:pt idx="5">
                        <c:v>42156</c:v>
                      </c:pt>
                      <c:pt idx="6">
                        <c:v>42186</c:v>
                      </c:pt>
                      <c:pt idx="7">
                        <c:v>42217</c:v>
                      </c:pt>
                      <c:pt idx="8">
                        <c:v>42248</c:v>
                      </c:pt>
                      <c:pt idx="9">
                        <c:v>42278</c:v>
                      </c:pt>
                      <c:pt idx="10">
                        <c:v>42309</c:v>
                      </c:pt>
                      <c:pt idx="11">
                        <c:v>42339</c:v>
                      </c:pt>
                      <c:pt idx="12">
                        <c:v>42370</c:v>
                      </c:pt>
                      <c:pt idx="13">
                        <c:v>42401</c:v>
                      </c:pt>
                      <c:pt idx="14">
                        <c:v>42430</c:v>
                      </c:pt>
                      <c:pt idx="15">
                        <c:v>42461</c:v>
                      </c:pt>
                      <c:pt idx="16">
                        <c:v>42491</c:v>
                      </c:pt>
                      <c:pt idx="17">
                        <c:v>42522</c:v>
                      </c:pt>
                      <c:pt idx="18">
                        <c:v>42552</c:v>
                      </c:pt>
                      <c:pt idx="19">
                        <c:v>42583</c:v>
                      </c:pt>
                      <c:pt idx="20">
                        <c:v>42614</c:v>
                      </c:pt>
                      <c:pt idx="21">
                        <c:v>42644</c:v>
                      </c:pt>
                      <c:pt idx="22">
                        <c:v>42675</c:v>
                      </c:pt>
                      <c:pt idx="23">
                        <c:v>42705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výnosů'!$D$23:$AA$23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1A3A-462A-B577-D323344000B2}"/>
                  </c:ext>
                </c:extLst>
              </c15:ser>
            </c15:filteredLineSeries>
            <c15:filteredLine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výnosů'!$B$24:$C$24</c15:sqref>
                        </c15:formulaRef>
                      </c:ext>
                    </c:extLst>
                    <c:strCache>
                      <c:ptCount val="2"/>
                      <c:pt idx="0">
                        <c:v>Ostatní finanční výnosy</c:v>
                      </c:pt>
                      <c:pt idx="1">
                        <c:v>668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výnosů'!$D$8:$AA$8</c15:sqref>
                        </c15:formulaRef>
                      </c:ext>
                    </c:extLst>
                    <c:numCache>
                      <c:formatCode>[$-405]mmmm\ yy;@</c:formatCode>
                      <c:ptCount val="24"/>
                      <c:pt idx="0">
                        <c:v>42005</c:v>
                      </c:pt>
                      <c:pt idx="1">
                        <c:v>42036</c:v>
                      </c:pt>
                      <c:pt idx="2">
                        <c:v>42064</c:v>
                      </c:pt>
                      <c:pt idx="3">
                        <c:v>42095</c:v>
                      </c:pt>
                      <c:pt idx="4">
                        <c:v>42125</c:v>
                      </c:pt>
                      <c:pt idx="5">
                        <c:v>42156</c:v>
                      </c:pt>
                      <c:pt idx="6">
                        <c:v>42186</c:v>
                      </c:pt>
                      <c:pt idx="7">
                        <c:v>42217</c:v>
                      </c:pt>
                      <c:pt idx="8">
                        <c:v>42248</c:v>
                      </c:pt>
                      <c:pt idx="9">
                        <c:v>42278</c:v>
                      </c:pt>
                      <c:pt idx="10">
                        <c:v>42309</c:v>
                      </c:pt>
                      <c:pt idx="11">
                        <c:v>42339</c:v>
                      </c:pt>
                      <c:pt idx="12">
                        <c:v>42370</c:v>
                      </c:pt>
                      <c:pt idx="13">
                        <c:v>42401</c:v>
                      </c:pt>
                      <c:pt idx="14">
                        <c:v>42430</c:v>
                      </c:pt>
                      <c:pt idx="15">
                        <c:v>42461</c:v>
                      </c:pt>
                      <c:pt idx="16">
                        <c:v>42491</c:v>
                      </c:pt>
                      <c:pt idx="17">
                        <c:v>42522</c:v>
                      </c:pt>
                      <c:pt idx="18">
                        <c:v>42552</c:v>
                      </c:pt>
                      <c:pt idx="19">
                        <c:v>42583</c:v>
                      </c:pt>
                      <c:pt idx="20">
                        <c:v>42614</c:v>
                      </c:pt>
                      <c:pt idx="21">
                        <c:v>42644</c:v>
                      </c:pt>
                      <c:pt idx="22">
                        <c:v>42675</c:v>
                      </c:pt>
                      <c:pt idx="23">
                        <c:v>42705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výnosů'!$D$24:$AA$24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829.70368000000008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1121.2223899999999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1A3A-462A-B577-D323344000B2}"/>
                  </c:ext>
                </c:extLst>
              </c15:ser>
            </c15:filteredLineSeries>
            <c15:filteredLine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výnosů'!$B$25:$C$25</c15:sqref>
                        </c15:formulaRef>
                      </c:ext>
                    </c:extLst>
                    <c:strCache>
                      <c:ptCount val="2"/>
                      <c:pt idx="0">
                        <c:v>Převod provozních výnosů</c:v>
                      </c:pt>
                      <c:pt idx="1">
                        <c:v>697</c:v>
                      </c:pt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výnosů'!$D$8:$AA$8</c15:sqref>
                        </c15:formulaRef>
                      </c:ext>
                    </c:extLst>
                    <c:numCache>
                      <c:formatCode>[$-405]mmmm\ yy;@</c:formatCode>
                      <c:ptCount val="24"/>
                      <c:pt idx="0">
                        <c:v>42005</c:v>
                      </c:pt>
                      <c:pt idx="1">
                        <c:v>42036</c:v>
                      </c:pt>
                      <c:pt idx="2">
                        <c:v>42064</c:v>
                      </c:pt>
                      <c:pt idx="3">
                        <c:v>42095</c:v>
                      </c:pt>
                      <c:pt idx="4">
                        <c:v>42125</c:v>
                      </c:pt>
                      <c:pt idx="5">
                        <c:v>42156</c:v>
                      </c:pt>
                      <c:pt idx="6">
                        <c:v>42186</c:v>
                      </c:pt>
                      <c:pt idx="7">
                        <c:v>42217</c:v>
                      </c:pt>
                      <c:pt idx="8">
                        <c:v>42248</c:v>
                      </c:pt>
                      <c:pt idx="9">
                        <c:v>42278</c:v>
                      </c:pt>
                      <c:pt idx="10">
                        <c:v>42309</c:v>
                      </c:pt>
                      <c:pt idx="11">
                        <c:v>42339</c:v>
                      </c:pt>
                      <c:pt idx="12">
                        <c:v>42370</c:v>
                      </c:pt>
                      <c:pt idx="13">
                        <c:v>42401</c:v>
                      </c:pt>
                      <c:pt idx="14">
                        <c:v>42430</c:v>
                      </c:pt>
                      <c:pt idx="15">
                        <c:v>42461</c:v>
                      </c:pt>
                      <c:pt idx="16">
                        <c:v>42491</c:v>
                      </c:pt>
                      <c:pt idx="17">
                        <c:v>42522</c:v>
                      </c:pt>
                      <c:pt idx="18">
                        <c:v>42552</c:v>
                      </c:pt>
                      <c:pt idx="19">
                        <c:v>42583</c:v>
                      </c:pt>
                      <c:pt idx="20">
                        <c:v>42614</c:v>
                      </c:pt>
                      <c:pt idx="21">
                        <c:v>42644</c:v>
                      </c:pt>
                      <c:pt idx="22">
                        <c:v>42675</c:v>
                      </c:pt>
                      <c:pt idx="23">
                        <c:v>42705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výnosů'!$D$25:$AA$25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1A3A-462A-B577-D323344000B2}"/>
                  </c:ext>
                </c:extLst>
              </c15:ser>
            </c15:filteredLineSeries>
          </c:ext>
        </c:extLst>
      </c:lineChart>
      <c:dateAx>
        <c:axId val="634868272"/>
        <c:scaling>
          <c:orientation val="minMax"/>
        </c:scaling>
        <c:delete val="0"/>
        <c:axPos val="b"/>
        <c:numFmt formatCode="[$-405]mmmm\ y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634871224"/>
        <c:crosses val="autoZero"/>
        <c:auto val="1"/>
        <c:lblOffset val="100"/>
        <c:baseTimeUnit val="months"/>
      </c:dateAx>
      <c:valAx>
        <c:axId val="63487122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634868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Peníze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>
        <c:manualLayout>
          <c:layoutTarget val="inner"/>
          <c:xMode val="edge"/>
          <c:yMode val="edge"/>
          <c:x val="2.8946445863668784E-2"/>
          <c:y val="8.0505432253343015E-2"/>
          <c:w val="0.95455504921808865"/>
          <c:h val="0.6929202676956826"/>
        </c:manualLayout>
      </c:layout>
      <c:lineChart>
        <c:grouping val="standard"/>
        <c:varyColors val="0"/>
        <c:ser>
          <c:idx val="0"/>
          <c:order val="0"/>
          <c:tx>
            <c:strRef>
              <c:f>'Účty s vývojem'!$B$9</c:f>
              <c:strCache>
                <c:ptCount val="1"/>
                <c:pt idx="0">
                  <c:v>Pokladny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'Účty s vývojem'!$D$8:$AA$8</c:f>
              <c:numCache>
                <c:formatCode>[$-405]mmmm\ yy;@</c:formatCode>
                <c:ptCount val="24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  <c:pt idx="7">
                  <c:v>43132</c:v>
                </c:pt>
                <c:pt idx="8">
                  <c:v>43160</c:v>
                </c:pt>
                <c:pt idx="9">
                  <c:v>43191</c:v>
                </c:pt>
                <c:pt idx="10">
                  <c:v>43221</c:v>
                </c:pt>
                <c:pt idx="11">
                  <c:v>43252</c:v>
                </c:pt>
                <c:pt idx="12">
                  <c:v>43282</c:v>
                </c:pt>
                <c:pt idx="13">
                  <c:v>43313</c:v>
                </c:pt>
                <c:pt idx="14">
                  <c:v>43344</c:v>
                </c:pt>
                <c:pt idx="15">
                  <c:v>43374</c:v>
                </c:pt>
                <c:pt idx="16">
                  <c:v>43405</c:v>
                </c:pt>
                <c:pt idx="17">
                  <c:v>43435</c:v>
                </c:pt>
                <c:pt idx="18">
                  <c:v>43466</c:v>
                </c:pt>
                <c:pt idx="19">
                  <c:v>43497</c:v>
                </c:pt>
                <c:pt idx="20">
                  <c:v>43525</c:v>
                </c:pt>
                <c:pt idx="21">
                  <c:v>43556</c:v>
                </c:pt>
                <c:pt idx="22">
                  <c:v>43586</c:v>
                </c:pt>
                <c:pt idx="23">
                  <c:v>43617</c:v>
                </c:pt>
              </c:numCache>
            </c:numRef>
          </c:cat>
          <c:val>
            <c:numRef>
              <c:f>'Účty s vývojem'!$D$9:$AA$9</c:f>
              <c:numCache>
                <c:formatCode>#,##0</c:formatCode>
                <c:ptCount val="24"/>
                <c:pt idx="0">
                  <c:v>10.712560000000003</c:v>
                </c:pt>
                <c:pt idx="1">
                  <c:v>61.573660000000004</c:v>
                </c:pt>
                <c:pt idx="2">
                  <c:v>53.408800000000006</c:v>
                </c:pt>
                <c:pt idx="3">
                  <c:v>42.192260000000005</c:v>
                </c:pt>
                <c:pt idx="4">
                  <c:v>42.53877</c:v>
                </c:pt>
                <c:pt idx="5">
                  <c:v>22.380589999999998</c:v>
                </c:pt>
                <c:pt idx="6">
                  <c:v>43.075019999999995</c:v>
                </c:pt>
                <c:pt idx="7">
                  <c:v>8.476629999999993</c:v>
                </c:pt>
                <c:pt idx="8">
                  <c:v>321.15125999999998</c:v>
                </c:pt>
                <c:pt idx="9">
                  <c:v>317.30977999999999</c:v>
                </c:pt>
                <c:pt idx="10">
                  <c:v>268.86129</c:v>
                </c:pt>
                <c:pt idx="11">
                  <c:v>345.99271999999996</c:v>
                </c:pt>
                <c:pt idx="12">
                  <c:v>347.33971999999994</c:v>
                </c:pt>
                <c:pt idx="13">
                  <c:v>336.27959999999996</c:v>
                </c:pt>
                <c:pt idx="14">
                  <c:v>272.07304999999997</c:v>
                </c:pt>
                <c:pt idx="15">
                  <c:v>239.81754999999998</c:v>
                </c:pt>
                <c:pt idx="16">
                  <c:v>170.10674</c:v>
                </c:pt>
                <c:pt idx="17">
                  <c:v>192.81210999999999</c:v>
                </c:pt>
                <c:pt idx="18">
                  <c:v>136.12894999999997</c:v>
                </c:pt>
                <c:pt idx="19">
                  <c:v>133.96609999999998</c:v>
                </c:pt>
                <c:pt idx="20">
                  <c:v>112.33609999999999</c:v>
                </c:pt>
                <c:pt idx="21">
                  <c:v>71.837699999999984</c:v>
                </c:pt>
                <c:pt idx="22">
                  <c:v>48.017969999999984</c:v>
                </c:pt>
                <c:pt idx="23">
                  <c:v>52.395909999999986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BC-47FB-9F7C-ACBA0C24299E}"/>
            </c:ext>
          </c:extLst>
        </c:ser>
        <c:ser>
          <c:idx val="1"/>
          <c:order val="1"/>
          <c:tx>
            <c:strRef>
              <c:f>'Účty s vývojem'!$B$10</c:f>
              <c:strCache>
                <c:ptCount val="1"/>
                <c:pt idx="0">
                  <c:v>Banky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'Účty s vývojem'!$D$8:$AA$8</c:f>
              <c:numCache>
                <c:formatCode>[$-405]mmmm\ yy;@</c:formatCode>
                <c:ptCount val="24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  <c:pt idx="7">
                  <c:v>43132</c:v>
                </c:pt>
                <c:pt idx="8">
                  <c:v>43160</c:v>
                </c:pt>
                <c:pt idx="9">
                  <c:v>43191</c:v>
                </c:pt>
                <c:pt idx="10">
                  <c:v>43221</c:v>
                </c:pt>
                <c:pt idx="11">
                  <c:v>43252</c:v>
                </c:pt>
                <c:pt idx="12">
                  <c:v>43282</c:v>
                </c:pt>
                <c:pt idx="13">
                  <c:v>43313</c:v>
                </c:pt>
                <c:pt idx="14">
                  <c:v>43344</c:v>
                </c:pt>
                <c:pt idx="15">
                  <c:v>43374</c:v>
                </c:pt>
                <c:pt idx="16">
                  <c:v>43405</c:v>
                </c:pt>
                <c:pt idx="17">
                  <c:v>43435</c:v>
                </c:pt>
                <c:pt idx="18">
                  <c:v>43466</c:v>
                </c:pt>
                <c:pt idx="19">
                  <c:v>43497</c:v>
                </c:pt>
                <c:pt idx="20">
                  <c:v>43525</c:v>
                </c:pt>
                <c:pt idx="21">
                  <c:v>43556</c:v>
                </c:pt>
                <c:pt idx="22">
                  <c:v>43586</c:v>
                </c:pt>
                <c:pt idx="23">
                  <c:v>43617</c:v>
                </c:pt>
              </c:numCache>
            </c:numRef>
          </c:cat>
          <c:val>
            <c:numRef>
              <c:f>'Účty s vývojem'!$D$10:$AA$10</c:f>
              <c:numCache>
                <c:formatCode>#,##0</c:formatCode>
                <c:ptCount val="24"/>
                <c:pt idx="0">
                  <c:v>15716.93146</c:v>
                </c:pt>
                <c:pt idx="1">
                  <c:v>18571.66964</c:v>
                </c:pt>
                <c:pt idx="2">
                  <c:v>15291.10658</c:v>
                </c:pt>
                <c:pt idx="3">
                  <c:v>20424.614979999998</c:v>
                </c:pt>
                <c:pt idx="4">
                  <c:v>14515.519839999999</c:v>
                </c:pt>
                <c:pt idx="5">
                  <c:v>16639.65667</c:v>
                </c:pt>
                <c:pt idx="6">
                  <c:v>18011.578020000001</c:v>
                </c:pt>
                <c:pt idx="7">
                  <c:v>18616.08986</c:v>
                </c:pt>
                <c:pt idx="8">
                  <c:v>11184.99677</c:v>
                </c:pt>
                <c:pt idx="9">
                  <c:v>15659.922739999998</c:v>
                </c:pt>
                <c:pt idx="10">
                  <c:v>21827.447560000001</c:v>
                </c:pt>
                <c:pt idx="11">
                  <c:v>18356.588179999999</c:v>
                </c:pt>
                <c:pt idx="12">
                  <c:v>19102.793980000002</c:v>
                </c:pt>
                <c:pt idx="13">
                  <c:v>25107.210160000002</c:v>
                </c:pt>
                <c:pt idx="14">
                  <c:v>14190.116700000002</c:v>
                </c:pt>
                <c:pt idx="15">
                  <c:v>17659.187020000001</c:v>
                </c:pt>
                <c:pt idx="16">
                  <c:v>18091.243040000001</c:v>
                </c:pt>
                <c:pt idx="17">
                  <c:v>15257.758380000001</c:v>
                </c:pt>
                <c:pt idx="18">
                  <c:v>17085.259860000002</c:v>
                </c:pt>
                <c:pt idx="19">
                  <c:v>20762.54176</c:v>
                </c:pt>
                <c:pt idx="20">
                  <c:v>18742.719420000001</c:v>
                </c:pt>
                <c:pt idx="21">
                  <c:v>22924.185080000003</c:v>
                </c:pt>
                <c:pt idx="22">
                  <c:v>24727.065860000002</c:v>
                </c:pt>
                <c:pt idx="23">
                  <c:v>9112.4349700000021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6BC-47FB-9F7C-ACBA0C2429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10150280"/>
        <c:axId val="2110153768"/>
      </c:lineChart>
      <c:dateAx>
        <c:axId val="2110150280"/>
        <c:scaling>
          <c:orientation val="minMax"/>
        </c:scaling>
        <c:delete val="0"/>
        <c:axPos val="b"/>
        <c:numFmt formatCode="[$-405]mmmm\ 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110153768"/>
        <c:crosses val="autoZero"/>
        <c:auto val="1"/>
        <c:lblOffset val="100"/>
        <c:baseTimeUnit val="months"/>
      </c:dateAx>
      <c:valAx>
        <c:axId val="211015376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110150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0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>
        <c:manualLayout>
          <c:layoutTarget val="inner"/>
          <c:xMode val="edge"/>
          <c:yMode val="edge"/>
          <c:x val="2.0571922701911469E-2"/>
          <c:y val="8.0352928843082955E-2"/>
          <c:w val="0.9738119347136901"/>
          <c:h val="0.8240233571146918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('Penize stav'!$B$9,'Penize stav'!$B$10)</c:f>
              <c:strCache>
                <c:ptCount val="2"/>
                <c:pt idx="0">
                  <c:v>Pokladny</c:v>
                </c:pt>
                <c:pt idx="1">
                  <c:v>Banky</c:v>
                </c:pt>
              </c:strCache>
            </c:strRef>
          </c:cat>
          <c:val>
            <c:numRef>
              <c:f>('Penize stav'!$AB$9,'Penize stav'!$AB$10)</c:f>
              <c:numCache>
                <c:formatCode>#,##0</c:formatCode>
                <c:ptCount val="2"/>
                <c:pt idx="0">
                  <c:v>2113.1115</c:v>
                </c:pt>
                <c:pt idx="1">
                  <c:v>222762.51623000001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58-4FD5-B265-CE619605CB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10415432"/>
        <c:axId val="2110245784"/>
      </c:barChart>
      <c:catAx>
        <c:axId val="2110415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110245784"/>
        <c:crosses val="autoZero"/>
        <c:auto val="1"/>
        <c:lblAlgn val="ctr"/>
        <c:lblOffset val="100"/>
        <c:noMultiLvlLbl val="0"/>
      </c:catAx>
      <c:valAx>
        <c:axId val="2110245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110415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Stav</a:t>
            </a:r>
            <a:r>
              <a:rPr lang="cs-CZ" baseline="0"/>
              <a:t> skladu k datu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>
        <c:manualLayout>
          <c:layoutTarget val="inner"/>
          <c:xMode val="edge"/>
          <c:yMode val="edge"/>
          <c:x val="3.0811423895562778E-2"/>
          <c:y val="9.5137013094441086E-2"/>
          <c:w val="0.95487109784184043"/>
          <c:h val="0.6659022312309723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Sklady!$C$9</c:f>
              <c:strCache>
                <c:ptCount val="1"/>
                <c:pt idx="0">
                  <c:v>Skladová cena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Sklady!$E$8:$AB$8</c:f>
              <c:numCache>
                <c:formatCode>[$-405]mmmm\ yy;@</c:formatCode>
                <c:ptCount val="3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</c:numCache>
            </c:numRef>
          </c:cat>
          <c:val>
            <c:numRef>
              <c:f>Sklady!$E$9:$AB$9</c:f>
              <c:numCache>
                <c:formatCode>#,##0</c:formatCode>
                <c:ptCount val="3"/>
                <c:pt idx="0">
                  <c:v>20646.15122</c:v>
                </c:pt>
                <c:pt idx="1">
                  <c:v>16197.20614</c:v>
                </c:pt>
                <c:pt idx="2">
                  <c:v>15803.66504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83-404C-A39A-BA5ED7BCE5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57642016"/>
        <c:axId val="757639392"/>
        <c:extLst/>
      </c:barChart>
      <c:lineChart>
        <c:grouping val="standard"/>
        <c:varyColors val="0"/>
        <c:ser>
          <c:idx val="1"/>
          <c:order val="1"/>
          <c:tx>
            <c:strRef>
              <c:f>Sklady!$C$10</c:f>
              <c:strCache>
                <c:ptCount val="1"/>
                <c:pt idx="0">
                  <c:v>Počet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Sklady!$E$8:$AB$8</c:f>
              <c:numCache>
                <c:formatCode>[$-405]mmmm\ yy;@</c:formatCode>
                <c:ptCount val="3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</c:numCache>
              <c:extLst xmlns:c15="http://schemas.microsoft.com/office/drawing/2012/chart"/>
            </c:numRef>
          </c:cat>
          <c:val>
            <c:numRef>
              <c:f>Sklady!$E$10:$AB$10</c:f>
              <c:numCache>
                <c:formatCode>#,##0</c:formatCode>
                <c:ptCount val="3"/>
                <c:pt idx="0">
                  <c:v>40.077019999999997</c:v>
                </c:pt>
                <c:pt idx="1">
                  <c:v>31.30622</c:v>
                </c:pt>
                <c:pt idx="2">
                  <c:v>32.111820000000002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6C83-404C-A39A-BA5ED7BCE5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166872"/>
        <c:axId val="597161344"/>
      </c:lineChart>
      <c:catAx>
        <c:axId val="757642016"/>
        <c:scaling>
          <c:orientation val="minMax"/>
        </c:scaling>
        <c:delete val="0"/>
        <c:axPos val="b"/>
        <c:numFmt formatCode="[$-405]mmmm\ y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57639392"/>
        <c:crosses val="autoZero"/>
        <c:auto val="0"/>
        <c:lblAlgn val="ctr"/>
        <c:lblOffset val="100"/>
        <c:noMultiLvlLbl val="0"/>
      </c:catAx>
      <c:valAx>
        <c:axId val="757639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57642016"/>
        <c:crosses val="autoZero"/>
        <c:crossBetween val="between"/>
      </c:valAx>
      <c:valAx>
        <c:axId val="597161344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487166872"/>
        <c:crosses val="max"/>
        <c:crossBetween val="between"/>
      </c:valAx>
      <c:dateAx>
        <c:axId val="487166872"/>
        <c:scaling>
          <c:orientation val="minMax"/>
        </c:scaling>
        <c:delete val="1"/>
        <c:axPos val="b"/>
        <c:numFmt formatCode="[$-405]mmmm\ yy;@" sourceLinked="1"/>
        <c:majorTickMark val="out"/>
        <c:minorTickMark val="none"/>
        <c:tickLblPos val="nextTo"/>
        <c:crossAx val="597161344"/>
        <c:crosses val="autoZero"/>
        <c:auto val="1"/>
        <c:lblOffset val="100"/>
        <c:baseTimeUnit val="months"/>
        <c:majorUnit val="1"/>
        <c:minorUnit val="1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Skladov</a:t>
            </a:r>
            <a:r>
              <a:rPr lang="cs-CZ" baseline="0"/>
              <a:t>é pohyby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>
        <c:manualLayout>
          <c:layoutTarget val="inner"/>
          <c:xMode val="edge"/>
          <c:yMode val="edge"/>
          <c:x val="9.3978753992993602E-2"/>
          <c:y val="8.9890014054766834E-2"/>
          <c:w val="0.82189067998207577"/>
          <c:h val="0.715430938971743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Sklady!$D$15</c:f>
              <c:strCache>
                <c:ptCount val="1"/>
                <c:pt idx="0">
                  <c:v>PNS - senzory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Sklady!$E$8:$AB$8</c:f>
              <c:numCache>
                <c:formatCode>[$-405]mmmm\ yy;@</c:formatCode>
                <c:ptCount val="3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</c:numCache>
            </c:numRef>
          </c:cat>
          <c:val>
            <c:numRef>
              <c:f>Sklady!$E$15:$AB$15</c:f>
              <c:numCache>
                <c:formatCode>#,##0</c:formatCode>
                <c:ptCount val="3"/>
                <c:pt idx="0">
                  <c:v>6358.6280299999999</c:v>
                </c:pt>
                <c:pt idx="1">
                  <c:v>5509.2333699999999</c:v>
                </c:pt>
                <c:pt idx="2">
                  <c:v>5013.28755000001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27-42B2-8AC2-4C54409D97A9}"/>
            </c:ext>
          </c:extLst>
        </c:ser>
        <c:ser>
          <c:idx val="1"/>
          <c:order val="1"/>
          <c:tx>
            <c:strRef>
              <c:f>Sklady!$D$16</c:f>
              <c:strCache>
                <c:ptCount val="1"/>
                <c:pt idx="0">
                  <c:v>PCS - hlídače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Sklady!$E$8:$AB$8</c:f>
              <c:numCache>
                <c:formatCode>[$-405]mmmm\ yy;@</c:formatCode>
                <c:ptCount val="3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</c:numCache>
            </c:numRef>
          </c:cat>
          <c:val>
            <c:numRef>
              <c:f>Sklady!$E$16:$AB$16</c:f>
              <c:numCache>
                <c:formatCode>#,##0</c:formatCode>
                <c:ptCount val="3"/>
                <c:pt idx="0">
                  <c:v>1112.31306</c:v>
                </c:pt>
                <c:pt idx="1">
                  <c:v>563.63409999999999</c:v>
                </c:pt>
                <c:pt idx="2">
                  <c:v>1551.0356200000001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627-42B2-8AC2-4C54409D97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7642016"/>
        <c:axId val="757639392"/>
        <c:extLst/>
      </c:barChart>
      <c:catAx>
        <c:axId val="7576420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s-CZ"/>
                  <a:t>Měsíc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cs-CZ"/>
            </a:p>
          </c:txPr>
        </c:title>
        <c:numFmt formatCode="[$-405]mmmm\ y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57639392"/>
        <c:crosses val="autoZero"/>
        <c:auto val="0"/>
        <c:lblAlgn val="ctr"/>
        <c:lblOffset val="100"/>
        <c:noMultiLvlLbl val="0"/>
      </c:catAx>
      <c:valAx>
        <c:axId val="757639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s-CZ"/>
                  <a:t>Skladová cena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cs-CZ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57642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Prodej!$C$10</c:f>
              <c:strCache>
                <c:ptCount val="1"/>
                <c:pt idx="0">
                  <c:v>Prodejní cena bez DPH</c:v>
                </c:pt>
              </c:strCache>
              <c:extLst xmlns:c15="http://schemas.microsoft.com/office/drawing/2012/chart"/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Prodej!$E$8:$AB$8</c:f>
              <c:numCache>
                <c:formatCode>[$-405]mmmm\ yy;@</c:formatCode>
                <c:ptCount val="3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</c:numCache>
              <c:extLst xmlns:c15="http://schemas.microsoft.com/office/drawing/2012/chart"/>
            </c:numRef>
          </c:cat>
          <c:val>
            <c:numRef>
              <c:f>Prodej!$E$10:$AB$10</c:f>
              <c:numCache>
                <c:formatCode>#,##0</c:formatCode>
                <c:ptCount val="3"/>
                <c:pt idx="0">
                  <c:v>18224.176760000002</c:v>
                </c:pt>
                <c:pt idx="1">
                  <c:v>18194.10094</c:v>
                </c:pt>
                <c:pt idx="2">
                  <c:v>24597.111870000001</c:v>
                </c:pt>
              </c:numCache>
              <c:extLst xmlns:c15="http://schemas.microsoft.com/office/drawing/2012/chart"/>
            </c:numRef>
          </c:val>
          <c:extLst>
            <c:ext xmlns:c16="http://schemas.microsoft.com/office/drawing/2014/chart" uri="{C3380CC4-5D6E-409C-BE32-E72D297353CC}">
              <c16:uniqueId val="{00000001-B60A-4D54-BFA5-9383B35207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60488128"/>
        <c:axId val="760486816"/>
      </c:barChart>
      <c:lineChart>
        <c:grouping val="standard"/>
        <c:varyColors val="0"/>
        <c:ser>
          <c:idx val="0"/>
          <c:order val="0"/>
          <c:tx>
            <c:strRef>
              <c:f>Prodej!$C$9</c:f>
              <c:strCache>
                <c:ptCount val="1"/>
                <c:pt idx="0">
                  <c:v>Počet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Prodej!$E$8:$AB$8</c:f>
              <c:numCache>
                <c:formatCode>[$-405]mmmm\ yy;@</c:formatCode>
                <c:ptCount val="3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</c:numCache>
              <c:extLst xmlns:c15="http://schemas.microsoft.com/office/drawing/2012/chart"/>
            </c:numRef>
          </c:cat>
          <c:val>
            <c:numRef>
              <c:f>Prodej!$E$9:$AB$9</c:f>
              <c:numCache>
                <c:formatCode>#,##0</c:formatCode>
                <c:ptCount val="3"/>
                <c:pt idx="0">
                  <c:v>28.84</c:v>
                </c:pt>
                <c:pt idx="1">
                  <c:v>28.543700000000001</c:v>
                </c:pt>
                <c:pt idx="2">
                  <c:v>39.680999999999997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B60A-4D54-BFA5-9383B35207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6789360"/>
        <c:axId val="586789688"/>
      </c:lineChart>
      <c:dateAx>
        <c:axId val="760488128"/>
        <c:scaling>
          <c:orientation val="minMax"/>
        </c:scaling>
        <c:delete val="0"/>
        <c:axPos val="b"/>
        <c:numFmt formatCode="[$-405]mmmm\ y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60486816"/>
        <c:crosses val="autoZero"/>
        <c:auto val="1"/>
        <c:lblOffset val="100"/>
        <c:baseTimeUnit val="months"/>
      </c:dateAx>
      <c:valAx>
        <c:axId val="76048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60488128"/>
        <c:crosses val="autoZero"/>
        <c:crossBetween val="between"/>
      </c:valAx>
      <c:valAx>
        <c:axId val="586789688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86789360"/>
        <c:crosses val="max"/>
        <c:crossBetween val="between"/>
      </c:valAx>
      <c:dateAx>
        <c:axId val="586789360"/>
        <c:scaling>
          <c:orientation val="minMax"/>
        </c:scaling>
        <c:delete val="1"/>
        <c:axPos val="b"/>
        <c:numFmt formatCode="[$-405]mmmm\ yy;@" sourceLinked="1"/>
        <c:majorTickMark val="out"/>
        <c:minorTickMark val="none"/>
        <c:tickLblPos val="nextTo"/>
        <c:crossAx val="586789688"/>
        <c:crosses val="autoZero"/>
        <c:auto val="1"/>
        <c:lblOffset val="100"/>
        <c:baseTimeUnit val="months"/>
        <c:majorUnit val="1"/>
        <c:minorUnit val="1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Pohled</a:t>
            </a:r>
            <a:r>
              <a:rPr lang="cs-CZ"/>
              <a:t>ávky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'Pohledávky a závazky'!$C$9</c:f>
              <c:strCache>
                <c:ptCount val="1"/>
                <c:pt idx="0">
                  <c:v>Celkem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'Pohledávky a závazky'!$E$8:$AB$8</c:f>
              <c:numCache>
                <c:formatCode>[$-405]mmmm\ yy;@</c:formatCode>
                <c:ptCount val="3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</c:numCache>
            </c:numRef>
          </c:cat>
          <c:val>
            <c:numRef>
              <c:f>'Pohledávky a závazky'!$E$9:$AB$9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58-4C80-96DC-93BBCA9208D3}"/>
            </c:ext>
          </c:extLst>
        </c:ser>
        <c:ser>
          <c:idx val="1"/>
          <c:order val="1"/>
          <c:tx>
            <c:strRef>
              <c:f>'Pohledávky a závazky'!$C$10</c:f>
              <c:strCache>
                <c:ptCount val="1"/>
                <c:pt idx="0">
                  <c:v>Zaplaceno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'Pohledávky a závazky'!$E$8:$AB$8</c:f>
              <c:numCache>
                <c:formatCode>[$-405]mmmm\ yy;@</c:formatCode>
                <c:ptCount val="3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</c:numCache>
            </c:numRef>
          </c:cat>
          <c:val>
            <c:numRef>
              <c:f>'Pohledávky a závazky'!$E$10:$AB$10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658-4C80-96DC-93BBCA9208D3}"/>
            </c:ext>
          </c:extLst>
        </c:ser>
        <c:ser>
          <c:idx val="2"/>
          <c:order val="2"/>
          <c:tx>
            <c:strRef>
              <c:f>'Pohledávky a závazky'!$C$11</c:f>
              <c:strCache>
                <c:ptCount val="1"/>
                <c:pt idx="0">
                  <c:v>Nezaplaceno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'Pohledávky a závazky'!$E$8:$AB$8</c:f>
              <c:numCache>
                <c:formatCode>[$-405]mmmm\ yy;@</c:formatCode>
                <c:ptCount val="3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</c:numCache>
            </c:numRef>
          </c:cat>
          <c:val>
            <c:numRef>
              <c:f>'Pohledávky a závazky'!$E$11:$AB$11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658-4C80-96DC-93BBCA9208D3}"/>
            </c:ext>
          </c:extLst>
        </c:ser>
        <c:ser>
          <c:idx val="3"/>
          <c:order val="3"/>
          <c:tx>
            <c:strRef>
              <c:f>'Pohledávky a závazky'!$C$12</c:f>
              <c:strCache>
                <c:ptCount val="1"/>
                <c:pt idx="0">
                  <c:v>Dobropisováno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'Pohledávky a závazky'!$E$8:$AB$8</c:f>
              <c:numCache>
                <c:formatCode>[$-405]mmmm\ yy;@</c:formatCode>
                <c:ptCount val="3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</c:numCache>
            </c:numRef>
          </c:cat>
          <c:val>
            <c:numRef>
              <c:f>'Pohledávky a závazky'!$E$12:$AB$12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658-4C80-96DC-93BBCA9208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0642192"/>
        <c:axId val="750645800"/>
      </c:barChart>
      <c:catAx>
        <c:axId val="750642192"/>
        <c:scaling>
          <c:orientation val="minMax"/>
        </c:scaling>
        <c:delete val="0"/>
        <c:axPos val="b"/>
        <c:numFmt formatCode="[$-405]mmmm\ 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50645800"/>
        <c:crosses val="autoZero"/>
        <c:auto val="0"/>
        <c:lblAlgn val="ctr"/>
        <c:lblOffset val="100"/>
        <c:noMultiLvlLbl val="0"/>
      </c:catAx>
      <c:valAx>
        <c:axId val="750645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50642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Závazky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'Pohledávky a závazky'!$C$23</c:f>
              <c:strCache>
                <c:ptCount val="1"/>
                <c:pt idx="0">
                  <c:v>Celkem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'Pohledávky a závazky'!$E$22:$AB$22</c:f>
              <c:numCache>
                <c:formatCode>[$-405]mmmm\ yy;@</c:formatCode>
                <c:ptCount val="3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</c:numCache>
            </c:numRef>
          </c:cat>
          <c:val>
            <c:numRef>
              <c:f>'Pohledávky a závazky'!$E$23:$AB$23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95-4539-B503-B8F0AFFA6D57}"/>
            </c:ext>
          </c:extLst>
        </c:ser>
        <c:ser>
          <c:idx val="1"/>
          <c:order val="1"/>
          <c:tx>
            <c:strRef>
              <c:f>'Pohledávky a závazky'!$C$24</c:f>
              <c:strCache>
                <c:ptCount val="1"/>
                <c:pt idx="0">
                  <c:v>Zaplaceno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'Pohledávky a závazky'!$E$22:$AB$22</c:f>
              <c:numCache>
                <c:formatCode>[$-405]mmmm\ yy;@</c:formatCode>
                <c:ptCount val="3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</c:numCache>
            </c:numRef>
          </c:cat>
          <c:val>
            <c:numRef>
              <c:f>'Pohledávky a závazky'!$E$24:$AB$24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95-4539-B503-B8F0AFFA6D57}"/>
            </c:ext>
          </c:extLst>
        </c:ser>
        <c:ser>
          <c:idx val="2"/>
          <c:order val="2"/>
          <c:tx>
            <c:strRef>
              <c:f>'Pohledávky a závazky'!$C$25</c:f>
              <c:strCache>
                <c:ptCount val="1"/>
                <c:pt idx="0">
                  <c:v>Nezaplaceno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'Pohledávky a závazky'!$E$22:$AB$22</c:f>
              <c:numCache>
                <c:formatCode>[$-405]mmmm\ yy;@</c:formatCode>
                <c:ptCount val="3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</c:numCache>
            </c:numRef>
          </c:cat>
          <c:val>
            <c:numRef>
              <c:f>'Pohledávky a závazky'!$E$25:$AB$25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095-4539-B503-B8F0AFFA6D57}"/>
            </c:ext>
          </c:extLst>
        </c:ser>
        <c:ser>
          <c:idx val="3"/>
          <c:order val="3"/>
          <c:tx>
            <c:strRef>
              <c:f>'Pohledávky a závazky'!$C$26</c:f>
              <c:strCache>
                <c:ptCount val="1"/>
                <c:pt idx="0">
                  <c:v>Dobropisováno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'Pohledávky a závazky'!$E$22:$AB$22</c:f>
              <c:numCache>
                <c:formatCode>[$-405]mmmm\ yy;@</c:formatCode>
                <c:ptCount val="3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</c:numCache>
            </c:numRef>
          </c:cat>
          <c:val>
            <c:numRef>
              <c:f>'Pohledávky a závazky'!$E$26:$AB$26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095-4539-B503-B8F0AFFA6D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0642192"/>
        <c:axId val="750645800"/>
      </c:barChart>
      <c:catAx>
        <c:axId val="750642192"/>
        <c:scaling>
          <c:orientation val="minMax"/>
        </c:scaling>
        <c:delete val="0"/>
        <c:axPos val="b"/>
        <c:numFmt formatCode="[$-405]mmmm\ 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50645800"/>
        <c:crosses val="autoZero"/>
        <c:auto val="0"/>
        <c:lblAlgn val="ctr"/>
        <c:lblOffset val="100"/>
        <c:noMultiLvlLbl val="0"/>
      </c:catAx>
      <c:valAx>
        <c:axId val="750645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50642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Odpisy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Majetek!$C$9</c:f>
              <c:strCache>
                <c:ptCount val="1"/>
                <c:pt idx="0">
                  <c:v>Účetní odpisy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Majetek!$E$8:$AB$8</c:f>
              <c:numCache>
                <c:formatCode>[$-405]mmmm\ yy;@</c:formatCode>
                <c:ptCount val="3"/>
                <c:pt idx="0">
                  <c:v>38718</c:v>
                </c:pt>
                <c:pt idx="1">
                  <c:v>38749</c:v>
                </c:pt>
                <c:pt idx="2">
                  <c:v>38777</c:v>
                </c:pt>
              </c:numCache>
            </c:numRef>
          </c:cat>
          <c:val>
            <c:numRef>
              <c:f>Majetek!$E$9:$AB$9</c:f>
              <c:numCache>
                <c:formatCode>#,##0</c:formatCode>
                <c:ptCount val="3"/>
                <c:pt idx="0">
                  <c:v>14.693</c:v>
                </c:pt>
                <c:pt idx="1">
                  <c:v>14.693</c:v>
                </c:pt>
                <c:pt idx="2">
                  <c:v>14.692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5F-4AC4-B160-03B60241984E}"/>
            </c:ext>
          </c:extLst>
        </c:ser>
        <c:ser>
          <c:idx val="1"/>
          <c:order val="1"/>
          <c:tx>
            <c:strRef>
              <c:f>Majetek!$C$10</c:f>
              <c:strCache>
                <c:ptCount val="1"/>
                <c:pt idx="0">
                  <c:v>Daňové odpisy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Majetek!$E$8:$AB$8</c:f>
              <c:numCache>
                <c:formatCode>[$-405]mmmm\ yy;@</c:formatCode>
                <c:ptCount val="3"/>
                <c:pt idx="0">
                  <c:v>38718</c:v>
                </c:pt>
                <c:pt idx="1">
                  <c:v>38749</c:v>
                </c:pt>
                <c:pt idx="2">
                  <c:v>38777</c:v>
                </c:pt>
              </c:numCache>
            </c:numRef>
          </c:cat>
          <c:val>
            <c:numRef>
              <c:f>Majetek!$E$10:$AB$10</c:f>
              <c:numCache>
                <c:formatCode>#,##0</c:formatCode>
                <c:ptCount val="3"/>
                <c:pt idx="0">
                  <c:v>14.693</c:v>
                </c:pt>
                <c:pt idx="1">
                  <c:v>14.693</c:v>
                </c:pt>
                <c:pt idx="2">
                  <c:v>14.692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65F-4AC4-B160-03B602419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2292920"/>
        <c:axId val="712293576"/>
      </c:barChart>
      <c:catAx>
        <c:axId val="712292920"/>
        <c:scaling>
          <c:orientation val="minMax"/>
        </c:scaling>
        <c:delete val="0"/>
        <c:axPos val="b"/>
        <c:numFmt formatCode="[$-405]mmmm\ 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12293576"/>
        <c:crosses val="autoZero"/>
        <c:auto val="0"/>
        <c:lblAlgn val="ctr"/>
        <c:lblOffset val="100"/>
        <c:noMultiLvlLbl val="0"/>
      </c:catAx>
      <c:valAx>
        <c:axId val="712293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12292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Stav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Majetek!$C$21</c:f>
              <c:strCache>
                <c:ptCount val="1"/>
                <c:pt idx="0">
                  <c:v>Daňová vstupní cena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Majetek!$E$20:$AB$20</c:f>
              <c:numCache>
                <c:formatCode>[$-405]mmmm\ yy;@</c:formatCode>
                <c:ptCount val="3"/>
                <c:pt idx="0">
                  <c:v>38718</c:v>
                </c:pt>
                <c:pt idx="1">
                  <c:v>38749</c:v>
                </c:pt>
                <c:pt idx="2">
                  <c:v>38777</c:v>
                </c:pt>
              </c:numCache>
            </c:numRef>
          </c:cat>
          <c:val>
            <c:numRef>
              <c:f>Majetek!$E$21:$AB$21</c:f>
              <c:numCache>
                <c:formatCode>#,##0</c:formatCode>
                <c:ptCount val="3"/>
                <c:pt idx="0">
                  <c:v>2265</c:v>
                </c:pt>
                <c:pt idx="1">
                  <c:v>2265</c:v>
                </c:pt>
                <c:pt idx="2">
                  <c:v>2265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B-41CA-832D-2B6A84FCD067}"/>
            </c:ext>
          </c:extLst>
        </c:ser>
        <c:ser>
          <c:idx val="1"/>
          <c:order val="1"/>
          <c:tx>
            <c:strRef>
              <c:f>Majetek!$C$22</c:f>
              <c:strCache>
                <c:ptCount val="1"/>
                <c:pt idx="0">
                  <c:v>Účetní vstupní cena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Majetek!$E$20:$AB$20</c:f>
              <c:numCache>
                <c:formatCode>[$-405]mmmm\ yy;@</c:formatCode>
                <c:ptCount val="3"/>
                <c:pt idx="0">
                  <c:v>38718</c:v>
                </c:pt>
                <c:pt idx="1">
                  <c:v>38749</c:v>
                </c:pt>
                <c:pt idx="2">
                  <c:v>38777</c:v>
                </c:pt>
              </c:numCache>
            </c:numRef>
          </c:cat>
          <c:val>
            <c:numRef>
              <c:f>Majetek!$E$22:$AB$22</c:f>
              <c:numCache>
                <c:formatCode>#,##0</c:formatCode>
                <c:ptCount val="3"/>
                <c:pt idx="0">
                  <c:v>2265</c:v>
                </c:pt>
                <c:pt idx="1">
                  <c:v>2265</c:v>
                </c:pt>
                <c:pt idx="2">
                  <c:v>2265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B-41CA-832D-2B6A84FCD067}"/>
            </c:ext>
          </c:extLst>
        </c:ser>
        <c:ser>
          <c:idx val="2"/>
          <c:order val="2"/>
          <c:tx>
            <c:strRef>
              <c:f>Majetek!$C$23</c:f>
              <c:strCache>
                <c:ptCount val="1"/>
                <c:pt idx="0">
                  <c:v>Daňová zůstatková cena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Majetek!$E$20:$AB$20</c:f>
              <c:numCache>
                <c:formatCode>[$-405]mmmm\ yy;@</c:formatCode>
                <c:ptCount val="3"/>
                <c:pt idx="0">
                  <c:v>38718</c:v>
                </c:pt>
                <c:pt idx="1">
                  <c:v>38749</c:v>
                </c:pt>
                <c:pt idx="2">
                  <c:v>38777</c:v>
                </c:pt>
              </c:numCache>
            </c:numRef>
          </c:cat>
          <c:val>
            <c:numRef>
              <c:f>Majetek!$E$23:$AB$23</c:f>
              <c:numCache>
                <c:formatCode>#,##0</c:formatCode>
                <c:ptCount val="3"/>
                <c:pt idx="0">
                  <c:v>2160.5070000000001</c:v>
                </c:pt>
                <c:pt idx="1">
                  <c:v>2145.8139999999999</c:v>
                </c:pt>
                <c:pt idx="2">
                  <c:v>2131.1219999999998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B-41CA-832D-2B6A84FCD067}"/>
            </c:ext>
          </c:extLst>
        </c:ser>
        <c:ser>
          <c:idx val="3"/>
          <c:order val="3"/>
          <c:tx>
            <c:strRef>
              <c:f>Majetek!$C$24</c:f>
              <c:strCache>
                <c:ptCount val="1"/>
                <c:pt idx="0">
                  <c:v>Účetní zůstatková cena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Majetek!$E$20:$AB$20</c:f>
              <c:numCache>
                <c:formatCode>[$-405]mmmm\ yy;@</c:formatCode>
                <c:ptCount val="3"/>
                <c:pt idx="0">
                  <c:v>38718</c:v>
                </c:pt>
                <c:pt idx="1">
                  <c:v>38749</c:v>
                </c:pt>
                <c:pt idx="2">
                  <c:v>38777</c:v>
                </c:pt>
              </c:numCache>
            </c:numRef>
          </c:cat>
          <c:val>
            <c:numRef>
              <c:f>Majetek!$E$24:$AB$24</c:f>
              <c:numCache>
                <c:formatCode>#,##0</c:formatCode>
                <c:ptCount val="3"/>
                <c:pt idx="0">
                  <c:v>2160.5070000000001</c:v>
                </c:pt>
                <c:pt idx="1">
                  <c:v>2145.8139999999999</c:v>
                </c:pt>
                <c:pt idx="2">
                  <c:v>2131.1219999999998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EAB-41CA-832D-2B6A84FCD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2292920"/>
        <c:axId val="712293576"/>
      </c:barChart>
      <c:catAx>
        <c:axId val="712292920"/>
        <c:scaling>
          <c:orientation val="minMax"/>
        </c:scaling>
        <c:delete val="0"/>
        <c:axPos val="b"/>
        <c:numFmt formatCode="[$-405]mmmm\ 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12293576"/>
        <c:crosses val="autoZero"/>
        <c:auto val="0"/>
        <c:lblAlgn val="ctr"/>
        <c:lblOffset val="100"/>
        <c:noMultiLvlLbl val="0"/>
      </c:catAx>
      <c:valAx>
        <c:axId val="712293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12292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Hrubá mzda v poměru k počtu mzdových listů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barChart>
        <c:barDir val="col"/>
        <c:grouping val="clustered"/>
        <c:varyColors val="0"/>
        <c:ser>
          <c:idx val="4"/>
          <c:order val="4"/>
          <c:tx>
            <c:strRef>
              <c:f>Mzdy!$C$13</c:f>
              <c:strCache>
                <c:ptCount val="1"/>
                <c:pt idx="0">
                  <c:v>hrubá mzda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Mzdy!$E$8:$AB$8</c:f>
              <c:numCache>
                <c:formatCode>\y\y\y\y\/mm</c:formatCode>
                <c:ptCount val="3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</c:numCache>
            </c:numRef>
          </c:cat>
          <c:val>
            <c:numRef>
              <c:f>Mzdy!$E$13:$AB$13</c:f>
              <c:numCache>
                <c:formatCode>#,##0</c:formatCode>
                <c:ptCount val="3"/>
                <c:pt idx="0">
                  <c:v>121.041</c:v>
                </c:pt>
                <c:pt idx="1">
                  <c:v>124</c:v>
                </c:pt>
                <c:pt idx="2">
                  <c:v>124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43A-4415-ABA3-79714E70E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27602248"/>
        <c:axId val="527603888"/>
      </c:barChart>
      <c:lineChart>
        <c:grouping val="standard"/>
        <c:varyColors val="0"/>
        <c:ser>
          <c:idx val="0"/>
          <c:order val="0"/>
          <c:tx>
            <c:strRef>
              <c:f>Mzdy!$C$9</c:f>
              <c:strCache>
                <c:ptCount val="1"/>
                <c:pt idx="0">
                  <c:v>počet mzdových listů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Mzdy!$E$8:$AB$8</c:f>
              <c:numCache>
                <c:formatCode>\y\y\y\y\/mm</c:formatCode>
                <c:ptCount val="3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</c:numCache>
            </c:numRef>
          </c:cat>
          <c:val>
            <c:numRef>
              <c:f>Mzdy!$E$9:$AB$9</c:f>
              <c:numCache>
                <c:formatCode>#,##0</c:formatCode>
                <c:ptCount val="3"/>
                <c:pt idx="0">
                  <c:v>6</c:v>
                </c:pt>
                <c:pt idx="1">
                  <c:v>6</c:v>
                </c:pt>
                <c:pt idx="2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3A-4415-ABA3-79714E70E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6427368"/>
        <c:axId val="596423760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Mzdy!$C$10:$D$10</c15:sqref>
                        </c15:formulaRef>
                      </c:ext>
                    </c:extLst>
                    <c:strCache>
                      <c:ptCount val="2"/>
                      <c:pt idx="0">
                        <c:v>úvazky v hodinách</c:v>
                      </c:pt>
                      <c:pt idx="1">
                        <c:v>d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Mzdy!$E$8:$AB$8</c15:sqref>
                        </c15:formulaRef>
                      </c:ext>
                    </c:extLst>
                    <c:numCache>
                      <c:formatCode>\y\y\y\y\/mm</c:formatCode>
                      <c:ptCount val="3"/>
                      <c:pt idx="0">
                        <c:v>41640</c:v>
                      </c:pt>
                      <c:pt idx="1">
                        <c:v>41671</c:v>
                      </c:pt>
                      <c:pt idx="2">
                        <c:v>41699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Mzdy!$E$10:$AB$10</c15:sqref>
                        </c15:formulaRef>
                      </c:ext>
                    </c:extLst>
                    <c:numCache>
                      <c:formatCode>#,##0</c:formatCode>
                      <c:ptCount val="3"/>
                      <c:pt idx="0">
                        <c:v>240</c:v>
                      </c:pt>
                      <c:pt idx="1">
                        <c:v>240</c:v>
                      </c:pt>
                      <c:pt idx="2">
                        <c:v>240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543A-4415-ABA3-79714E70E63C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Mzdy!$C$11:$D$11</c15:sqref>
                        </c15:formulaRef>
                      </c:ext>
                    </c:extLst>
                    <c:strCache>
                      <c:ptCount val="2"/>
                      <c:pt idx="0">
                        <c:v>fond pracovní doby</c:v>
                      </c:pt>
                      <c:pt idx="1">
                        <c:v>f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Mzdy!$E$8:$AB$8</c15:sqref>
                        </c15:formulaRef>
                      </c:ext>
                    </c:extLst>
                    <c:numCache>
                      <c:formatCode>\y\y\y\y\/mm</c:formatCode>
                      <c:ptCount val="3"/>
                      <c:pt idx="0">
                        <c:v>41640</c:v>
                      </c:pt>
                      <c:pt idx="1">
                        <c:v>41671</c:v>
                      </c:pt>
                      <c:pt idx="2">
                        <c:v>41699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Mzdy!$E$11:$AB$11</c15:sqref>
                        </c15:formulaRef>
                      </c:ext>
                    </c:extLst>
                    <c:numCache>
                      <c:formatCode>#,##0</c:formatCode>
                      <c:ptCount val="3"/>
                      <c:pt idx="0">
                        <c:v>1056</c:v>
                      </c:pt>
                      <c:pt idx="1">
                        <c:v>960</c:v>
                      </c:pt>
                      <c:pt idx="2">
                        <c:v>1008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543A-4415-ABA3-79714E70E63C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Mzdy!$C$12:$D$12</c15:sqref>
                        </c15:formulaRef>
                      </c:ext>
                    </c:extLst>
                    <c:strCache>
                      <c:ptCount val="2"/>
                      <c:pt idx="0">
                        <c:v>odpracovaná doba</c:v>
                      </c:pt>
                      <c:pt idx="1">
                        <c:v>t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Mzdy!$E$8:$AB$8</c15:sqref>
                        </c15:formulaRef>
                      </c:ext>
                    </c:extLst>
                    <c:numCache>
                      <c:formatCode>\y\y\y\y\/mm</c:formatCode>
                      <c:ptCount val="3"/>
                      <c:pt idx="0">
                        <c:v>41640</c:v>
                      </c:pt>
                      <c:pt idx="1">
                        <c:v>41671</c:v>
                      </c:pt>
                      <c:pt idx="2">
                        <c:v>41699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Mzdy!$E$12:$AB$12</c15:sqref>
                        </c15:formulaRef>
                      </c:ext>
                    </c:extLst>
                    <c:numCache>
                      <c:formatCode>#,##0</c:formatCode>
                      <c:ptCount val="3"/>
                      <c:pt idx="0">
                        <c:v>1056</c:v>
                      </c:pt>
                      <c:pt idx="1">
                        <c:v>960</c:v>
                      </c:pt>
                      <c:pt idx="2">
                        <c:v>1008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543A-4415-ABA3-79714E70E63C}"/>
                  </c:ext>
                </c:extLst>
              </c15:ser>
            </c15:filteredLineSeries>
          </c:ext>
        </c:extLst>
      </c:lineChart>
      <c:dateAx>
        <c:axId val="527602248"/>
        <c:scaling>
          <c:orientation val="minMax"/>
        </c:scaling>
        <c:delete val="0"/>
        <c:axPos val="b"/>
        <c:numFmt formatCode="\y\y\y\y\/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27603888"/>
        <c:crosses val="autoZero"/>
        <c:auto val="1"/>
        <c:lblOffset val="100"/>
        <c:baseTimeUnit val="months"/>
      </c:dateAx>
      <c:valAx>
        <c:axId val="52760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27602248"/>
        <c:crosses val="autoZero"/>
        <c:crossBetween val="between"/>
      </c:valAx>
      <c:valAx>
        <c:axId val="596423760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96427368"/>
        <c:crosses val="max"/>
        <c:crossBetween val="between"/>
      </c:valAx>
      <c:dateAx>
        <c:axId val="596427368"/>
        <c:scaling>
          <c:orientation val="minMax"/>
        </c:scaling>
        <c:delete val="1"/>
        <c:axPos val="b"/>
        <c:numFmt formatCode="\y\y\y\y\/mm" sourceLinked="1"/>
        <c:majorTickMark val="out"/>
        <c:minorTickMark val="none"/>
        <c:tickLblPos val="nextTo"/>
        <c:crossAx val="596423760"/>
        <c:crosses val="autoZero"/>
        <c:auto val="1"/>
        <c:lblOffset val="100"/>
        <c:baseTimeUnit val="months"/>
        <c:majorUnit val="1"/>
        <c:minorUnit val="1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Pracovní doby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Mzdy!$C$11</c:f>
              <c:strCache>
                <c:ptCount val="1"/>
                <c:pt idx="0">
                  <c:v>fond pracovní doby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Mzdy!$E$8:$AB$8</c:f>
              <c:numCache>
                <c:formatCode>\y\y\y\y\/mm</c:formatCode>
                <c:ptCount val="3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</c:numCache>
            </c:numRef>
          </c:cat>
          <c:val>
            <c:numRef>
              <c:f>Mzdy!$E$11:$AB$11</c:f>
              <c:numCache>
                <c:formatCode>#,##0</c:formatCode>
                <c:ptCount val="3"/>
                <c:pt idx="0">
                  <c:v>1056</c:v>
                </c:pt>
                <c:pt idx="1">
                  <c:v>960</c:v>
                </c:pt>
                <c:pt idx="2">
                  <c:v>1008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C20-456B-9C7D-2A6B837173B8}"/>
            </c:ext>
          </c:extLst>
        </c:ser>
        <c:ser>
          <c:idx val="3"/>
          <c:order val="3"/>
          <c:tx>
            <c:strRef>
              <c:f>Mzdy!$C$12</c:f>
              <c:strCache>
                <c:ptCount val="1"/>
                <c:pt idx="0">
                  <c:v>odpracovaná doba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Mzdy!$E$8:$AB$8</c:f>
              <c:numCache>
                <c:formatCode>\y\y\y\y\/mm</c:formatCode>
                <c:ptCount val="3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</c:numCache>
            </c:numRef>
          </c:cat>
          <c:val>
            <c:numRef>
              <c:f>Mzdy!$E$12:$AB$12</c:f>
              <c:numCache>
                <c:formatCode>#,##0</c:formatCode>
                <c:ptCount val="3"/>
                <c:pt idx="0">
                  <c:v>1056</c:v>
                </c:pt>
                <c:pt idx="1">
                  <c:v>960</c:v>
                </c:pt>
                <c:pt idx="2">
                  <c:v>1008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C20-456B-9C7D-2A6B837173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27602248"/>
        <c:axId val="527603888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Mzdy!$C$9:$D$9</c15:sqref>
                        </c15:formulaRef>
                      </c:ext>
                    </c:extLst>
                    <c:strCache>
                      <c:ptCount val="2"/>
                      <c:pt idx="0">
                        <c:v>počet mzdových listů</c:v>
                      </c:pt>
                      <c:pt idx="1">
                        <c:v>n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Mzdy!$E$8:$AB$8</c15:sqref>
                        </c15:formulaRef>
                      </c:ext>
                    </c:extLst>
                    <c:numCache>
                      <c:formatCode>\y\y\y\y\/mm</c:formatCode>
                      <c:ptCount val="3"/>
                      <c:pt idx="0">
                        <c:v>41640</c:v>
                      </c:pt>
                      <c:pt idx="1">
                        <c:v>41671</c:v>
                      </c:pt>
                      <c:pt idx="2">
                        <c:v>41699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Mzdy!$E$9:$AB$9</c15:sqref>
                        </c15:formulaRef>
                      </c:ext>
                    </c:extLst>
                    <c:numCache>
                      <c:formatCode>#,##0</c:formatCode>
                      <c:ptCount val="3"/>
                      <c:pt idx="0">
                        <c:v>6</c:v>
                      </c:pt>
                      <c:pt idx="1">
                        <c:v>6</c:v>
                      </c:pt>
                      <c:pt idx="2">
                        <c:v>6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DC20-456B-9C7D-2A6B837173B8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Mzdy!$C$13:$D$13</c15:sqref>
                        </c15:formulaRef>
                      </c:ext>
                    </c:extLst>
                    <c:strCache>
                      <c:ptCount val="2"/>
                      <c:pt idx="0">
                        <c:v>hrubá mzda</c:v>
                      </c:pt>
                      <c:pt idx="1">
                        <c:v>g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Mzdy!$E$8:$AB$8</c15:sqref>
                        </c15:formulaRef>
                      </c:ext>
                    </c:extLst>
                    <c:numCache>
                      <c:formatCode>\y\y\y\y\/mm</c:formatCode>
                      <c:ptCount val="3"/>
                      <c:pt idx="0">
                        <c:v>41640</c:v>
                      </c:pt>
                      <c:pt idx="1">
                        <c:v>41671</c:v>
                      </c:pt>
                      <c:pt idx="2">
                        <c:v>41699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Mzdy!$E$13:$AB$13</c15:sqref>
                        </c15:formulaRef>
                      </c:ext>
                    </c:extLst>
                    <c:numCache>
                      <c:formatCode>#,##0</c:formatCode>
                      <c:ptCount val="3"/>
                      <c:pt idx="0">
                        <c:v>121.041</c:v>
                      </c:pt>
                      <c:pt idx="1">
                        <c:v>124</c:v>
                      </c:pt>
                      <c:pt idx="2">
                        <c:v>124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DC20-456B-9C7D-2A6B837173B8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1"/>
          <c:order val="1"/>
          <c:tx>
            <c:strRef>
              <c:f>Mzdy!$C$10</c:f>
              <c:strCache>
                <c:ptCount val="1"/>
                <c:pt idx="0">
                  <c:v>úvazky v hodinách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Mzdy!$E$8:$AB$8</c:f>
              <c:numCache>
                <c:formatCode>\y\y\y\y\/mm</c:formatCode>
                <c:ptCount val="3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</c:numCache>
            </c:numRef>
          </c:cat>
          <c:val>
            <c:numRef>
              <c:f>Mzdy!$E$10:$AB$10</c:f>
              <c:numCache>
                <c:formatCode>#,##0</c:formatCode>
                <c:ptCount val="3"/>
                <c:pt idx="0">
                  <c:v>240</c:v>
                </c:pt>
                <c:pt idx="1">
                  <c:v>240</c:v>
                </c:pt>
                <c:pt idx="2">
                  <c:v>240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20-456B-9C7D-2A6B837173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6425728"/>
        <c:axId val="596425400"/>
      </c:lineChart>
      <c:dateAx>
        <c:axId val="527602248"/>
        <c:scaling>
          <c:orientation val="minMax"/>
        </c:scaling>
        <c:delete val="0"/>
        <c:axPos val="b"/>
        <c:numFmt formatCode="\y\y\y\y\/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27603888"/>
        <c:crosses val="autoZero"/>
        <c:auto val="1"/>
        <c:lblOffset val="100"/>
        <c:baseTimeUnit val="months"/>
      </c:dateAx>
      <c:valAx>
        <c:axId val="52760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27602248"/>
        <c:crosses val="autoZero"/>
        <c:crossBetween val="between"/>
      </c:valAx>
      <c:valAx>
        <c:axId val="596425400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96425728"/>
        <c:crosses val="max"/>
        <c:crossBetween val="between"/>
      </c:valAx>
      <c:dateAx>
        <c:axId val="596425728"/>
        <c:scaling>
          <c:orientation val="minMax"/>
        </c:scaling>
        <c:delete val="1"/>
        <c:axPos val="b"/>
        <c:numFmt formatCode="\y\y\y\y\/mm" sourceLinked="1"/>
        <c:majorTickMark val="out"/>
        <c:minorTickMark val="none"/>
        <c:tickLblPos val="nextTo"/>
        <c:crossAx val="596425400"/>
        <c:crosses val="autoZero"/>
        <c:auto val="1"/>
        <c:lblOffset val="100"/>
        <c:baseTimeUnit val="month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13608</xdr:colOff>
      <xdr:row>26</xdr:row>
      <xdr:rowOff>81644</xdr:rowOff>
    </xdr:from>
    <xdr:to>
      <xdr:col>46</xdr:col>
      <xdr:colOff>838200</xdr:colOff>
      <xdr:row>50</xdr:row>
      <xdr:rowOff>88900</xdr:rowOff>
    </xdr:to>
    <xdr:graphicFrame macro="">
      <xdr:nvGraphicFramePr>
        <xdr:cNvPr id="3" name="Graf 2">
          <a:extLst>
            <a:ext uri="{FF2B5EF4-FFF2-40B4-BE49-F238E27FC236}">
              <a16:creationId xmlns:a16="http://schemas.microsoft.com/office/drawing/2014/main" id="{08779E59-0BBD-4053-B564-7E4A816B77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4142</xdr:colOff>
      <xdr:row>11</xdr:row>
      <xdr:rowOff>103531</xdr:rowOff>
    </xdr:from>
    <xdr:to>
      <xdr:col>46</xdr:col>
      <xdr:colOff>830036</xdr:colOff>
      <xdr:row>35</xdr:row>
      <xdr:rowOff>54428</xdr:rowOff>
    </xdr:to>
    <xdr:graphicFrame macro="">
      <xdr:nvGraphicFramePr>
        <xdr:cNvPr id="4" name="Graf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11625</xdr:colOff>
      <xdr:row>11</xdr:row>
      <xdr:rowOff>89261</xdr:rowOff>
    </xdr:from>
    <xdr:to>
      <xdr:col>33</xdr:col>
      <xdr:colOff>813954</xdr:colOff>
      <xdr:row>36</xdr:row>
      <xdr:rowOff>164644</xdr:rowOff>
    </xdr:to>
    <xdr:graphicFrame macro="">
      <xdr:nvGraphicFramePr>
        <xdr:cNvPr id="3" name="Graf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2386</xdr:colOff>
      <xdr:row>18</xdr:row>
      <xdr:rowOff>128432</xdr:rowOff>
    </xdr:from>
    <xdr:to>
      <xdr:col>28</xdr:col>
      <xdr:colOff>122464</xdr:colOff>
      <xdr:row>41</xdr:row>
      <xdr:rowOff>27215</xdr:rowOff>
    </xdr:to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8A4CE06F-8F22-42FD-95B2-262BEE1E39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4481</xdr:colOff>
      <xdr:row>41</xdr:row>
      <xdr:rowOff>125671</xdr:rowOff>
    </xdr:from>
    <xdr:to>
      <xdr:col>28</xdr:col>
      <xdr:colOff>122464</xdr:colOff>
      <xdr:row>63</xdr:row>
      <xdr:rowOff>163286</xdr:rowOff>
    </xdr:to>
    <xdr:graphicFrame macro="">
      <xdr:nvGraphicFramePr>
        <xdr:cNvPr id="5" name="Graf 4">
          <a:extLst>
            <a:ext uri="{FF2B5EF4-FFF2-40B4-BE49-F238E27FC236}">
              <a16:creationId xmlns:a16="http://schemas.microsoft.com/office/drawing/2014/main" id="{5E7A7DFC-0850-416D-B73D-D75E36DDF0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11204</xdr:colOff>
      <xdr:row>12</xdr:row>
      <xdr:rowOff>114388</xdr:rowOff>
    </xdr:from>
    <xdr:to>
      <xdr:col>27</xdr:col>
      <xdr:colOff>831272</xdr:colOff>
      <xdr:row>32</xdr:row>
      <xdr:rowOff>33986</xdr:rowOff>
    </xdr:to>
    <xdr:graphicFrame macro="">
      <xdr:nvGraphicFramePr>
        <xdr:cNvPr id="3" name="Graf 2">
          <a:extLst>
            <a:ext uri="{FF2B5EF4-FFF2-40B4-BE49-F238E27FC236}">
              <a16:creationId xmlns:a16="http://schemas.microsoft.com/office/drawing/2014/main" id="{7E478328-6EA5-45A9-BC78-FFDBD6AEEF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13605</xdr:colOff>
      <xdr:row>28</xdr:row>
      <xdr:rowOff>120588</xdr:rowOff>
    </xdr:from>
    <xdr:to>
      <xdr:col>28</xdr:col>
      <xdr:colOff>33617</xdr:colOff>
      <xdr:row>51</xdr:row>
      <xdr:rowOff>125186</xdr:rowOff>
    </xdr:to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4BA9EEB6-4233-420A-852A-528B00DB91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14285</xdr:colOff>
      <xdr:row>52</xdr:row>
      <xdr:rowOff>76614</xdr:rowOff>
    </xdr:from>
    <xdr:to>
      <xdr:col>28</xdr:col>
      <xdr:colOff>33617</xdr:colOff>
      <xdr:row>75</xdr:row>
      <xdr:rowOff>80944</xdr:rowOff>
    </xdr:to>
    <xdr:graphicFrame macro="">
      <xdr:nvGraphicFramePr>
        <xdr:cNvPr id="3" name="Graf 2">
          <a:extLst>
            <a:ext uri="{FF2B5EF4-FFF2-40B4-BE49-F238E27FC236}">
              <a16:creationId xmlns:a16="http://schemas.microsoft.com/office/drawing/2014/main" id="{536B8F98-5073-4BF6-A7A5-EDA3AC3388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16081</xdr:colOff>
      <xdr:row>25</xdr:row>
      <xdr:rowOff>82878</xdr:rowOff>
    </xdr:from>
    <xdr:to>
      <xdr:col>28</xdr:col>
      <xdr:colOff>34637</xdr:colOff>
      <xdr:row>49</xdr:row>
      <xdr:rowOff>50715</xdr:rowOff>
    </xdr:to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516F915C-404A-428B-B1F6-6F73BADCB4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16220</xdr:colOff>
      <xdr:row>49</xdr:row>
      <xdr:rowOff>166620</xdr:rowOff>
    </xdr:from>
    <xdr:to>
      <xdr:col>28</xdr:col>
      <xdr:colOff>33617</xdr:colOff>
      <xdr:row>73</xdr:row>
      <xdr:rowOff>134457</xdr:rowOff>
    </xdr:to>
    <xdr:graphicFrame macro="">
      <xdr:nvGraphicFramePr>
        <xdr:cNvPr id="3" name="Graf 2">
          <a:extLst>
            <a:ext uri="{FF2B5EF4-FFF2-40B4-BE49-F238E27FC236}">
              <a16:creationId xmlns:a16="http://schemas.microsoft.com/office/drawing/2014/main" id="{AB7FD66F-6BB5-48EF-80AB-62687249DD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6619</xdr:colOff>
      <xdr:row>14</xdr:row>
      <xdr:rowOff>107382</xdr:rowOff>
    </xdr:from>
    <xdr:to>
      <xdr:col>28</xdr:col>
      <xdr:colOff>38099</xdr:colOff>
      <xdr:row>36</xdr:row>
      <xdr:rowOff>7044</xdr:rowOff>
    </xdr:to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6267FF34-6D12-49EB-8113-D3649A5AE3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12123</xdr:colOff>
      <xdr:row>36</xdr:row>
      <xdr:rowOff>114300</xdr:rowOff>
    </xdr:from>
    <xdr:to>
      <xdr:col>28</xdr:col>
      <xdr:colOff>36635</xdr:colOff>
      <xdr:row>58</xdr:row>
      <xdr:rowOff>13962</xdr:rowOff>
    </xdr:to>
    <xdr:graphicFrame macro="">
      <xdr:nvGraphicFramePr>
        <xdr:cNvPr id="4" name="Graf 3">
          <a:extLst>
            <a:ext uri="{FF2B5EF4-FFF2-40B4-BE49-F238E27FC236}">
              <a16:creationId xmlns:a16="http://schemas.microsoft.com/office/drawing/2014/main" id="{01A7CC52-DC40-412F-A961-4A9F36DE63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4a49-abc3-4571eda3e01a1d202429da4e6api.abra.eu/cz" TargetMode="External"/><Relationship Id="rId1" Type="http://schemas.openxmlformats.org/officeDocument/2006/relationships/hyperlink" Target="http://localhost/data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7FE5F-4913-44E7-9F0D-DF1FDC6A184D}">
  <sheetPr codeName="List3"/>
  <dimension ref="B2:G7"/>
  <sheetViews>
    <sheetView showGridLines="0" workbookViewId="0">
      <selection activeCell="D21" sqref="D21"/>
    </sheetView>
  </sheetViews>
  <sheetFormatPr defaultRowHeight="12.75" x14ac:dyDescent="0.2"/>
  <cols>
    <col min="2" max="2" width="29.7109375" customWidth="1"/>
    <col min="3" max="3" width="59.7109375" customWidth="1"/>
  </cols>
  <sheetData>
    <row r="2" spans="2:7" x14ac:dyDescent="0.2">
      <c r="B2" s="225" t="s">
        <v>88</v>
      </c>
      <c r="C2" s="226"/>
    </row>
    <row r="3" spans="2:7" x14ac:dyDescent="0.2">
      <c r="B3" s="21" t="s">
        <v>89</v>
      </c>
      <c r="C3" s="23" t="s">
        <v>95</v>
      </c>
      <c r="G3" s="24" t="s">
        <v>96</v>
      </c>
    </row>
    <row r="4" spans="2:7" x14ac:dyDescent="0.2">
      <c r="B4" s="21" t="s">
        <v>90</v>
      </c>
      <c r="C4" s="21" t="s">
        <v>94</v>
      </c>
    </row>
    <row r="5" spans="2:7" x14ac:dyDescent="0.2">
      <c r="B5" s="21" t="s">
        <v>91</v>
      </c>
      <c r="C5" s="22"/>
    </row>
    <row r="6" spans="2:7" x14ac:dyDescent="0.2">
      <c r="B6" s="21" t="s">
        <v>92</v>
      </c>
      <c r="C6" s="21">
        <v>240</v>
      </c>
    </row>
    <row r="7" spans="2:7" x14ac:dyDescent="0.2">
      <c r="B7" s="21" t="s">
        <v>93</v>
      </c>
      <c r="C7" s="21">
        <v>5</v>
      </c>
    </row>
  </sheetData>
  <mergeCells count="1">
    <mergeCell ref="B2:C2"/>
  </mergeCells>
  <hyperlinks>
    <hyperlink ref="C3" r:id="rId1" xr:uid="{F5085423-9FF4-46CD-B4C6-77B26901DE5F}"/>
    <hyperlink ref="G3" r:id="rId2" xr:uid="{CA30B4E7-E306-41F6-817D-92F57CA58F55}"/>
  </hyperlinks>
  <pageMargins left="0.7" right="0.7" top="0.78740157499999996" bottom="0.78740157499999996" header="0.3" footer="0.3"/>
  <pageSetup paperSize="9"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List1"/>
  <dimension ref="A1:HC37"/>
  <sheetViews>
    <sheetView zoomScale="85" zoomScaleNormal="85" zoomScalePageLayoutView="130" workbookViewId="0">
      <selection activeCell="AX20" sqref="AX20"/>
    </sheetView>
  </sheetViews>
  <sheetFormatPr defaultColWidth="9.140625" defaultRowHeight="15" customHeight="1" outlineLevelCol="1" x14ac:dyDescent="0.2"/>
  <cols>
    <col min="1" max="1" width="1.7109375" style="41" customWidth="1"/>
    <col min="2" max="2" width="31.5703125" style="72" customWidth="1"/>
    <col min="3" max="3" width="12.7109375" style="72" customWidth="1"/>
    <col min="4" max="20" width="12.7109375" style="73" hidden="1" customWidth="1" outlineLevel="1"/>
    <col min="21" max="21" width="12.7109375" style="74" hidden="1" customWidth="1" outlineLevel="1"/>
    <col min="22" max="26" width="12.7109375" style="75" hidden="1" customWidth="1" outlineLevel="1"/>
    <col min="27" max="27" width="12.7109375" style="73" hidden="1" customWidth="1" outlineLevel="1"/>
    <col min="28" max="28" width="12.7109375" style="73" customWidth="1" collapsed="1"/>
    <col min="29" max="33" width="12.7109375" style="93" hidden="1" customWidth="1" outlineLevel="1"/>
    <col min="34" max="34" width="12.7109375" style="93" customWidth="1" collapsed="1"/>
    <col min="35" max="46" width="12.7109375" style="73" hidden="1" customWidth="1" outlineLevel="1"/>
    <col min="47" max="47" width="12.7109375" style="73" customWidth="1" collapsed="1"/>
    <col min="48" max="211" width="9.140625" style="73"/>
    <col min="212" max="16384" width="9.140625" style="94"/>
  </cols>
  <sheetData>
    <row r="1" spans="1:50" ht="10.35" customHeight="1" thickBot="1" x14ac:dyDescent="0.25"/>
    <row r="2" spans="1:50" ht="15" customHeight="1" x14ac:dyDescent="0.2">
      <c r="B2" s="95" t="s">
        <v>47</v>
      </c>
      <c r="C2" s="96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6"/>
      <c r="R2" s="96"/>
      <c r="S2" s="96"/>
      <c r="T2" s="96"/>
      <c r="U2" s="96"/>
      <c r="V2" s="96"/>
      <c r="W2" s="96"/>
      <c r="X2" s="96"/>
      <c r="Y2" s="96"/>
      <c r="Z2" s="96"/>
      <c r="AA2" s="96"/>
      <c r="AB2" s="97"/>
      <c r="AC2" s="96"/>
      <c r="AD2" s="87"/>
      <c r="AE2" s="87"/>
      <c r="AF2" s="87"/>
      <c r="AG2" s="87"/>
      <c r="AH2" s="88" t="s">
        <v>40</v>
      </c>
      <c r="AI2" s="87"/>
      <c r="AJ2" s="96"/>
      <c r="AK2" s="96"/>
      <c r="AL2" s="96"/>
      <c r="AM2" s="96"/>
      <c r="AN2" s="96"/>
      <c r="AO2" s="96"/>
      <c r="AP2" s="96"/>
      <c r="AQ2" s="96"/>
      <c r="AR2" s="96"/>
      <c r="AS2" s="96"/>
      <c r="AT2" s="96"/>
      <c r="AU2" s="88" t="s">
        <v>38</v>
      </c>
    </row>
    <row r="3" spans="1:50" ht="15" customHeight="1" x14ac:dyDescent="0.2">
      <c r="B3" s="89" t="s">
        <v>120</v>
      </c>
      <c r="C3" s="27">
        <v>42735</v>
      </c>
      <c r="D3" s="98"/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8"/>
      <c r="V3" s="98"/>
      <c r="W3" s="98"/>
      <c r="X3" s="98"/>
      <c r="Y3" s="98"/>
      <c r="Z3" s="98"/>
      <c r="AA3" s="98"/>
      <c r="AB3" s="99"/>
      <c r="AC3" s="98"/>
      <c r="AD3" s="90"/>
      <c r="AE3" s="90"/>
      <c r="AF3" s="90"/>
      <c r="AG3" s="90"/>
      <c r="AH3" s="91"/>
      <c r="AI3" s="100"/>
      <c r="AJ3" s="98"/>
      <c r="AK3" s="98"/>
      <c r="AL3" s="98"/>
      <c r="AM3" s="98"/>
      <c r="AN3" s="98"/>
      <c r="AO3" s="98"/>
      <c r="AP3" s="98"/>
      <c r="AQ3" s="98"/>
      <c r="AR3" s="98"/>
      <c r="AS3" s="98"/>
      <c r="AT3" s="98"/>
      <c r="AU3" s="99"/>
    </row>
    <row r="4" spans="1:50" ht="15" customHeight="1" x14ac:dyDescent="0.2">
      <c r="B4" s="101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9"/>
      <c r="AC4" s="98"/>
      <c r="AD4" s="90"/>
      <c r="AE4" s="90"/>
      <c r="AF4" s="90"/>
      <c r="AG4" s="90"/>
      <c r="AH4" s="91"/>
      <c r="AI4" s="98"/>
      <c r="AJ4" s="98"/>
      <c r="AK4" s="98"/>
      <c r="AL4" s="98"/>
      <c r="AM4" s="98"/>
      <c r="AN4" s="98"/>
      <c r="AO4" s="98"/>
      <c r="AP4" s="98"/>
      <c r="AQ4" s="98"/>
      <c r="AR4" s="98"/>
      <c r="AS4" s="98"/>
      <c r="AT4" s="98"/>
      <c r="AU4" s="99"/>
    </row>
    <row r="5" spans="1:50" ht="15" customHeight="1" thickBot="1" x14ac:dyDescent="0.25">
      <c r="B5" s="102"/>
      <c r="C5" s="103"/>
      <c r="D5" s="98"/>
      <c r="E5" s="98"/>
      <c r="F5" s="98"/>
      <c r="G5" s="98"/>
      <c r="H5" s="98"/>
      <c r="I5" s="98"/>
      <c r="J5" s="98"/>
      <c r="K5" s="98"/>
      <c r="L5" s="98"/>
      <c r="M5" s="98"/>
      <c r="N5" s="98"/>
      <c r="O5" s="98"/>
      <c r="P5" s="98"/>
      <c r="Q5" s="98"/>
      <c r="R5" s="98"/>
      <c r="S5" s="98"/>
      <c r="T5" s="98"/>
      <c r="U5" s="98"/>
      <c r="V5" s="98"/>
      <c r="W5" s="98"/>
      <c r="X5" s="98"/>
      <c r="Y5" s="98"/>
      <c r="Z5" s="98"/>
      <c r="AA5" s="98"/>
      <c r="AB5" s="104"/>
      <c r="AC5" s="98"/>
      <c r="AD5" s="90"/>
      <c r="AE5" s="90"/>
      <c r="AF5" s="90"/>
      <c r="AG5" s="90"/>
      <c r="AH5" s="91"/>
      <c r="AI5" s="103"/>
      <c r="AJ5" s="103"/>
      <c r="AK5" s="98"/>
      <c r="AL5" s="98"/>
      <c r="AM5" s="98"/>
      <c r="AN5" s="98"/>
      <c r="AO5" s="98"/>
      <c r="AP5" s="98"/>
      <c r="AQ5" s="98"/>
      <c r="AR5" s="98"/>
      <c r="AS5" s="98"/>
      <c r="AT5" s="98"/>
      <c r="AU5" s="99"/>
    </row>
    <row r="6" spans="1:50" s="49" customFormat="1" ht="15" customHeight="1" x14ac:dyDescent="0.2">
      <c r="A6" s="47"/>
      <c r="B6" s="235"/>
      <c r="C6" s="236"/>
      <c r="D6" s="54">
        <f t="shared" ref="D6:AA6" ca="1" si="0">D7-IF(MONTH(D7)=2,IF(OR(YEAR(D7)=2008,YEAR(D7)=2012,YEAR(D7)=2016),29,28),IF(OR(MONTH(D7)=4,MONTH(D7)=6,MONTH(D7)=9,MONTH(D7)=11),30,31))+1</f>
        <v>42005</v>
      </c>
      <c r="E6" s="55">
        <f t="shared" ca="1" si="0"/>
        <v>42036</v>
      </c>
      <c r="F6" s="55">
        <f t="shared" ca="1" si="0"/>
        <v>42064</v>
      </c>
      <c r="G6" s="55">
        <f t="shared" ca="1" si="0"/>
        <v>42095</v>
      </c>
      <c r="H6" s="55">
        <f t="shared" ca="1" si="0"/>
        <v>42125</v>
      </c>
      <c r="I6" s="55">
        <f t="shared" ca="1" si="0"/>
        <v>42156</v>
      </c>
      <c r="J6" s="55">
        <f t="shared" ca="1" si="0"/>
        <v>42186</v>
      </c>
      <c r="K6" s="55">
        <f t="shared" ca="1" si="0"/>
        <v>42217</v>
      </c>
      <c r="L6" s="55">
        <f t="shared" ca="1" si="0"/>
        <v>42248</v>
      </c>
      <c r="M6" s="55">
        <f t="shared" ca="1" si="0"/>
        <v>42278</v>
      </c>
      <c r="N6" s="55">
        <f t="shared" ca="1" si="0"/>
        <v>42309</v>
      </c>
      <c r="O6" s="55">
        <f t="shared" ca="1" si="0"/>
        <v>42339</v>
      </c>
      <c r="P6" s="55">
        <f t="shared" ca="1" si="0"/>
        <v>42370</v>
      </c>
      <c r="Q6" s="55">
        <f t="shared" ca="1" si="0"/>
        <v>42401</v>
      </c>
      <c r="R6" s="55">
        <f t="shared" ca="1" si="0"/>
        <v>42430</v>
      </c>
      <c r="S6" s="55">
        <f t="shared" ca="1" si="0"/>
        <v>42461</v>
      </c>
      <c r="T6" s="55">
        <f t="shared" ca="1" si="0"/>
        <v>42491</v>
      </c>
      <c r="U6" s="55">
        <f t="shared" ca="1" si="0"/>
        <v>42522</v>
      </c>
      <c r="V6" s="55">
        <f t="shared" ca="1" si="0"/>
        <v>42552</v>
      </c>
      <c r="W6" s="55">
        <f t="shared" ca="1" si="0"/>
        <v>42583</v>
      </c>
      <c r="X6" s="55">
        <f t="shared" ca="1" si="0"/>
        <v>42614</v>
      </c>
      <c r="Y6" s="55">
        <f t="shared" ca="1" si="0"/>
        <v>42644</v>
      </c>
      <c r="Z6" s="55">
        <f t="shared" ca="1" si="0"/>
        <v>42675</v>
      </c>
      <c r="AA6" s="55">
        <f t="shared" ca="1" si="0"/>
        <v>42705</v>
      </c>
      <c r="AB6" s="231"/>
      <c r="AC6" s="87"/>
      <c r="AD6" s="87"/>
      <c r="AE6" s="87"/>
      <c r="AF6" s="87"/>
      <c r="AG6" s="87"/>
      <c r="AH6" s="233"/>
      <c r="AI6" s="54">
        <f ca="1">AA7+1</f>
        <v>42736</v>
      </c>
      <c r="AJ6" s="55">
        <f ca="1">AI7+1</f>
        <v>42767</v>
      </c>
      <c r="AK6" s="55">
        <f ca="1">AJ7+1</f>
        <v>42795</v>
      </c>
      <c r="AL6" s="55">
        <f ca="1">AK7+1</f>
        <v>42826</v>
      </c>
      <c r="AM6" s="55">
        <f ca="1">AL7+1</f>
        <v>42856</v>
      </c>
      <c r="AN6" s="55">
        <f t="shared" ref="AN6:AT6" ca="1" si="1">AM7+1</f>
        <v>42887</v>
      </c>
      <c r="AO6" s="55">
        <f t="shared" ca="1" si="1"/>
        <v>42917</v>
      </c>
      <c r="AP6" s="55">
        <f t="shared" ca="1" si="1"/>
        <v>42948</v>
      </c>
      <c r="AQ6" s="55">
        <f t="shared" ca="1" si="1"/>
        <v>42979</v>
      </c>
      <c r="AR6" s="55">
        <f t="shared" ca="1" si="1"/>
        <v>43009</v>
      </c>
      <c r="AS6" s="55">
        <f t="shared" ca="1" si="1"/>
        <v>43040</v>
      </c>
      <c r="AT6" s="105">
        <f t="shared" ca="1" si="1"/>
        <v>43070</v>
      </c>
      <c r="AU6" s="227"/>
    </row>
    <row r="7" spans="1:50" s="49" customFormat="1" ht="15" customHeight="1" thickBot="1" x14ac:dyDescent="0.25">
      <c r="A7" s="47"/>
      <c r="B7" s="237"/>
      <c r="C7" s="238"/>
      <c r="D7" s="56">
        <f t="shared" ref="D7:Z7" ca="1" si="2">E6-1</f>
        <v>42035</v>
      </c>
      <c r="E7" s="57">
        <f t="shared" ca="1" si="2"/>
        <v>42063</v>
      </c>
      <c r="F7" s="57">
        <f t="shared" ca="1" si="2"/>
        <v>42094</v>
      </c>
      <c r="G7" s="57">
        <f t="shared" ca="1" si="2"/>
        <v>42124</v>
      </c>
      <c r="H7" s="57">
        <f t="shared" ca="1" si="2"/>
        <v>42155</v>
      </c>
      <c r="I7" s="57">
        <f t="shared" ca="1" si="2"/>
        <v>42185</v>
      </c>
      <c r="J7" s="57">
        <f t="shared" ca="1" si="2"/>
        <v>42216</v>
      </c>
      <c r="K7" s="57">
        <f t="shared" ca="1" si="2"/>
        <v>42247</v>
      </c>
      <c r="L7" s="57">
        <f t="shared" ca="1" si="2"/>
        <v>42277</v>
      </c>
      <c r="M7" s="57">
        <f t="shared" ca="1" si="2"/>
        <v>42308</v>
      </c>
      <c r="N7" s="57">
        <f t="shared" ca="1" si="2"/>
        <v>42338</v>
      </c>
      <c r="O7" s="57">
        <f t="shared" ca="1" si="2"/>
        <v>42369</v>
      </c>
      <c r="P7" s="57">
        <f t="shared" ca="1" si="2"/>
        <v>42400</v>
      </c>
      <c r="Q7" s="57">
        <f t="shared" ca="1" si="2"/>
        <v>42429</v>
      </c>
      <c r="R7" s="57">
        <f t="shared" ca="1" si="2"/>
        <v>42460</v>
      </c>
      <c r="S7" s="57">
        <f t="shared" ca="1" si="2"/>
        <v>42490</v>
      </c>
      <c r="T7" s="57">
        <f t="shared" ca="1" si="2"/>
        <v>42521</v>
      </c>
      <c r="U7" s="57">
        <f t="shared" ca="1" si="2"/>
        <v>42551</v>
      </c>
      <c r="V7" s="57">
        <f t="shared" ca="1" si="2"/>
        <v>42582</v>
      </c>
      <c r="W7" s="57">
        <f t="shared" ca="1" si="2"/>
        <v>42613</v>
      </c>
      <c r="X7" s="57">
        <f t="shared" ca="1" si="2"/>
        <v>42643</v>
      </c>
      <c r="Y7" s="57">
        <f t="shared" ca="1" si="2"/>
        <v>42674</v>
      </c>
      <c r="Z7" s="57">
        <f t="shared" ca="1" si="2"/>
        <v>42704</v>
      </c>
      <c r="AA7" s="57">
        <f ca="1">C3</f>
        <v>42735</v>
      </c>
      <c r="AB7" s="232"/>
      <c r="AC7" s="92"/>
      <c r="AD7" s="92"/>
      <c r="AE7" s="92"/>
      <c r="AF7" s="92"/>
      <c r="AG7" s="92"/>
      <c r="AH7" s="234"/>
      <c r="AI7" s="56">
        <f ca="1">AI6+IF(MONTH(AI6)=2,IF(OR(YEAR(AI6)=2008,YEAR(AI6)=2012,YEAR(AI6)=2016),29,28),IF(OR(MONTH(AI6)=4,MONTH(AI6)=6,MONTH(AI6)=9,MONTH(AI6)=11),30,31))-1</f>
        <v>42766</v>
      </c>
      <c r="AJ7" s="57">
        <f ca="1">AJ6+IF(MONTH(AJ6)=2,IF(OR(YEAR(AJ6)=2008,YEAR(AJ6)=2012,YEAR(AJ6)=2016),29,28),IF(OR(MONTH(AJ6)=4,MONTH(AJ6)=6,MONTH(AJ6)=9,MONTH(AJ6)=11),30,31))-1</f>
        <v>42794</v>
      </c>
      <c r="AK7" s="57">
        <f ca="1">AK6+IF(MONTH(AK6)=2,IF(OR(YEAR(AK6)=2008,YEAR(AK6)=2012,YEAR(AK6)=2016),29,28),IF(OR(MONTH(AK6)=4,MONTH(AK6)=6,MONTH(AK6)=9,MONTH(AK6)=11),30,31))-1</f>
        <v>42825</v>
      </c>
      <c r="AL7" s="57">
        <f ca="1">AL6+IF(MONTH(AL6)=2,IF(OR(YEAR(AL6)=2008,YEAR(AL6)=2012,YEAR(AL6)=2016),29,28),IF(OR(MONTH(AL6)=4,MONTH(AL6)=6,MONTH(AL6)=9,MONTH(AL6)=11),30,31))-1</f>
        <v>42855</v>
      </c>
      <c r="AM7" s="57">
        <f ca="1">AM6+IF(MONTH(AM6)=2,IF(OR(YEAR(AM6)=2008,YEAR(AM6)=2012,YEAR(AM6)=2016),29,28),IF(OR(MONTH(AM6)=4,MONTH(AM6)=6,MONTH(AM6)=9,MONTH(AM6)=11),30,31))-1</f>
        <v>42886</v>
      </c>
      <c r="AN7" s="57">
        <f t="shared" ref="AN7:AT7" ca="1" si="3">AN6+IF(MONTH(AN6)=2,IF(OR(YEAR(AN6)=2008,YEAR(AN6)=2012,YEAR(AN6)=2016),29,28),IF(OR(MONTH(AN6)=4,MONTH(AN6)=6,MONTH(AN6)=9,MONTH(AN6)=11),30,31))-1</f>
        <v>42916</v>
      </c>
      <c r="AO7" s="57">
        <f t="shared" ca="1" si="3"/>
        <v>42947</v>
      </c>
      <c r="AP7" s="57">
        <f t="shared" ca="1" si="3"/>
        <v>42978</v>
      </c>
      <c r="AQ7" s="57">
        <f t="shared" ca="1" si="3"/>
        <v>43008</v>
      </c>
      <c r="AR7" s="57">
        <f t="shared" ca="1" si="3"/>
        <v>43039</v>
      </c>
      <c r="AS7" s="57">
        <f t="shared" ca="1" si="3"/>
        <v>43069</v>
      </c>
      <c r="AT7" s="106">
        <f t="shared" ca="1" si="3"/>
        <v>43100</v>
      </c>
      <c r="AU7" s="228"/>
    </row>
    <row r="8" spans="1:50" s="49" customFormat="1" ht="15" customHeight="1" thickBot="1" x14ac:dyDescent="0.25">
      <c r="B8" s="31" t="s">
        <v>0</v>
      </c>
      <c r="C8" s="32" t="s">
        <v>46</v>
      </c>
      <c r="D8" s="58">
        <f t="shared" ref="D8:AA8" ca="1" si="4">D6</f>
        <v>42005</v>
      </c>
      <c r="E8" s="59">
        <f t="shared" ca="1" si="4"/>
        <v>42036</v>
      </c>
      <c r="F8" s="59">
        <f t="shared" ca="1" si="4"/>
        <v>42064</v>
      </c>
      <c r="G8" s="60">
        <f t="shared" ca="1" si="4"/>
        <v>42095</v>
      </c>
      <c r="H8" s="60">
        <f t="shared" ca="1" si="4"/>
        <v>42125</v>
      </c>
      <c r="I8" s="60">
        <f t="shared" ca="1" si="4"/>
        <v>42156</v>
      </c>
      <c r="J8" s="60">
        <f t="shared" ca="1" si="4"/>
        <v>42186</v>
      </c>
      <c r="K8" s="60">
        <f t="shared" ca="1" si="4"/>
        <v>42217</v>
      </c>
      <c r="L8" s="60">
        <f t="shared" ca="1" si="4"/>
        <v>42248</v>
      </c>
      <c r="M8" s="60">
        <f t="shared" ca="1" si="4"/>
        <v>42278</v>
      </c>
      <c r="N8" s="60">
        <f t="shared" ca="1" si="4"/>
        <v>42309</v>
      </c>
      <c r="O8" s="60">
        <f t="shared" ca="1" si="4"/>
        <v>42339</v>
      </c>
      <c r="P8" s="60">
        <f t="shared" ca="1" si="4"/>
        <v>42370</v>
      </c>
      <c r="Q8" s="60">
        <f t="shared" ca="1" si="4"/>
        <v>42401</v>
      </c>
      <c r="R8" s="60">
        <f t="shared" ca="1" si="4"/>
        <v>42430</v>
      </c>
      <c r="S8" s="60">
        <f t="shared" ca="1" si="4"/>
        <v>42461</v>
      </c>
      <c r="T8" s="60">
        <f t="shared" ca="1" si="4"/>
        <v>42491</v>
      </c>
      <c r="U8" s="60">
        <f t="shared" ca="1" si="4"/>
        <v>42522</v>
      </c>
      <c r="V8" s="60">
        <f t="shared" ca="1" si="4"/>
        <v>42552</v>
      </c>
      <c r="W8" s="60">
        <f t="shared" ca="1" si="4"/>
        <v>42583</v>
      </c>
      <c r="X8" s="60">
        <f t="shared" ca="1" si="4"/>
        <v>42614</v>
      </c>
      <c r="Y8" s="60">
        <f t="shared" ca="1" si="4"/>
        <v>42644</v>
      </c>
      <c r="Z8" s="60">
        <f t="shared" ca="1" si="4"/>
        <v>42675</v>
      </c>
      <c r="AA8" s="60">
        <f t="shared" ca="1" si="4"/>
        <v>42705</v>
      </c>
      <c r="AB8" s="107" t="s">
        <v>36</v>
      </c>
      <c r="AC8" s="108" t="s">
        <v>42</v>
      </c>
      <c r="AD8" s="109" t="s">
        <v>43</v>
      </c>
      <c r="AE8" s="109" t="s">
        <v>44</v>
      </c>
      <c r="AF8" s="109" t="s">
        <v>45</v>
      </c>
      <c r="AG8" s="109" t="s">
        <v>39</v>
      </c>
      <c r="AH8" s="107" t="s">
        <v>41</v>
      </c>
      <c r="AI8" s="110">
        <f t="shared" ref="AI8:AT8" ca="1" si="5">AI6</f>
        <v>42736</v>
      </c>
      <c r="AJ8" s="110">
        <f t="shared" ca="1" si="5"/>
        <v>42767</v>
      </c>
      <c r="AK8" s="110">
        <f t="shared" ca="1" si="5"/>
        <v>42795</v>
      </c>
      <c r="AL8" s="110">
        <f t="shared" ca="1" si="5"/>
        <v>42826</v>
      </c>
      <c r="AM8" s="110">
        <f t="shared" ca="1" si="5"/>
        <v>42856</v>
      </c>
      <c r="AN8" s="110">
        <f t="shared" ca="1" si="5"/>
        <v>42887</v>
      </c>
      <c r="AO8" s="110">
        <f t="shared" ca="1" si="5"/>
        <v>42917</v>
      </c>
      <c r="AP8" s="110">
        <f t="shared" ca="1" si="5"/>
        <v>42948</v>
      </c>
      <c r="AQ8" s="110">
        <f t="shared" ca="1" si="5"/>
        <v>42979</v>
      </c>
      <c r="AR8" s="110">
        <f t="shared" ca="1" si="5"/>
        <v>43009</v>
      </c>
      <c r="AS8" s="110">
        <f t="shared" ca="1" si="5"/>
        <v>43040</v>
      </c>
      <c r="AT8" s="110">
        <f t="shared" ca="1" si="5"/>
        <v>43070</v>
      </c>
      <c r="AU8" s="111" t="s">
        <v>37</v>
      </c>
    </row>
    <row r="9" spans="1:50" ht="15" customHeight="1" thickBot="1" x14ac:dyDescent="0.25">
      <c r="B9" s="61" t="s">
        <v>3</v>
      </c>
      <c r="C9" s="63" t="s">
        <v>1</v>
      </c>
      <c r="D9" s="64">
        <f t="shared" ref="D9:M18" ca="1" si="6">AbraTurnover(URL,Username,Password,$C9,D$6,D$7)/1000</f>
        <v>0</v>
      </c>
      <c r="E9" s="64">
        <f t="shared" ca="1" si="6"/>
        <v>0</v>
      </c>
      <c r="F9" s="64">
        <f t="shared" ca="1" si="6"/>
        <v>0</v>
      </c>
      <c r="G9" s="64">
        <f t="shared" ca="1" si="6"/>
        <v>0</v>
      </c>
      <c r="H9" s="64">
        <f t="shared" ca="1" si="6"/>
        <v>0</v>
      </c>
      <c r="I9" s="64">
        <f t="shared" ca="1" si="6"/>
        <v>0</v>
      </c>
      <c r="J9" s="64">
        <f t="shared" ca="1" si="6"/>
        <v>0</v>
      </c>
      <c r="K9" s="64">
        <f t="shared" ca="1" si="6"/>
        <v>0</v>
      </c>
      <c r="L9" s="64">
        <f t="shared" ca="1" si="6"/>
        <v>0</v>
      </c>
      <c r="M9" s="64">
        <f t="shared" ca="1" si="6"/>
        <v>0</v>
      </c>
      <c r="N9" s="64">
        <f t="shared" ref="N9:AA18" ca="1" si="7">AbraTurnover(URL,Username,Password,$C9,N$6,N$7)/1000</f>
        <v>0</v>
      </c>
      <c r="O9" s="64">
        <f t="shared" ca="1" si="7"/>
        <v>0</v>
      </c>
      <c r="P9" s="64">
        <f t="shared" ca="1" si="7"/>
        <v>0</v>
      </c>
      <c r="Q9" s="64">
        <f t="shared" ca="1" si="7"/>
        <v>0</v>
      </c>
      <c r="R9" s="64">
        <f t="shared" ca="1" si="7"/>
        <v>0</v>
      </c>
      <c r="S9" s="64">
        <f t="shared" ca="1" si="7"/>
        <v>0</v>
      </c>
      <c r="T9" s="64">
        <f t="shared" ca="1" si="7"/>
        <v>0</v>
      </c>
      <c r="U9" s="64">
        <f t="shared" ca="1" si="7"/>
        <v>0</v>
      </c>
      <c r="V9" s="64">
        <f t="shared" ca="1" si="7"/>
        <v>0</v>
      </c>
      <c r="W9" s="64">
        <f t="shared" ca="1" si="7"/>
        <v>0</v>
      </c>
      <c r="X9" s="64">
        <f t="shared" ca="1" si="7"/>
        <v>0</v>
      </c>
      <c r="Y9" s="64">
        <f t="shared" ca="1" si="7"/>
        <v>0</v>
      </c>
      <c r="Z9" s="64">
        <f t="shared" ca="1" si="7"/>
        <v>0</v>
      </c>
      <c r="AA9" s="64">
        <f t="shared" ca="1" si="7"/>
        <v>0</v>
      </c>
      <c r="AB9" s="112">
        <f ca="1">SUM(P9:AA9)</f>
        <v>0</v>
      </c>
      <c r="AC9" s="113">
        <f t="shared" ref="AC9:AC25" ca="1" si="8">IF(SUM(J9:O9)+SUM(V9:AA9)&lt;0.001,0,IF(SUM(J9:O9)&lt;0.001,1,IF(SUM(V9:AA9)&lt;0.001,-1,SUM(V9:AA9)/(SUM(J9:O9))-1)))</f>
        <v>0</v>
      </c>
      <c r="AD9" s="113">
        <f t="shared" ref="AD9:AD25" ca="1" si="9">IF(SUM(D9:O9)+SUM(P9:AA9)&lt;0.001,0,IF(SUM(D9:O9)&lt;0.001,1,IF(SUM(P9:AA9)&lt;0.001,-1,SUM(P9:AA9)/(SUM(D9:O9))-1)))</f>
        <v>0</v>
      </c>
      <c r="AE9" s="113">
        <v>-0.5</v>
      </c>
      <c r="AF9" s="113">
        <v>0.5</v>
      </c>
      <c r="AG9" s="113" t="s">
        <v>48</v>
      </c>
      <c r="AH9" s="114">
        <f t="shared" ref="AH9:AH25" ca="1" si="10">IF($AG9&lt;&gt;"-",$AG9,IF($AC9&lt;$AE9,$AE9,IF($AC9&gt;$AF9,$AF9,$AC9)))</f>
        <v>0</v>
      </c>
      <c r="AI9" s="115">
        <f ca="1">$AB9*(1+$AH9)*VLOOKUP(MONTH(AI$8),Sezona!$B$4:$C$15,2)</f>
        <v>0</v>
      </c>
      <c r="AJ9" s="116">
        <f ca="1">$AB9*(1+$AH9)*VLOOKUP(MONTH(AJ$8),Sezona!$B$4:$C$15,2)</f>
        <v>0</v>
      </c>
      <c r="AK9" s="116">
        <f ca="1">$AB9*(1+$AH9)*VLOOKUP(MONTH(AK$8),Sezona!$B$4:$C$15,2)</f>
        <v>0</v>
      </c>
      <c r="AL9" s="116">
        <f ca="1">$AB9*(1+$AH9)*VLOOKUP(MONTH(AL$8),Sezona!$B$4:$C$15,2)</f>
        <v>0</v>
      </c>
      <c r="AM9" s="116">
        <f ca="1">$AB9*(1+$AH9)*VLOOKUP(MONTH(AM$8),Sezona!$B$4:$C$15,2)</f>
        <v>0</v>
      </c>
      <c r="AN9" s="116">
        <f ca="1">$AB9*(1+$AH9)*VLOOKUP(MONTH(AN$8),Sezona!$B$4:$C$15,2)</f>
        <v>0</v>
      </c>
      <c r="AO9" s="116">
        <f ca="1">$AB9*(1+$AH9)*VLOOKUP(MONTH(AO$8),Sezona!$B$4:$C$15,2)</f>
        <v>0</v>
      </c>
      <c r="AP9" s="116">
        <f ca="1">$AB9*(1+$AH9)*VLOOKUP(MONTH(AP$8),Sezona!$B$4:$C$15,2)</f>
        <v>0</v>
      </c>
      <c r="AQ9" s="116">
        <f ca="1">$AB9*(1+$AH9)*VLOOKUP(MONTH(AQ$8),Sezona!$B$4:$C$15,2)</f>
        <v>0</v>
      </c>
      <c r="AR9" s="116">
        <f ca="1">$AB9*(1+$AH9)*VLOOKUP(MONTH(AR$8),Sezona!$B$4:$C$15,2)</f>
        <v>0</v>
      </c>
      <c r="AS9" s="116">
        <f ca="1">$AB9*(1+$AH9)*VLOOKUP(MONTH(AS$8),Sezona!$B$4:$C$15,2)</f>
        <v>0</v>
      </c>
      <c r="AT9" s="116">
        <f ca="1">$AB9*(1+$AH9)*VLOOKUP(MONTH(AT$8),Sezona!$B$4:$C$15,2)</f>
        <v>0</v>
      </c>
      <c r="AU9" s="117">
        <f ca="1">SUM(AI9:AT9)</f>
        <v>0</v>
      </c>
      <c r="AW9" s="49"/>
      <c r="AX9" s="49"/>
    </row>
    <row r="10" spans="1:50" ht="15" customHeight="1" thickBot="1" x14ac:dyDescent="0.25">
      <c r="B10" s="65" t="s">
        <v>4</v>
      </c>
      <c r="C10" s="67" t="s">
        <v>9</v>
      </c>
      <c r="D10" s="64">
        <f t="shared" ca="1" si="6"/>
        <v>10971.59338</v>
      </c>
      <c r="E10" s="64">
        <f t="shared" ca="1" si="6"/>
        <v>12190.168369999999</v>
      </c>
      <c r="F10" s="64">
        <f t="shared" ca="1" si="6"/>
        <v>10809.828230000001</v>
      </c>
      <c r="G10" s="64">
        <f t="shared" ca="1" si="6"/>
        <v>9861.4147899999989</v>
      </c>
      <c r="H10" s="64">
        <f t="shared" ca="1" si="6"/>
        <v>10406.14522</v>
      </c>
      <c r="I10" s="64">
        <f t="shared" ca="1" si="6"/>
        <v>10825.697789999998</v>
      </c>
      <c r="J10" s="64">
        <f t="shared" ca="1" si="6"/>
        <v>10269.749760000001</v>
      </c>
      <c r="K10" s="64">
        <f t="shared" ca="1" si="6"/>
        <v>9334.2040199999992</v>
      </c>
      <c r="L10" s="64">
        <f t="shared" ca="1" si="6"/>
        <v>10067.953039999999</v>
      </c>
      <c r="M10" s="64">
        <f t="shared" ca="1" si="6"/>
        <v>10245.98386</v>
      </c>
      <c r="N10" s="64">
        <f t="shared" ca="1" si="7"/>
        <v>10982.264869999999</v>
      </c>
      <c r="O10" s="64">
        <f t="shared" ca="1" si="7"/>
        <v>13554.1021</v>
      </c>
      <c r="P10" s="64">
        <f t="shared" ca="1" si="7"/>
        <v>12176.45182</v>
      </c>
      <c r="Q10" s="64">
        <f t="shared" ca="1" si="7"/>
        <v>11691.45602</v>
      </c>
      <c r="R10" s="64">
        <f t="shared" ca="1" si="7"/>
        <v>11017.495779999999</v>
      </c>
      <c r="S10" s="64">
        <f t="shared" ca="1" si="7"/>
        <v>11334.81127</v>
      </c>
      <c r="T10" s="64">
        <f t="shared" ca="1" si="7"/>
        <v>11474.586230000001</v>
      </c>
      <c r="U10" s="64">
        <f t="shared" ca="1" si="7"/>
        <v>11281.733850000001</v>
      </c>
      <c r="V10" s="64">
        <f t="shared" ca="1" si="7"/>
        <v>11545.346119999998</v>
      </c>
      <c r="W10" s="64">
        <f t="shared" ca="1" si="7"/>
        <v>11237.745580000001</v>
      </c>
      <c r="X10" s="64">
        <f t="shared" ca="1" si="7"/>
        <v>12342.731179999999</v>
      </c>
      <c r="Y10" s="64">
        <f t="shared" ca="1" si="7"/>
        <v>11941.10701</v>
      </c>
      <c r="Z10" s="64">
        <f t="shared" ca="1" si="7"/>
        <v>15040.916289999999</v>
      </c>
      <c r="AA10" s="64">
        <f t="shared" ca="1" si="7"/>
        <v>15779.86715</v>
      </c>
      <c r="AB10" s="118">
        <f ca="1">SUM(P10:AA10)</f>
        <v>146864.24830000001</v>
      </c>
      <c r="AC10" s="119">
        <f t="shared" ca="1" si="8"/>
        <v>0.20841843766080514</v>
      </c>
      <c r="AD10" s="119">
        <f t="shared" ca="1" si="9"/>
        <v>0.13391956972227836</v>
      </c>
      <c r="AE10" s="119">
        <v>-0.5</v>
      </c>
      <c r="AF10" s="119">
        <v>0.5</v>
      </c>
      <c r="AG10" s="119" t="s">
        <v>48</v>
      </c>
      <c r="AH10" s="120">
        <f t="shared" ca="1" si="10"/>
        <v>0.20841843766080514</v>
      </c>
      <c r="AI10" s="115">
        <f ca="1">$AB10*(1+$AH10)*VLOOKUP(MONTH(AI$8),Sezona!$E$4:$F$15,2)</f>
        <v>17747.346547891455</v>
      </c>
      <c r="AJ10" s="115">
        <f ca="1">$AB10*(1+$AH10)*VLOOKUP(MONTH(AJ$8),Sezona!$E$4:$F$15,2)</f>
        <v>15972.61189310231</v>
      </c>
      <c r="AK10" s="115">
        <f ca="1">$AB10*(1+$AH10)*VLOOKUP(MONTH(AK$8),Sezona!$E$4:$F$15,2)</f>
        <v>14197.877238313165</v>
      </c>
      <c r="AL10" s="115">
        <f ca="1">$AB10*(1+$AH10)*VLOOKUP(MONTH(AL$8),Sezona!$E$4:$F$15,2)</f>
        <v>12423.142583524021</v>
      </c>
      <c r="AM10" s="115">
        <f ca="1">$AB10*(1+$AH10)*VLOOKUP(MONTH(AM$8),Sezona!$E$4:$F$15,2)</f>
        <v>12423.142583524021</v>
      </c>
      <c r="AN10" s="115">
        <f ca="1">$AB10*(1+$AH10)*VLOOKUP(MONTH(AN$8),Sezona!$E$4:$F$15,2)</f>
        <v>10648.407928734872</v>
      </c>
      <c r="AO10" s="115">
        <f ca="1">$AB10*(1+$AH10)*VLOOKUP(MONTH(AO$8),Sezona!$E$4:$F$15,2)</f>
        <v>10648.407928734872</v>
      </c>
      <c r="AP10" s="115">
        <f ca="1">$AB10*(1+$AH10)*VLOOKUP(MONTH(AP$8),Sezona!$E$4:$F$15,2)</f>
        <v>10648.407928734872</v>
      </c>
      <c r="AQ10" s="115">
        <f ca="1">$AB10*(1+$AH10)*VLOOKUP(MONTH(AQ$8),Sezona!$E$4:$F$15,2)</f>
        <v>12423.142583524021</v>
      </c>
      <c r="AR10" s="115">
        <f ca="1">$AB10*(1+$AH10)*VLOOKUP(MONTH(AR$8),Sezona!$E$4:$F$15,2)</f>
        <v>15972.61189310231</v>
      </c>
      <c r="AS10" s="115">
        <f ca="1">$AB10*(1+$AH10)*VLOOKUP(MONTH(AS$8),Sezona!$E$4:$F$15,2)</f>
        <v>19522.081202680602</v>
      </c>
      <c r="AT10" s="115">
        <f ca="1">$AB10*(1+$AH10)*VLOOKUP(MONTH(AT$8),Sezona!$E$4:$F$15,2)</f>
        <v>24846.285167048041</v>
      </c>
      <c r="AU10" s="117">
        <f ca="1">SUM(AI10:AT10)</f>
        <v>177473.46547891456</v>
      </c>
    </row>
    <row r="11" spans="1:50" ht="15" customHeight="1" thickBot="1" x14ac:dyDescent="0.25">
      <c r="B11" s="65" t="s">
        <v>5</v>
      </c>
      <c r="C11" s="67" t="s">
        <v>8</v>
      </c>
      <c r="D11" s="64">
        <f t="shared" ca="1" si="6"/>
        <v>708.18127000000004</v>
      </c>
      <c r="E11" s="64">
        <f t="shared" ca="1" si="6"/>
        <v>763.25078000000008</v>
      </c>
      <c r="F11" s="64">
        <f t="shared" ca="1" si="6"/>
        <v>747.23693000000003</v>
      </c>
      <c r="G11" s="64">
        <f t="shared" ca="1" si="6"/>
        <v>642.28336999999999</v>
      </c>
      <c r="H11" s="64">
        <f t="shared" ca="1" si="6"/>
        <v>900.18232</v>
      </c>
      <c r="I11" s="64">
        <f t="shared" ca="1" si="6"/>
        <v>123.65600000000001</v>
      </c>
      <c r="J11" s="64">
        <f t="shared" ca="1" si="6"/>
        <v>340.24200000000002</v>
      </c>
      <c r="K11" s="64">
        <f t="shared" ca="1" si="6"/>
        <v>302.23219</v>
      </c>
      <c r="L11" s="64">
        <f t="shared" ca="1" si="6"/>
        <v>316.59926000000002</v>
      </c>
      <c r="M11" s="64">
        <f t="shared" ca="1" si="6"/>
        <v>378.99196000000001</v>
      </c>
      <c r="N11" s="64">
        <f t="shared" ca="1" si="7"/>
        <v>2551.9782500000001</v>
      </c>
      <c r="O11" s="64">
        <f t="shared" ca="1" si="7"/>
        <v>834.49444999999992</v>
      </c>
      <c r="P11" s="64">
        <f t="shared" ca="1" si="7"/>
        <v>138.95232000000001</v>
      </c>
      <c r="Q11" s="64">
        <f t="shared" ca="1" si="7"/>
        <v>230.22289999999998</v>
      </c>
      <c r="R11" s="64">
        <f t="shared" ca="1" si="7"/>
        <v>561.02606000000003</v>
      </c>
      <c r="S11" s="64">
        <f t="shared" ca="1" si="7"/>
        <v>247.63200000000001</v>
      </c>
      <c r="T11" s="64">
        <f t="shared" ca="1" si="7"/>
        <v>262.00564000000003</v>
      </c>
      <c r="U11" s="64">
        <f t="shared" ca="1" si="7"/>
        <v>1006.1477199999999</v>
      </c>
      <c r="V11" s="64">
        <f t="shared" ca="1" si="7"/>
        <v>580.73649999999998</v>
      </c>
      <c r="W11" s="64">
        <f t="shared" ca="1" si="7"/>
        <v>645.84749999999997</v>
      </c>
      <c r="X11" s="64">
        <f t="shared" ca="1" si="7"/>
        <v>378.37099000000001</v>
      </c>
      <c r="Y11" s="64">
        <f t="shared" ca="1" si="7"/>
        <v>228.78899999999999</v>
      </c>
      <c r="Z11" s="64">
        <f t="shared" ca="1" si="7"/>
        <v>469.8759</v>
      </c>
      <c r="AA11" s="64">
        <f t="shared" ca="1" si="7"/>
        <v>748.6730500000001</v>
      </c>
      <c r="AB11" s="118">
        <f ca="1">SUM(P11:AA11)</f>
        <v>5498.2795800000004</v>
      </c>
      <c r="AC11" s="119">
        <f ca="1">IF(SUM(J11:O11)+SUM(V11:AA11)&lt;0.001,0,IF(SUM(J11:O11)&lt;0.001,1,IF(SUM(V11:AA11)&lt;0.001,-1,SUM(V11:AA11)/(SUM(J11:O11))-1)))</f>
        <v>-0.35394892179206061</v>
      </c>
      <c r="AD11" s="119">
        <f ca="1">IF(SUM(D11:O11)+SUM(P11:AA11)&lt;0.001,0,IF(SUM(D11:O11)&lt;0.001,1,IF(SUM(P11:AA11)&lt;0.001,-1,SUM(P11:AA11)/(SUM(D11:O11))-1)))</f>
        <v>-0.36135792690681745</v>
      </c>
      <c r="AE11" s="119">
        <v>0.5</v>
      </c>
      <c r="AF11" s="119">
        <v>0.5</v>
      </c>
      <c r="AG11" s="119" t="s">
        <v>48</v>
      </c>
      <c r="AH11" s="120">
        <f t="shared" ca="1" si="10"/>
        <v>0.5</v>
      </c>
      <c r="AI11" s="115">
        <f ca="1">$AB11*(1+$AH11)*VLOOKUP(MONTH(AI$8),Sezona!$B$4:$C$15,2)</f>
        <v>577.31935590000001</v>
      </c>
      <c r="AJ11" s="115">
        <f ca="1">$AB11*(1+$AH11)*VLOOKUP(MONTH(AJ$8),Sezona!$B$4:$C$15,2)</f>
        <v>659.79354960000001</v>
      </c>
      <c r="AK11" s="115">
        <f ca="1">$AB11*(1+$AH11)*VLOOKUP(MONTH(AK$8),Sezona!$B$4:$C$15,2)</f>
        <v>742.26774329999989</v>
      </c>
      <c r="AL11" s="115">
        <f ca="1">$AB11*(1+$AH11)*VLOOKUP(MONTH(AL$8),Sezona!$B$4:$C$15,2)</f>
        <v>659.79354960000001</v>
      </c>
      <c r="AM11" s="115">
        <f ca="1">$AB11*(1+$AH11)*VLOOKUP(MONTH(AM$8),Sezona!$B$4:$C$15,2)</f>
        <v>577.31935590000001</v>
      </c>
      <c r="AN11" s="115">
        <f ca="1">$AB11*(1+$AH11)*VLOOKUP(MONTH(AN$8),Sezona!$B$4:$C$15,2)</f>
        <v>577.31935590000001</v>
      </c>
      <c r="AO11" s="115">
        <f ca="1">$AB11*(1+$AH11)*VLOOKUP(MONTH(AO$8),Sezona!$B$4:$C$15,2)</f>
        <v>659.79354960000001</v>
      </c>
      <c r="AP11" s="115">
        <f ca="1">$AB11*(1+$AH11)*VLOOKUP(MONTH(AP$8),Sezona!$B$4:$C$15,2)</f>
        <v>742.26774329999989</v>
      </c>
      <c r="AQ11" s="115">
        <f ca="1">$AB11*(1+$AH11)*VLOOKUP(MONTH(AQ$8),Sezona!$B$4:$C$15,2)</f>
        <v>824.74193700000001</v>
      </c>
      <c r="AR11" s="115">
        <f ca="1">$AB11*(1+$AH11)*VLOOKUP(MONTH(AR$8),Sezona!$B$4:$C$15,2)</f>
        <v>824.74193700000001</v>
      </c>
      <c r="AS11" s="115">
        <f ca="1">$AB11*(1+$AH11)*VLOOKUP(MONTH(AS$8),Sezona!$B$4:$C$15,2)</f>
        <v>1072.1645180999999</v>
      </c>
      <c r="AT11" s="115">
        <f ca="1">$AB11*(1+$AH11)*VLOOKUP(MONTH(AT$8),Sezona!$B$4:$C$15,2)</f>
        <v>412.3709685</v>
      </c>
      <c r="AU11" s="117">
        <f ca="1">SUM(AI11:AT11)</f>
        <v>8329.8935636999995</v>
      </c>
    </row>
    <row r="12" spans="1:50" ht="15" customHeight="1" thickBot="1" x14ac:dyDescent="0.25">
      <c r="B12" s="65" t="s">
        <v>6</v>
      </c>
      <c r="C12" s="67" t="s">
        <v>7</v>
      </c>
      <c r="D12" s="64">
        <f t="shared" ca="1" si="6"/>
        <v>1074.32</v>
      </c>
      <c r="E12" s="64">
        <f t="shared" ca="1" si="6"/>
        <v>0</v>
      </c>
      <c r="F12" s="64">
        <f t="shared" ca="1" si="6"/>
        <v>0</v>
      </c>
      <c r="G12" s="64">
        <f t="shared" ca="1" si="6"/>
        <v>0</v>
      </c>
      <c r="H12" s="64">
        <f t="shared" ca="1" si="6"/>
        <v>0</v>
      </c>
      <c r="I12" s="64">
        <f t="shared" ca="1" si="6"/>
        <v>0</v>
      </c>
      <c r="J12" s="64">
        <f t="shared" ca="1" si="6"/>
        <v>0</v>
      </c>
      <c r="K12" s="64">
        <f t="shared" ca="1" si="6"/>
        <v>200.14479999999998</v>
      </c>
      <c r="L12" s="64">
        <f t="shared" ca="1" si="6"/>
        <v>0</v>
      </c>
      <c r="M12" s="64">
        <f t="shared" ca="1" si="6"/>
        <v>0</v>
      </c>
      <c r="N12" s="64">
        <f t="shared" ca="1" si="7"/>
        <v>0</v>
      </c>
      <c r="O12" s="64">
        <f t="shared" ca="1" si="7"/>
        <v>3.5539999999999998</v>
      </c>
      <c r="P12" s="64">
        <f t="shared" ca="1" si="7"/>
        <v>32</v>
      </c>
      <c r="Q12" s="64">
        <f t="shared" ca="1" si="7"/>
        <v>0</v>
      </c>
      <c r="R12" s="64">
        <f t="shared" ca="1" si="7"/>
        <v>0</v>
      </c>
      <c r="S12" s="64">
        <f t="shared" ca="1" si="7"/>
        <v>0</v>
      </c>
      <c r="T12" s="64">
        <f t="shared" ca="1" si="7"/>
        <v>0</v>
      </c>
      <c r="U12" s="64">
        <f t="shared" ca="1" si="7"/>
        <v>95.867999999999995</v>
      </c>
      <c r="V12" s="64">
        <f t="shared" ca="1" si="7"/>
        <v>0</v>
      </c>
      <c r="W12" s="64">
        <f t="shared" ca="1" si="7"/>
        <v>0</v>
      </c>
      <c r="X12" s="64">
        <f t="shared" ca="1" si="7"/>
        <v>41.322000000000003</v>
      </c>
      <c r="Y12" s="64">
        <f t="shared" ca="1" si="7"/>
        <v>0</v>
      </c>
      <c r="Z12" s="64">
        <f t="shared" ca="1" si="7"/>
        <v>42.975000000000001</v>
      </c>
      <c r="AA12" s="64">
        <f t="shared" ca="1" si="7"/>
        <v>661.12</v>
      </c>
      <c r="AB12" s="118">
        <f t="shared" ref="AB12:AB25" ca="1" si="11">SUM(P12:AA12)</f>
        <v>873.28499999999997</v>
      </c>
      <c r="AC12" s="119">
        <f t="shared" ca="1" si="8"/>
        <v>2.6594079101104184</v>
      </c>
      <c r="AD12" s="119">
        <f t="shared" ca="1" si="9"/>
        <v>-0.31668845560018366</v>
      </c>
      <c r="AE12" s="119">
        <v>-0.5</v>
      </c>
      <c r="AF12" s="119">
        <v>0.5</v>
      </c>
      <c r="AG12" s="119">
        <v>0</v>
      </c>
      <c r="AH12" s="120">
        <f t="shared" ca="1" si="10"/>
        <v>0</v>
      </c>
      <c r="AI12" s="115">
        <f t="shared" ref="AI12:AP25" ca="1" si="12">$AB12*(1+$AH12)/12</f>
        <v>72.773749999999993</v>
      </c>
      <c r="AJ12" s="116">
        <f t="shared" ca="1" si="12"/>
        <v>72.773749999999993</v>
      </c>
      <c r="AK12" s="116">
        <f t="shared" ca="1" si="12"/>
        <v>72.773749999999993</v>
      </c>
      <c r="AL12" s="116">
        <f t="shared" ca="1" si="12"/>
        <v>72.773749999999993</v>
      </c>
      <c r="AM12" s="116">
        <f t="shared" ca="1" si="12"/>
        <v>72.773749999999993</v>
      </c>
      <c r="AN12" s="116">
        <f t="shared" ca="1" si="12"/>
        <v>72.773749999999993</v>
      </c>
      <c r="AO12" s="116">
        <f t="shared" ca="1" si="12"/>
        <v>72.773749999999993</v>
      </c>
      <c r="AP12" s="116">
        <f t="shared" ca="1" si="12"/>
        <v>72.773749999999993</v>
      </c>
      <c r="AQ12" s="116">
        <f t="shared" ref="AQ12:AT24" ca="1" si="13">$AB12*(1+$AH12)/12</f>
        <v>72.773749999999993</v>
      </c>
      <c r="AR12" s="116">
        <f t="shared" ca="1" si="13"/>
        <v>72.773749999999993</v>
      </c>
      <c r="AS12" s="116">
        <f t="shared" ca="1" si="13"/>
        <v>72.773749999999993</v>
      </c>
      <c r="AT12" s="116">
        <f t="shared" ca="1" si="13"/>
        <v>72.773749999999993</v>
      </c>
      <c r="AU12" s="117">
        <f t="shared" ref="AU12:AU25" ca="1" si="14">SUM(AI12:AT12)</f>
        <v>873.28499999999974</v>
      </c>
    </row>
    <row r="13" spans="1:50" ht="15" customHeight="1" thickBot="1" x14ac:dyDescent="0.25">
      <c r="B13" s="65" t="s">
        <v>10</v>
      </c>
      <c r="C13" s="67" t="s">
        <v>14</v>
      </c>
      <c r="D13" s="64">
        <f t="shared" ca="1" si="6"/>
        <v>0</v>
      </c>
      <c r="E13" s="64">
        <f t="shared" ca="1" si="6"/>
        <v>0</v>
      </c>
      <c r="F13" s="64">
        <f t="shared" ca="1" si="6"/>
        <v>0</v>
      </c>
      <c r="G13" s="64">
        <f t="shared" ca="1" si="6"/>
        <v>0</v>
      </c>
      <c r="H13" s="64">
        <f t="shared" ca="1" si="6"/>
        <v>0</v>
      </c>
      <c r="I13" s="64">
        <f t="shared" ca="1" si="6"/>
        <v>0</v>
      </c>
      <c r="J13" s="64">
        <f t="shared" ca="1" si="6"/>
        <v>0</v>
      </c>
      <c r="K13" s="64">
        <f t="shared" ca="1" si="6"/>
        <v>0</v>
      </c>
      <c r="L13" s="64">
        <f t="shared" ca="1" si="6"/>
        <v>0</v>
      </c>
      <c r="M13" s="64">
        <f t="shared" ca="1" si="6"/>
        <v>0</v>
      </c>
      <c r="N13" s="64">
        <f t="shared" ca="1" si="7"/>
        <v>0</v>
      </c>
      <c r="O13" s="64">
        <f t="shared" ca="1" si="7"/>
        <v>0</v>
      </c>
      <c r="P13" s="64">
        <f t="shared" ca="1" si="7"/>
        <v>0</v>
      </c>
      <c r="Q13" s="64">
        <f t="shared" ca="1" si="7"/>
        <v>0</v>
      </c>
      <c r="R13" s="64">
        <f t="shared" ca="1" si="7"/>
        <v>0</v>
      </c>
      <c r="S13" s="64">
        <f t="shared" ca="1" si="7"/>
        <v>0</v>
      </c>
      <c r="T13" s="64">
        <f t="shared" ca="1" si="7"/>
        <v>0</v>
      </c>
      <c r="U13" s="64">
        <f t="shared" ca="1" si="7"/>
        <v>0</v>
      </c>
      <c r="V13" s="64">
        <f t="shared" ca="1" si="7"/>
        <v>0</v>
      </c>
      <c r="W13" s="64">
        <f t="shared" ca="1" si="7"/>
        <v>0</v>
      </c>
      <c r="X13" s="64">
        <f t="shared" ca="1" si="7"/>
        <v>0</v>
      </c>
      <c r="Y13" s="64">
        <f t="shared" ca="1" si="7"/>
        <v>0</v>
      </c>
      <c r="Z13" s="64">
        <f t="shared" ca="1" si="7"/>
        <v>52.601999999999997</v>
      </c>
      <c r="AA13" s="64">
        <f t="shared" ca="1" si="7"/>
        <v>0</v>
      </c>
      <c r="AB13" s="118">
        <f t="shared" ca="1" si="11"/>
        <v>52.601999999999997</v>
      </c>
      <c r="AC13" s="119">
        <f t="shared" ca="1" si="8"/>
        <v>1</v>
      </c>
      <c r="AD13" s="119">
        <f t="shared" ca="1" si="9"/>
        <v>1</v>
      </c>
      <c r="AE13" s="119">
        <v>-0.5</v>
      </c>
      <c r="AF13" s="119">
        <v>0.5</v>
      </c>
      <c r="AG13" s="119">
        <v>0</v>
      </c>
      <c r="AH13" s="120">
        <f t="shared" ca="1" si="10"/>
        <v>0</v>
      </c>
      <c r="AI13" s="115">
        <f t="shared" ca="1" si="12"/>
        <v>4.3834999999999997</v>
      </c>
      <c r="AJ13" s="116">
        <f t="shared" ca="1" si="12"/>
        <v>4.3834999999999997</v>
      </c>
      <c r="AK13" s="116">
        <f t="shared" ca="1" si="12"/>
        <v>4.3834999999999997</v>
      </c>
      <c r="AL13" s="116">
        <f t="shared" ca="1" si="12"/>
        <v>4.3834999999999997</v>
      </c>
      <c r="AM13" s="116">
        <f t="shared" ca="1" si="12"/>
        <v>4.3834999999999997</v>
      </c>
      <c r="AN13" s="116">
        <f t="shared" ca="1" si="12"/>
        <v>4.3834999999999997</v>
      </c>
      <c r="AO13" s="116">
        <f t="shared" ca="1" si="12"/>
        <v>4.3834999999999997</v>
      </c>
      <c r="AP13" s="116">
        <f t="shared" ca="1" si="12"/>
        <v>4.3834999999999997</v>
      </c>
      <c r="AQ13" s="116">
        <f t="shared" ca="1" si="13"/>
        <v>4.3834999999999997</v>
      </c>
      <c r="AR13" s="116">
        <f t="shared" ca="1" si="13"/>
        <v>4.3834999999999997</v>
      </c>
      <c r="AS13" s="116">
        <f t="shared" ca="1" si="13"/>
        <v>4.3834999999999997</v>
      </c>
      <c r="AT13" s="116">
        <f t="shared" ca="1" si="13"/>
        <v>4.3834999999999997</v>
      </c>
      <c r="AU13" s="117">
        <f t="shared" ca="1" si="14"/>
        <v>52.601999999999983</v>
      </c>
    </row>
    <row r="14" spans="1:50" ht="15" customHeight="1" thickBot="1" x14ac:dyDescent="0.25">
      <c r="B14" s="65" t="s">
        <v>11</v>
      </c>
      <c r="C14" s="67" t="s">
        <v>15</v>
      </c>
      <c r="D14" s="64">
        <f t="shared" ca="1" si="6"/>
        <v>0</v>
      </c>
      <c r="E14" s="64">
        <f t="shared" ca="1" si="6"/>
        <v>0</v>
      </c>
      <c r="F14" s="64">
        <f t="shared" ca="1" si="6"/>
        <v>0</v>
      </c>
      <c r="G14" s="64">
        <f t="shared" ca="1" si="6"/>
        <v>0</v>
      </c>
      <c r="H14" s="64">
        <f t="shared" ca="1" si="6"/>
        <v>0</v>
      </c>
      <c r="I14" s="64">
        <f t="shared" ca="1" si="6"/>
        <v>0</v>
      </c>
      <c r="J14" s="64">
        <f t="shared" ca="1" si="6"/>
        <v>0</v>
      </c>
      <c r="K14" s="64">
        <f t="shared" ca="1" si="6"/>
        <v>0</v>
      </c>
      <c r="L14" s="64">
        <f t="shared" ca="1" si="6"/>
        <v>0</v>
      </c>
      <c r="M14" s="64">
        <f t="shared" ca="1" si="6"/>
        <v>0</v>
      </c>
      <c r="N14" s="64">
        <f t="shared" ca="1" si="7"/>
        <v>0</v>
      </c>
      <c r="O14" s="64">
        <f t="shared" ca="1" si="7"/>
        <v>0</v>
      </c>
      <c r="P14" s="64">
        <f t="shared" ca="1" si="7"/>
        <v>0</v>
      </c>
      <c r="Q14" s="64">
        <f t="shared" ca="1" si="7"/>
        <v>8.6389999999999993</v>
      </c>
      <c r="R14" s="64">
        <f t="shared" ca="1" si="7"/>
        <v>0</v>
      </c>
      <c r="S14" s="64">
        <f t="shared" ca="1" si="7"/>
        <v>0</v>
      </c>
      <c r="T14" s="64">
        <f t="shared" ca="1" si="7"/>
        <v>0</v>
      </c>
      <c r="U14" s="64">
        <f t="shared" ca="1" si="7"/>
        <v>0</v>
      </c>
      <c r="V14" s="64">
        <f t="shared" ca="1" si="7"/>
        <v>0</v>
      </c>
      <c r="W14" s="64">
        <f t="shared" ca="1" si="7"/>
        <v>0</v>
      </c>
      <c r="X14" s="64">
        <f t="shared" ca="1" si="7"/>
        <v>0</v>
      </c>
      <c r="Y14" s="64">
        <f t="shared" ca="1" si="7"/>
        <v>1.27</v>
      </c>
      <c r="Z14" s="64">
        <f t="shared" ca="1" si="7"/>
        <v>0</v>
      </c>
      <c r="AA14" s="64">
        <f t="shared" ca="1" si="7"/>
        <v>6.9854599999999998</v>
      </c>
      <c r="AB14" s="118">
        <f t="shared" ca="1" si="11"/>
        <v>16.894459999999999</v>
      </c>
      <c r="AC14" s="119">
        <f t="shared" ca="1" si="8"/>
        <v>1</v>
      </c>
      <c r="AD14" s="119">
        <f t="shared" ca="1" si="9"/>
        <v>1</v>
      </c>
      <c r="AE14" s="119">
        <v>-0.5</v>
      </c>
      <c r="AF14" s="119">
        <v>0.5</v>
      </c>
      <c r="AG14" s="119">
        <v>-1</v>
      </c>
      <c r="AH14" s="120">
        <f t="shared" ca="1" si="10"/>
        <v>-1</v>
      </c>
      <c r="AI14" s="115">
        <f t="shared" ca="1" si="12"/>
        <v>0</v>
      </c>
      <c r="AJ14" s="116">
        <f t="shared" ca="1" si="12"/>
        <v>0</v>
      </c>
      <c r="AK14" s="116">
        <f t="shared" ca="1" si="12"/>
        <v>0</v>
      </c>
      <c r="AL14" s="116">
        <f t="shared" ca="1" si="12"/>
        <v>0</v>
      </c>
      <c r="AM14" s="116">
        <f t="shared" ca="1" si="12"/>
        <v>0</v>
      </c>
      <c r="AN14" s="116">
        <f t="shared" ca="1" si="12"/>
        <v>0</v>
      </c>
      <c r="AO14" s="116">
        <f t="shared" ca="1" si="12"/>
        <v>0</v>
      </c>
      <c r="AP14" s="116">
        <f t="shared" ca="1" si="12"/>
        <v>0</v>
      </c>
      <c r="AQ14" s="116">
        <f t="shared" ca="1" si="13"/>
        <v>0</v>
      </c>
      <c r="AR14" s="116">
        <f t="shared" ca="1" si="13"/>
        <v>0</v>
      </c>
      <c r="AS14" s="116">
        <f t="shared" ca="1" si="13"/>
        <v>0</v>
      </c>
      <c r="AT14" s="116">
        <f t="shared" ca="1" si="13"/>
        <v>0</v>
      </c>
      <c r="AU14" s="117">
        <f t="shared" ca="1" si="14"/>
        <v>0</v>
      </c>
    </row>
    <row r="15" spans="1:50" ht="15" customHeight="1" thickBot="1" x14ac:dyDescent="0.25">
      <c r="B15" s="65" t="s">
        <v>12</v>
      </c>
      <c r="C15" s="67" t="s">
        <v>16</v>
      </c>
      <c r="D15" s="64">
        <f t="shared" ca="1" si="6"/>
        <v>0</v>
      </c>
      <c r="E15" s="64">
        <f t="shared" ca="1" si="6"/>
        <v>0</v>
      </c>
      <c r="F15" s="64">
        <f t="shared" ca="1" si="6"/>
        <v>0</v>
      </c>
      <c r="G15" s="64">
        <f t="shared" ca="1" si="6"/>
        <v>0</v>
      </c>
      <c r="H15" s="64">
        <f t="shared" ca="1" si="6"/>
        <v>0</v>
      </c>
      <c r="I15" s="64">
        <f t="shared" ca="1" si="6"/>
        <v>0</v>
      </c>
      <c r="J15" s="64">
        <f t="shared" ca="1" si="6"/>
        <v>0</v>
      </c>
      <c r="K15" s="64">
        <f t="shared" ca="1" si="6"/>
        <v>0</v>
      </c>
      <c r="L15" s="64">
        <f t="shared" ca="1" si="6"/>
        <v>0</v>
      </c>
      <c r="M15" s="64">
        <f t="shared" ca="1" si="6"/>
        <v>0</v>
      </c>
      <c r="N15" s="64">
        <f t="shared" ca="1" si="7"/>
        <v>0</v>
      </c>
      <c r="O15" s="64">
        <f t="shared" ca="1" si="7"/>
        <v>0</v>
      </c>
      <c r="P15" s="64">
        <f t="shared" ca="1" si="7"/>
        <v>0</v>
      </c>
      <c r="Q15" s="64">
        <f t="shared" ca="1" si="7"/>
        <v>0</v>
      </c>
      <c r="R15" s="64">
        <f t="shared" ca="1" si="7"/>
        <v>0</v>
      </c>
      <c r="S15" s="64">
        <f t="shared" ca="1" si="7"/>
        <v>0</v>
      </c>
      <c r="T15" s="64">
        <f t="shared" ca="1" si="7"/>
        <v>0</v>
      </c>
      <c r="U15" s="64">
        <f t="shared" ca="1" si="7"/>
        <v>0</v>
      </c>
      <c r="V15" s="64">
        <f t="shared" ca="1" si="7"/>
        <v>0</v>
      </c>
      <c r="W15" s="64">
        <f t="shared" ca="1" si="7"/>
        <v>0</v>
      </c>
      <c r="X15" s="64">
        <f t="shared" ca="1" si="7"/>
        <v>0</v>
      </c>
      <c r="Y15" s="64">
        <f t="shared" ca="1" si="7"/>
        <v>0</v>
      </c>
      <c r="Z15" s="64">
        <f t="shared" ca="1" si="7"/>
        <v>0</v>
      </c>
      <c r="AA15" s="64">
        <f t="shared" ca="1" si="7"/>
        <v>0</v>
      </c>
      <c r="AB15" s="118">
        <f t="shared" ca="1" si="11"/>
        <v>0</v>
      </c>
      <c r="AC15" s="119">
        <f t="shared" ca="1" si="8"/>
        <v>0</v>
      </c>
      <c r="AD15" s="119">
        <f t="shared" ca="1" si="9"/>
        <v>0</v>
      </c>
      <c r="AE15" s="119">
        <v>-0.5</v>
      </c>
      <c r="AF15" s="119">
        <v>0.5</v>
      </c>
      <c r="AG15" s="119">
        <v>0</v>
      </c>
      <c r="AH15" s="120">
        <f t="shared" ca="1" si="10"/>
        <v>0</v>
      </c>
      <c r="AI15" s="115">
        <f t="shared" ca="1" si="12"/>
        <v>0</v>
      </c>
      <c r="AJ15" s="116">
        <f t="shared" ca="1" si="12"/>
        <v>0</v>
      </c>
      <c r="AK15" s="116">
        <f t="shared" ca="1" si="12"/>
        <v>0</v>
      </c>
      <c r="AL15" s="116">
        <f t="shared" ca="1" si="12"/>
        <v>0</v>
      </c>
      <c r="AM15" s="116">
        <f t="shared" ca="1" si="12"/>
        <v>0</v>
      </c>
      <c r="AN15" s="116">
        <f t="shared" ca="1" si="12"/>
        <v>0</v>
      </c>
      <c r="AO15" s="116">
        <f t="shared" ca="1" si="12"/>
        <v>0</v>
      </c>
      <c r="AP15" s="116">
        <f t="shared" ca="1" si="12"/>
        <v>0</v>
      </c>
      <c r="AQ15" s="116">
        <f t="shared" ca="1" si="13"/>
        <v>0</v>
      </c>
      <c r="AR15" s="116">
        <f t="shared" ca="1" si="13"/>
        <v>0</v>
      </c>
      <c r="AS15" s="116">
        <f t="shared" ca="1" si="13"/>
        <v>0</v>
      </c>
      <c r="AT15" s="116">
        <f t="shared" ca="1" si="13"/>
        <v>0</v>
      </c>
      <c r="AU15" s="117">
        <f t="shared" ca="1" si="14"/>
        <v>0</v>
      </c>
    </row>
    <row r="16" spans="1:50" ht="15" customHeight="1" thickBot="1" x14ac:dyDescent="0.25">
      <c r="B16" s="65" t="s">
        <v>13</v>
      </c>
      <c r="C16" s="67" t="s">
        <v>17</v>
      </c>
      <c r="D16" s="64">
        <f t="shared" ca="1" si="6"/>
        <v>81.804640000000006</v>
      </c>
      <c r="E16" s="64">
        <f t="shared" ca="1" si="6"/>
        <v>264.48590999999999</v>
      </c>
      <c r="F16" s="64">
        <f t="shared" ca="1" si="6"/>
        <v>201.17025000000001</v>
      </c>
      <c r="G16" s="64">
        <f t="shared" ca="1" si="6"/>
        <v>229.72810000000001</v>
      </c>
      <c r="H16" s="64">
        <f t="shared" ca="1" si="6"/>
        <v>79.467380000000006</v>
      </c>
      <c r="I16" s="64">
        <f t="shared" ca="1" si="6"/>
        <v>59.983150000000002</v>
      </c>
      <c r="J16" s="64">
        <f t="shared" ca="1" si="6"/>
        <v>102.45948</v>
      </c>
      <c r="K16" s="64">
        <f t="shared" ca="1" si="6"/>
        <v>53.415999999999997</v>
      </c>
      <c r="L16" s="64">
        <f t="shared" ca="1" si="6"/>
        <v>74.671379999999999</v>
      </c>
      <c r="M16" s="64">
        <f t="shared" ca="1" si="6"/>
        <v>45.231919999999995</v>
      </c>
      <c r="N16" s="64">
        <f t="shared" ca="1" si="7"/>
        <v>98.05561999999999</v>
      </c>
      <c r="O16" s="64">
        <f t="shared" ca="1" si="7"/>
        <v>78.85999000000001</v>
      </c>
      <c r="P16" s="64">
        <f t="shared" ca="1" si="7"/>
        <v>67.168759999999992</v>
      </c>
      <c r="Q16" s="64">
        <f t="shared" ca="1" si="7"/>
        <v>67.593580000000003</v>
      </c>
      <c r="R16" s="64">
        <f t="shared" ca="1" si="7"/>
        <v>61.83222</v>
      </c>
      <c r="S16" s="64">
        <f t="shared" ca="1" si="7"/>
        <v>81.790679999999995</v>
      </c>
      <c r="T16" s="64">
        <f t="shared" ca="1" si="7"/>
        <v>28.97241</v>
      </c>
      <c r="U16" s="64">
        <f t="shared" ca="1" si="7"/>
        <v>442.38346999999999</v>
      </c>
      <c r="V16" s="64">
        <f t="shared" ca="1" si="7"/>
        <v>43.776449999999997</v>
      </c>
      <c r="W16" s="64">
        <f t="shared" ca="1" si="7"/>
        <v>41.538820000000001</v>
      </c>
      <c r="X16" s="64">
        <f t="shared" ca="1" si="7"/>
        <v>59.105719999999998</v>
      </c>
      <c r="Y16" s="64">
        <f t="shared" ca="1" si="7"/>
        <v>85.36739</v>
      </c>
      <c r="Z16" s="64">
        <f t="shared" ca="1" si="7"/>
        <v>43.108489999999996</v>
      </c>
      <c r="AA16" s="64">
        <f t="shared" ca="1" si="7"/>
        <v>306.98892000000001</v>
      </c>
      <c r="AB16" s="118">
        <f t="shared" ca="1" si="11"/>
        <v>1329.62691</v>
      </c>
      <c r="AC16" s="119">
        <f t="shared" ca="1" si="8"/>
        <v>0.28096526665594435</v>
      </c>
      <c r="AD16" s="119">
        <f t="shared" ca="1" si="9"/>
        <v>-2.8997246266801557E-2</v>
      </c>
      <c r="AE16" s="119">
        <v>-0.5</v>
      </c>
      <c r="AF16" s="119">
        <v>0.5</v>
      </c>
      <c r="AG16" s="119">
        <v>0</v>
      </c>
      <c r="AH16" s="120">
        <f t="shared" ca="1" si="10"/>
        <v>0</v>
      </c>
      <c r="AI16" s="115">
        <f t="shared" ca="1" si="12"/>
        <v>110.80224249999999</v>
      </c>
      <c r="AJ16" s="116">
        <f t="shared" ca="1" si="12"/>
        <v>110.80224249999999</v>
      </c>
      <c r="AK16" s="116">
        <f t="shared" ca="1" si="12"/>
        <v>110.80224249999999</v>
      </c>
      <c r="AL16" s="116">
        <f t="shared" ca="1" si="12"/>
        <v>110.80224249999999</v>
      </c>
      <c r="AM16" s="116">
        <f t="shared" ca="1" si="12"/>
        <v>110.80224249999999</v>
      </c>
      <c r="AN16" s="116">
        <f t="shared" ca="1" si="12"/>
        <v>110.80224249999999</v>
      </c>
      <c r="AO16" s="116">
        <f t="shared" ca="1" si="12"/>
        <v>110.80224249999999</v>
      </c>
      <c r="AP16" s="116">
        <f t="shared" ca="1" si="12"/>
        <v>110.80224249999999</v>
      </c>
      <c r="AQ16" s="116">
        <f t="shared" ca="1" si="13"/>
        <v>110.80224249999999</v>
      </c>
      <c r="AR16" s="116">
        <f t="shared" ca="1" si="13"/>
        <v>110.80224249999999</v>
      </c>
      <c r="AS16" s="116">
        <f t="shared" ca="1" si="13"/>
        <v>110.80224249999999</v>
      </c>
      <c r="AT16" s="116">
        <f t="shared" ca="1" si="13"/>
        <v>110.80224249999999</v>
      </c>
      <c r="AU16" s="117">
        <f t="shared" ca="1" si="14"/>
        <v>1329.62691</v>
      </c>
    </row>
    <row r="17" spans="2:47" ht="15" customHeight="1" thickBot="1" x14ac:dyDescent="0.25">
      <c r="B17" s="65" t="s">
        <v>18</v>
      </c>
      <c r="C17" s="67" t="s">
        <v>26</v>
      </c>
      <c r="D17" s="64">
        <f t="shared" ca="1" si="6"/>
        <v>0</v>
      </c>
      <c r="E17" s="64">
        <f t="shared" ca="1" si="6"/>
        <v>0</v>
      </c>
      <c r="F17" s="64">
        <f t="shared" ca="1" si="6"/>
        <v>0</v>
      </c>
      <c r="G17" s="64">
        <f t="shared" ca="1" si="6"/>
        <v>0</v>
      </c>
      <c r="H17" s="64">
        <f t="shared" ca="1" si="6"/>
        <v>0</v>
      </c>
      <c r="I17" s="64">
        <f t="shared" ca="1" si="6"/>
        <v>0</v>
      </c>
      <c r="J17" s="64">
        <f t="shared" ca="1" si="6"/>
        <v>0</v>
      </c>
      <c r="K17" s="64">
        <f t="shared" ca="1" si="6"/>
        <v>0</v>
      </c>
      <c r="L17" s="64">
        <f t="shared" ca="1" si="6"/>
        <v>0</v>
      </c>
      <c r="M17" s="64">
        <f t="shared" ca="1" si="6"/>
        <v>0</v>
      </c>
      <c r="N17" s="64">
        <f t="shared" ca="1" si="7"/>
        <v>0</v>
      </c>
      <c r="O17" s="64">
        <f t="shared" ca="1" si="7"/>
        <v>0</v>
      </c>
      <c r="P17" s="64">
        <f t="shared" ca="1" si="7"/>
        <v>0</v>
      </c>
      <c r="Q17" s="64">
        <f t="shared" ca="1" si="7"/>
        <v>0</v>
      </c>
      <c r="R17" s="64">
        <f t="shared" ca="1" si="7"/>
        <v>0</v>
      </c>
      <c r="S17" s="64">
        <f t="shared" ca="1" si="7"/>
        <v>0</v>
      </c>
      <c r="T17" s="64">
        <f t="shared" ca="1" si="7"/>
        <v>0</v>
      </c>
      <c r="U17" s="64">
        <f t="shared" ca="1" si="7"/>
        <v>0</v>
      </c>
      <c r="V17" s="64">
        <f t="shared" ca="1" si="7"/>
        <v>0</v>
      </c>
      <c r="W17" s="64">
        <f t="shared" ca="1" si="7"/>
        <v>0</v>
      </c>
      <c r="X17" s="64">
        <f t="shared" ca="1" si="7"/>
        <v>0</v>
      </c>
      <c r="Y17" s="64">
        <f t="shared" ca="1" si="7"/>
        <v>0</v>
      </c>
      <c r="Z17" s="64">
        <f t="shared" ca="1" si="7"/>
        <v>0</v>
      </c>
      <c r="AA17" s="64">
        <f t="shared" ca="1" si="7"/>
        <v>0</v>
      </c>
      <c r="AB17" s="118">
        <f t="shared" ca="1" si="11"/>
        <v>0</v>
      </c>
      <c r="AC17" s="119">
        <f t="shared" ca="1" si="8"/>
        <v>0</v>
      </c>
      <c r="AD17" s="119">
        <f t="shared" ca="1" si="9"/>
        <v>0</v>
      </c>
      <c r="AE17" s="119">
        <v>-0.5</v>
      </c>
      <c r="AF17" s="119">
        <v>0.5</v>
      </c>
      <c r="AG17" s="119">
        <v>-1</v>
      </c>
      <c r="AH17" s="120">
        <f t="shared" ca="1" si="10"/>
        <v>-1</v>
      </c>
      <c r="AI17" s="115">
        <f t="shared" ca="1" si="12"/>
        <v>0</v>
      </c>
      <c r="AJ17" s="116">
        <f t="shared" ca="1" si="12"/>
        <v>0</v>
      </c>
      <c r="AK17" s="116">
        <f t="shared" ca="1" si="12"/>
        <v>0</v>
      </c>
      <c r="AL17" s="116">
        <f t="shared" ca="1" si="12"/>
        <v>0</v>
      </c>
      <c r="AM17" s="116">
        <f t="shared" ca="1" si="12"/>
        <v>0</v>
      </c>
      <c r="AN17" s="116">
        <f t="shared" ca="1" si="12"/>
        <v>0</v>
      </c>
      <c r="AO17" s="116">
        <f t="shared" ca="1" si="12"/>
        <v>0</v>
      </c>
      <c r="AP17" s="116">
        <f t="shared" ca="1" si="12"/>
        <v>0</v>
      </c>
      <c r="AQ17" s="116">
        <f t="shared" ca="1" si="13"/>
        <v>0</v>
      </c>
      <c r="AR17" s="116">
        <f t="shared" ca="1" si="13"/>
        <v>0</v>
      </c>
      <c r="AS17" s="116">
        <f t="shared" ca="1" si="13"/>
        <v>0</v>
      </c>
      <c r="AT17" s="116">
        <f t="shared" ca="1" si="13"/>
        <v>0</v>
      </c>
      <c r="AU17" s="117">
        <f t="shared" ca="1" si="14"/>
        <v>0</v>
      </c>
    </row>
    <row r="18" spans="2:47" ht="15" customHeight="1" thickBot="1" x14ac:dyDescent="0.25">
      <c r="B18" s="65" t="s">
        <v>19</v>
      </c>
      <c r="C18" s="67" t="s">
        <v>27</v>
      </c>
      <c r="D18" s="64">
        <f t="shared" ca="1" si="6"/>
        <v>11.6373</v>
      </c>
      <c r="E18" s="64">
        <f t="shared" ca="1" si="6"/>
        <v>11.86891</v>
      </c>
      <c r="F18" s="64">
        <f t="shared" ca="1" si="6"/>
        <v>12.07963</v>
      </c>
      <c r="G18" s="64">
        <f t="shared" ca="1" si="6"/>
        <v>11.324440000000001</v>
      </c>
      <c r="H18" s="64">
        <f t="shared" ca="1" si="6"/>
        <v>10.815719999999999</v>
      </c>
      <c r="I18" s="64">
        <f t="shared" ca="1" si="6"/>
        <v>93.836669999999998</v>
      </c>
      <c r="J18" s="64">
        <f t="shared" ca="1" si="6"/>
        <v>9.070549999999999</v>
      </c>
      <c r="K18" s="64">
        <f t="shared" ca="1" si="6"/>
        <v>8.4828500000000009</v>
      </c>
      <c r="L18" s="64">
        <f t="shared" ca="1" si="6"/>
        <v>8.3544300000000007</v>
      </c>
      <c r="M18" s="64">
        <f t="shared" ca="1" si="6"/>
        <v>8.15259</v>
      </c>
      <c r="N18" s="64">
        <f t="shared" ca="1" si="7"/>
        <v>8.0033799999999999</v>
      </c>
      <c r="O18" s="64">
        <f t="shared" ca="1" si="7"/>
        <v>9.4857300000000002</v>
      </c>
      <c r="P18" s="64">
        <f t="shared" ca="1" si="7"/>
        <v>73.405710000000013</v>
      </c>
      <c r="Q18" s="64">
        <f t="shared" ca="1" si="7"/>
        <v>10.996649999999999</v>
      </c>
      <c r="R18" s="64">
        <f t="shared" ca="1" si="7"/>
        <v>10.866879999999998</v>
      </c>
      <c r="S18" s="64">
        <f t="shared" ca="1" si="7"/>
        <v>9.5736000000000008</v>
      </c>
      <c r="T18" s="64">
        <f t="shared" ca="1" si="7"/>
        <v>9.5068799999999989</v>
      </c>
      <c r="U18" s="64">
        <f t="shared" ca="1" si="7"/>
        <v>63.650220000000004</v>
      </c>
      <c r="V18" s="64">
        <f t="shared" ca="1" si="7"/>
        <v>5.58535</v>
      </c>
      <c r="W18" s="64">
        <f t="shared" ca="1" si="7"/>
        <v>4.85982</v>
      </c>
      <c r="X18" s="64">
        <f t="shared" ca="1" si="7"/>
        <v>3.9747199999999996</v>
      </c>
      <c r="Y18" s="64">
        <f t="shared" ca="1" si="7"/>
        <v>3.3685700000000001</v>
      </c>
      <c r="Z18" s="64">
        <f t="shared" ca="1" si="7"/>
        <v>3.2081500000000003</v>
      </c>
      <c r="AA18" s="64">
        <f t="shared" ca="1" si="7"/>
        <v>2.2499000000000002</v>
      </c>
      <c r="AB18" s="118">
        <f t="shared" ca="1" si="11"/>
        <v>201.24645000000001</v>
      </c>
      <c r="AC18" s="119">
        <f t="shared" ca="1" si="8"/>
        <v>-0.549045161032506</v>
      </c>
      <c r="AD18" s="119">
        <f t="shared" ca="1" si="9"/>
        <v>-9.1858096165566838E-3</v>
      </c>
      <c r="AE18" s="119">
        <v>-0.5</v>
      </c>
      <c r="AF18" s="119">
        <v>0.5</v>
      </c>
      <c r="AG18" s="119">
        <v>0</v>
      </c>
      <c r="AH18" s="120">
        <f t="shared" ca="1" si="10"/>
        <v>0</v>
      </c>
      <c r="AI18" s="115">
        <f t="shared" ca="1" si="12"/>
        <v>16.7705375</v>
      </c>
      <c r="AJ18" s="116">
        <f t="shared" ca="1" si="12"/>
        <v>16.7705375</v>
      </c>
      <c r="AK18" s="116">
        <f t="shared" ca="1" si="12"/>
        <v>16.7705375</v>
      </c>
      <c r="AL18" s="116">
        <f t="shared" ca="1" si="12"/>
        <v>16.7705375</v>
      </c>
      <c r="AM18" s="116">
        <f t="shared" ca="1" si="12"/>
        <v>16.7705375</v>
      </c>
      <c r="AN18" s="116">
        <f t="shared" ca="1" si="12"/>
        <v>16.7705375</v>
      </c>
      <c r="AO18" s="116">
        <f t="shared" ca="1" si="12"/>
        <v>16.7705375</v>
      </c>
      <c r="AP18" s="116">
        <f t="shared" ca="1" si="12"/>
        <v>16.7705375</v>
      </c>
      <c r="AQ18" s="116">
        <f t="shared" ca="1" si="13"/>
        <v>16.7705375</v>
      </c>
      <c r="AR18" s="116">
        <f t="shared" ca="1" si="13"/>
        <v>16.7705375</v>
      </c>
      <c r="AS18" s="116">
        <f t="shared" ca="1" si="13"/>
        <v>16.7705375</v>
      </c>
      <c r="AT18" s="116">
        <f t="shared" ca="1" si="13"/>
        <v>16.7705375</v>
      </c>
      <c r="AU18" s="117">
        <f t="shared" ca="1" si="14"/>
        <v>201.24644999999995</v>
      </c>
    </row>
    <row r="19" spans="2:47" ht="15" customHeight="1" thickBot="1" x14ac:dyDescent="0.25">
      <c r="B19" s="65" t="s">
        <v>20</v>
      </c>
      <c r="C19" s="67" t="s">
        <v>28</v>
      </c>
      <c r="D19" s="64">
        <f t="shared" ref="D19:M25" ca="1" si="15">AbraTurnover(URL,Username,Password,$C19,D$6,D$7)/1000</f>
        <v>0</v>
      </c>
      <c r="E19" s="64">
        <f t="shared" ca="1" si="15"/>
        <v>0</v>
      </c>
      <c r="F19" s="64">
        <f t="shared" ca="1" si="15"/>
        <v>0</v>
      </c>
      <c r="G19" s="64">
        <f t="shared" ca="1" si="15"/>
        <v>0</v>
      </c>
      <c r="H19" s="64">
        <f t="shared" ca="1" si="15"/>
        <v>0</v>
      </c>
      <c r="I19" s="64">
        <f t="shared" ca="1" si="15"/>
        <v>64.750950000000003</v>
      </c>
      <c r="J19" s="64">
        <f t="shared" ca="1" si="15"/>
        <v>0</v>
      </c>
      <c r="K19" s="64">
        <f t="shared" ca="1" si="15"/>
        <v>0</v>
      </c>
      <c r="L19" s="64">
        <f t="shared" ca="1" si="15"/>
        <v>0.54596</v>
      </c>
      <c r="M19" s="64">
        <f t="shared" ca="1" si="15"/>
        <v>0</v>
      </c>
      <c r="N19" s="64">
        <f t="shared" ref="N19:AA25" ca="1" si="16">AbraTurnover(URL,Username,Password,$C19,N$6,N$7)/1000</f>
        <v>0</v>
      </c>
      <c r="O19" s="64">
        <f t="shared" ca="1" si="16"/>
        <v>0</v>
      </c>
      <c r="P19" s="64">
        <f t="shared" ca="1" si="16"/>
        <v>0</v>
      </c>
      <c r="Q19" s="64">
        <f t="shared" ca="1" si="16"/>
        <v>0</v>
      </c>
      <c r="R19" s="64">
        <f t="shared" ca="1" si="16"/>
        <v>2.36294</v>
      </c>
      <c r="S19" s="64">
        <f t="shared" ca="1" si="16"/>
        <v>0</v>
      </c>
      <c r="T19" s="64">
        <f t="shared" ca="1" si="16"/>
        <v>1.09E-2</v>
      </c>
      <c r="U19" s="64">
        <f t="shared" ca="1" si="16"/>
        <v>16.121980000000001</v>
      </c>
      <c r="V19" s="64">
        <f t="shared" ca="1" si="16"/>
        <v>-9.7959999999999992E-2</v>
      </c>
      <c r="W19" s="64">
        <f t="shared" ca="1" si="16"/>
        <v>-0.56996000000000002</v>
      </c>
      <c r="X19" s="64">
        <f t="shared" ca="1" si="16"/>
        <v>6.1826999999999996</v>
      </c>
      <c r="Y19" s="64">
        <f t="shared" ca="1" si="16"/>
        <v>0</v>
      </c>
      <c r="Z19" s="64">
        <f t="shared" ca="1" si="16"/>
        <v>2.954E-2</v>
      </c>
      <c r="AA19" s="64">
        <f t="shared" ca="1" si="16"/>
        <v>1.6460000000000002E-2</v>
      </c>
      <c r="AB19" s="118">
        <f ca="1">SUM(P19:AA19)</f>
        <v>24.0566</v>
      </c>
      <c r="AC19" s="119">
        <f t="shared" ca="1" si="8"/>
        <v>9.1853249322294683</v>
      </c>
      <c r="AD19" s="119">
        <f t="shared" ca="1" si="9"/>
        <v>-0.63158134129164756</v>
      </c>
      <c r="AE19" s="119">
        <v>-0.5</v>
      </c>
      <c r="AF19" s="119">
        <v>0.5</v>
      </c>
      <c r="AG19" s="119">
        <v>0</v>
      </c>
      <c r="AH19" s="120">
        <f t="shared" ca="1" si="10"/>
        <v>0</v>
      </c>
      <c r="AI19" s="115">
        <f t="shared" ca="1" si="12"/>
        <v>2.0047166666666665</v>
      </c>
      <c r="AJ19" s="116">
        <f t="shared" ca="1" si="12"/>
        <v>2.0047166666666665</v>
      </c>
      <c r="AK19" s="116">
        <f t="shared" ca="1" si="12"/>
        <v>2.0047166666666665</v>
      </c>
      <c r="AL19" s="116">
        <f t="shared" ca="1" si="12"/>
        <v>2.0047166666666665</v>
      </c>
      <c r="AM19" s="116">
        <f t="shared" ca="1" si="12"/>
        <v>2.0047166666666665</v>
      </c>
      <c r="AN19" s="116">
        <f t="shared" ca="1" si="12"/>
        <v>2.0047166666666665</v>
      </c>
      <c r="AO19" s="116">
        <f t="shared" ca="1" si="12"/>
        <v>2.0047166666666665</v>
      </c>
      <c r="AP19" s="116">
        <f t="shared" ca="1" si="12"/>
        <v>2.0047166666666665</v>
      </c>
      <c r="AQ19" s="116">
        <f t="shared" ca="1" si="13"/>
        <v>2.0047166666666665</v>
      </c>
      <c r="AR19" s="116">
        <f t="shared" ca="1" si="13"/>
        <v>2.0047166666666665</v>
      </c>
      <c r="AS19" s="116">
        <f t="shared" ca="1" si="13"/>
        <v>2.0047166666666665</v>
      </c>
      <c r="AT19" s="116">
        <f t="shared" ca="1" si="13"/>
        <v>2.0047166666666665</v>
      </c>
      <c r="AU19" s="117">
        <f t="shared" ca="1" si="14"/>
        <v>24.0566</v>
      </c>
    </row>
    <row r="20" spans="2:47" ht="15" customHeight="1" thickBot="1" x14ac:dyDescent="0.25">
      <c r="B20" s="65" t="s">
        <v>21</v>
      </c>
      <c r="C20" s="67" t="s">
        <v>29</v>
      </c>
      <c r="D20" s="64">
        <f t="shared" ca="1" si="15"/>
        <v>0</v>
      </c>
      <c r="E20" s="64">
        <f t="shared" ca="1" si="15"/>
        <v>0</v>
      </c>
      <c r="F20" s="64">
        <f t="shared" ca="1" si="15"/>
        <v>0</v>
      </c>
      <c r="G20" s="64">
        <f t="shared" ca="1" si="15"/>
        <v>0</v>
      </c>
      <c r="H20" s="64">
        <f t="shared" ca="1" si="15"/>
        <v>0</v>
      </c>
      <c r="I20" s="64">
        <f t="shared" ca="1" si="15"/>
        <v>0</v>
      </c>
      <c r="J20" s="64">
        <f t="shared" ca="1" si="15"/>
        <v>0</v>
      </c>
      <c r="K20" s="64">
        <f t="shared" ca="1" si="15"/>
        <v>0</v>
      </c>
      <c r="L20" s="64">
        <f t="shared" ca="1" si="15"/>
        <v>0</v>
      </c>
      <c r="M20" s="64">
        <f t="shared" ca="1" si="15"/>
        <v>0</v>
      </c>
      <c r="N20" s="64">
        <f t="shared" ca="1" si="16"/>
        <v>0</v>
      </c>
      <c r="O20" s="64">
        <f t="shared" ca="1" si="16"/>
        <v>0</v>
      </c>
      <c r="P20" s="64">
        <f t="shared" ca="1" si="16"/>
        <v>0</v>
      </c>
      <c r="Q20" s="64">
        <f t="shared" ca="1" si="16"/>
        <v>0</v>
      </c>
      <c r="R20" s="64">
        <f t="shared" ca="1" si="16"/>
        <v>0</v>
      </c>
      <c r="S20" s="64">
        <f t="shared" ca="1" si="16"/>
        <v>0</v>
      </c>
      <c r="T20" s="64">
        <f t="shared" ca="1" si="16"/>
        <v>0</v>
      </c>
      <c r="U20" s="64">
        <f t="shared" ca="1" si="16"/>
        <v>0</v>
      </c>
      <c r="V20" s="64">
        <f t="shared" ca="1" si="16"/>
        <v>0</v>
      </c>
      <c r="W20" s="64">
        <f t="shared" ca="1" si="16"/>
        <v>0</v>
      </c>
      <c r="X20" s="64">
        <f t="shared" ca="1" si="16"/>
        <v>0</v>
      </c>
      <c r="Y20" s="64">
        <f t="shared" ca="1" si="16"/>
        <v>0</v>
      </c>
      <c r="Z20" s="64">
        <f t="shared" ca="1" si="16"/>
        <v>0</v>
      </c>
      <c r="AA20" s="64">
        <f t="shared" ca="1" si="16"/>
        <v>0</v>
      </c>
      <c r="AB20" s="118">
        <f t="shared" ca="1" si="11"/>
        <v>0</v>
      </c>
      <c r="AC20" s="119">
        <f t="shared" ca="1" si="8"/>
        <v>0</v>
      </c>
      <c r="AD20" s="119">
        <f t="shared" ca="1" si="9"/>
        <v>0</v>
      </c>
      <c r="AE20" s="119">
        <v>-0.5</v>
      </c>
      <c r="AF20" s="119">
        <v>0.5</v>
      </c>
      <c r="AG20" s="119">
        <v>0</v>
      </c>
      <c r="AH20" s="120">
        <f t="shared" ca="1" si="10"/>
        <v>0</v>
      </c>
      <c r="AI20" s="115">
        <f t="shared" ca="1" si="12"/>
        <v>0</v>
      </c>
      <c r="AJ20" s="116">
        <f t="shared" ca="1" si="12"/>
        <v>0</v>
      </c>
      <c r="AK20" s="116">
        <f t="shared" ca="1" si="12"/>
        <v>0</v>
      </c>
      <c r="AL20" s="116">
        <f t="shared" ca="1" si="12"/>
        <v>0</v>
      </c>
      <c r="AM20" s="116">
        <f t="shared" ca="1" si="12"/>
        <v>0</v>
      </c>
      <c r="AN20" s="116">
        <f t="shared" ca="1" si="12"/>
        <v>0</v>
      </c>
      <c r="AO20" s="116">
        <f t="shared" ca="1" si="12"/>
        <v>0</v>
      </c>
      <c r="AP20" s="116">
        <f t="shared" ca="1" si="12"/>
        <v>0</v>
      </c>
      <c r="AQ20" s="116">
        <f t="shared" ca="1" si="13"/>
        <v>0</v>
      </c>
      <c r="AR20" s="116">
        <f t="shared" ca="1" si="13"/>
        <v>0</v>
      </c>
      <c r="AS20" s="116">
        <f t="shared" ca="1" si="13"/>
        <v>0</v>
      </c>
      <c r="AT20" s="116">
        <f t="shared" ca="1" si="13"/>
        <v>0</v>
      </c>
      <c r="AU20" s="117">
        <f t="shared" ca="1" si="14"/>
        <v>0</v>
      </c>
    </row>
    <row r="21" spans="2:47" ht="15" customHeight="1" thickBot="1" x14ac:dyDescent="0.25">
      <c r="B21" s="65" t="s">
        <v>22</v>
      </c>
      <c r="C21" s="67" t="s">
        <v>30</v>
      </c>
      <c r="D21" s="64">
        <f t="shared" ca="1" si="15"/>
        <v>0</v>
      </c>
      <c r="E21" s="64">
        <f t="shared" ca="1" si="15"/>
        <v>0</v>
      </c>
      <c r="F21" s="64">
        <f t="shared" ca="1" si="15"/>
        <v>0</v>
      </c>
      <c r="G21" s="64">
        <f t="shared" ca="1" si="15"/>
        <v>0</v>
      </c>
      <c r="H21" s="64">
        <f t="shared" ca="1" si="15"/>
        <v>0</v>
      </c>
      <c r="I21" s="64">
        <f t="shared" ca="1" si="15"/>
        <v>0</v>
      </c>
      <c r="J21" s="64">
        <f t="shared" ca="1" si="15"/>
        <v>0</v>
      </c>
      <c r="K21" s="64">
        <f t="shared" ca="1" si="15"/>
        <v>0</v>
      </c>
      <c r="L21" s="64">
        <f t="shared" ca="1" si="15"/>
        <v>0</v>
      </c>
      <c r="M21" s="64">
        <f t="shared" ca="1" si="15"/>
        <v>0</v>
      </c>
      <c r="N21" s="64">
        <f t="shared" ca="1" si="16"/>
        <v>0</v>
      </c>
      <c r="O21" s="64">
        <f t="shared" ca="1" si="16"/>
        <v>0</v>
      </c>
      <c r="P21" s="64">
        <f t="shared" ca="1" si="16"/>
        <v>0</v>
      </c>
      <c r="Q21" s="64">
        <f t="shared" ca="1" si="16"/>
        <v>0</v>
      </c>
      <c r="R21" s="64">
        <f t="shared" ca="1" si="16"/>
        <v>0</v>
      </c>
      <c r="S21" s="64">
        <f t="shared" ca="1" si="16"/>
        <v>0</v>
      </c>
      <c r="T21" s="64">
        <f t="shared" ca="1" si="16"/>
        <v>0</v>
      </c>
      <c r="U21" s="64">
        <f t="shared" ca="1" si="16"/>
        <v>0</v>
      </c>
      <c r="V21" s="64">
        <f t="shared" ca="1" si="16"/>
        <v>0</v>
      </c>
      <c r="W21" s="64">
        <f t="shared" ca="1" si="16"/>
        <v>0</v>
      </c>
      <c r="X21" s="64">
        <f t="shared" ca="1" si="16"/>
        <v>0</v>
      </c>
      <c r="Y21" s="64">
        <f t="shared" ca="1" si="16"/>
        <v>0</v>
      </c>
      <c r="Z21" s="64">
        <f t="shared" ca="1" si="16"/>
        <v>0</v>
      </c>
      <c r="AA21" s="64">
        <f t="shared" ca="1" si="16"/>
        <v>0</v>
      </c>
      <c r="AB21" s="118">
        <f t="shared" ca="1" si="11"/>
        <v>0</v>
      </c>
      <c r="AC21" s="119">
        <f t="shared" ca="1" si="8"/>
        <v>0</v>
      </c>
      <c r="AD21" s="119">
        <f t="shared" ca="1" si="9"/>
        <v>0</v>
      </c>
      <c r="AE21" s="119">
        <v>-0.5</v>
      </c>
      <c r="AF21" s="119">
        <v>0.5</v>
      </c>
      <c r="AG21" s="119">
        <v>0</v>
      </c>
      <c r="AH21" s="120">
        <f t="shared" ca="1" si="10"/>
        <v>0</v>
      </c>
      <c r="AI21" s="115">
        <f t="shared" ca="1" si="12"/>
        <v>0</v>
      </c>
      <c r="AJ21" s="116">
        <f t="shared" ca="1" si="12"/>
        <v>0</v>
      </c>
      <c r="AK21" s="116">
        <f t="shared" ca="1" si="12"/>
        <v>0</v>
      </c>
      <c r="AL21" s="116">
        <f t="shared" ca="1" si="12"/>
        <v>0</v>
      </c>
      <c r="AM21" s="116">
        <f t="shared" ca="1" si="12"/>
        <v>0</v>
      </c>
      <c r="AN21" s="116">
        <f t="shared" ca="1" si="12"/>
        <v>0</v>
      </c>
      <c r="AO21" s="116">
        <f t="shared" ca="1" si="12"/>
        <v>0</v>
      </c>
      <c r="AP21" s="116">
        <f t="shared" ca="1" si="12"/>
        <v>0</v>
      </c>
      <c r="AQ21" s="116">
        <f t="shared" ca="1" si="13"/>
        <v>0</v>
      </c>
      <c r="AR21" s="116">
        <f t="shared" ca="1" si="13"/>
        <v>0</v>
      </c>
      <c r="AS21" s="116">
        <f t="shared" ca="1" si="13"/>
        <v>0</v>
      </c>
      <c r="AT21" s="116">
        <f t="shared" ca="1" si="13"/>
        <v>0</v>
      </c>
      <c r="AU21" s="117">
        <f t="shared" ca="1" si="14"/>
        <v>0</v>
      </c>
    </row>
    <row r="22" spans="2:47" ht="15" customHeight="1" thickBot="1" x14ac:dyDescent="0.25">
      <c r="B22" s="65" t="s">
        <v>23</v>
      </c>
      <c r="C22" s="67" t="s">
        <v>31</v>
      </c>
      <c r="D22" s="64">
        <f t="shared" ca="1" si="15"/>
        <v>0</v>
      </c>
      <c r="E22" s="64">
        <f t="shared" ca="1" si="15"/>
        <v>0</v>
      </c>
      <c r="F22" s="64">
        <f t="shared" ca="1" si="15"/>
        <v>0</v>
      </c>
      <c r="G22" s="64">
        <f t="shared" ca="1" si="15"/>
        <v>0</v>
      </c>
      <c r="H22" s="64">
        <f t="shared" ca="1" si="15"/>
        <v>0</v>
      </c>
      <c r="I22" s="64">
        <f t="shared" ca="1" si="15"/>
        <v>0</v>
      </c>
      <c r="J22" s="64">
        <f t="shared" ca="1" si="15"/>
        <v>0</v>
      </c>
      <c r="K22" s="64">
        <f t="shared" ca="1" si="15"/>
        <v>0</v>
      </c>
      <c r="L22" s="64">
        <f t="shared" ca="1" si="15"/>
        <v>0</v>
      </c>
      <c r="M22" s="64">
        <f t="shared" ca="1" si="15"/>
        <v>0</v>
      </c>
      <c r="N22" s="64">
        <f t="shared" ca="1" si="16"/>
        <v>0</v>
      </c>
      <c r="O22" s="64">
        <f t="shared" ca="1" si="16"/>
        <v>0</v>
      </c>
      <c r="P22" s="64">
        <f t="shared" ca="1" si="16"/>
        <v>0</v>
      </c>
      <c r="Q22" s="64">
        <f t="shared" ca="1" si="16"/>
        <v>0</v>
      </c>
      <c r="R22" s="64">
        <f t="shared" ca="1" si="16"/>
        <v>0</v>
      </c>
      <c r="S22" s="64">
        <f t="shared" ca="1" si="16"/>
        <v>0</v>
      </c>
      <c r="T22" s="64">
        <f t="shared" ca="1" si="16"/>
        <v>0</v>
      </c>
      <c r="U22" s="64">
        <f t="shared" ca="1" si="16"/>
        <v>0</v>
      </c>
      <c r="V22" s="64">
        <f t="shared" ca="1" si="16"/>
        <v>0</v>
      </c>
      <c r="W22" s="64">
        <f t="shared" ca="1" si="16"/>
        <v>0</v>
      </c>
      <c r="X22" s="64">
        <f t="shared" ca="1" si="16"/>
        <v>0</v>
      </c>
      <c r="Y22" s="64">
        <f t="shared" ca="1" si="16"/>
        <v>0</v>
      </c>
      <c r="Z22" s="64">
        <f t="shared" ca="1" si="16"/>
        <v>0</v>
      </c>
      <c r="AA22" s="64">
        <f t="shared" ca="1" si="16"/>
        <v>0</v>
      </c>
      <c r="AB22" s="118">
        <f t="shared" ca="1" si="11"/>
        <v>0</v>
      </c>
      <c r="AC22" s="119">
        <f t="shared" ca="1" si="8"/>
        <v>0</v>
      </c>
      <c r="AD22" s="119">
        <f t="shared" ca="1" si="9"/>
        <v>0</v>
      </c>
      <c r="AE22" s="119">
        <v>-0.5</v>
      </c>
      <c r="AF22" s="119">
        <v>0.5</v>
      </c>
      <c r="AG22" s="119">
        <v>0</v>
      </c>
      <c r="AH22" s="120">
        <f t="shared" ca="1" si="10"/>
        <v>0</v>
      </c>
      <c r="AI22" s="115">
        <f t="shared" ca="1" si="12"/>
        <v>0</v>
      </c>
      <c r="AJ22" s="116">
        <f t="shared" ca="1" si="12"/>
        <v>0</v>
      </c>
      <c r="AK22" s="116">
        <f t="shared" ca="1" si="12"/>
        <v>0</v>
      </c>
      <c r="AL22" s="116">
        <f t="shared" ca="1" si="12"/>
        <v>0</v>
      </c>
      <c r="AM22" s="116">
        <f t="shared" ca="1" si="12"/>
        <v>0</v>
      </c>
      <c r="AN22" s="116">
        <f t="shared" ca="1" si="12"/>
        <v>0</v>
      </c>
      <c r="AO22" s="116">
        <f t="shared" ca="1" si="12"/>
        <v>0</v>
      </c>
      <c r="AP22" s="116">
        <f t="shared" ca="1" si="12"/>
        <v>0</v>
      </c>
      <c r="AQ22" s="116">
        <f t="shared" ca="1" si="13"/>
        <v>0</v>
      </c>
      <c r="AR22" s="116">
        <f t="shared" ca="1" si="13"/>
        <v>0</v>
      </c>
      <c r="AS22" s="116">
        <f t="shared" ca="1" si="13"/>
        <v>0</v>
      </c>
      <c r="AT22" s="116">
        <f t="shared" ca="1" si="13"/>
        <v>0</v>
      </c>
      <c r="AU22" s="117">
        <f t="shared" ca="1" si="14"/>
        <v>0</v>
      </c>
    </row>
    <row r="23" spans="2:47" ht="15" customHeight="1" thickBot="1" x14ac:dyDescent="0.25">
      <c r="B23" s="65" t="s">
        <v>24</v>
      </c>
      <c r="C23" s="67" t="s">
        <v>32</v>
      </c>
      <c r="D23" s="64">
        <f t="shared" ca="1" si="15"/>
        <v>0</v>
      </c>
      <c r="E23" s="64">
        <f t="shared" ca="1" si="15"/>
        <v>0</v>
      </c>
      <c r="F23" s="64">
        <f t="shared" ca="1" si="15"/>
        <v>0</v>
      </c>
      <c r="G23" s="64">
        <f t="shared" ca="1" si="15"/>
        <v>0</v>
      </c>
      <c r="H23" s="64">
        <f t="shared" ca="1" si="15"/>
        <v>0</v>
      </c>
      <c r="I23" s="64">
        <f t="shared" ca="1" si="15"/>
        <v>0</v>
      </c>
      <c r="J23" s="64">
        <f t="shared" ca="1" si="15"/>
        <v>0</v>
      </c>
      <c r="K23" s="64">
        <f t="shared" ca="1" si="15"/>
        <v>0</v>
      </c>
      <c r="L23" s="64">
        <f t="shared" ca="1" si="15"/>
        <v>0</v>
      </c>
      <c r="M23" s="64">
        <f t="shared" ca="1" si="15"/>
        <v>0</v>
      </c>
      <c r="N23" s="64">
        <f t="shared" ca="1" si="16"/>
        <v>0</v>
      </c>
      <c r="O23" s="64">
        <f t="shared" ca="1" si="16"/>
        <v>0</v>
      </c>
      <c r="P23" s="64">
        <f t="shared" ca="1" si="16"/>
        <v>0</v>
      </c>
      <c r="Q23" s="64">
        <f t="shared" ca="1" si="16"/>
        <v>0</v>
      </c>
      <c r="R23" s="64">
        <f t="shared" ca="1" si="16"/>
        <v>0</v>
      </c>
      <c r="S23" s="64">
        <f t="shared" ca="1" si="16"/>
        <v>0</v>
      </c>
      <c r="T23" s="64">
        <f t="shared" ca="1" si="16"/>
        <v>0</v>
      </c>
      <c r="U23" s="64">
        <f t="shared" ca="1" si="16"/>
        <v>0</v>
      </c>
      <c r="V23" s="64">
        <f t="shared" ca="1" si="16"/>
        <v>0</v>
      </c>
      <c r="W23" s="64">
        <f t="shared" ca="1" si="16"/>
        <v>0</v>
      </c>
      <c r="X23" s="64">
        <f t="shared" ca="1" si="16"/>
        <v>0</v>
      </c>
      <c r="Y23" s="64">
        <f t="shared" ca="1" si="16"/>
        <v>0</v>
      </c>
      <c r="Z23" s="64">
        <f t="shared" ca="1" si="16"/>
        <v>0</v>
      </c>
      <c r="AA23" s="64">
        <f t="shared" ca="1" si="16"/>
        <v>0</v>
      </c>
      <c r="AB23" s="118">
        <f t="shared" ca="1" si="11"/>
        <v>0</v>
      </c>
      <c r="AC23" s="119">
        <f t="shared" ca="1" si="8"/>
        <v>0</v>
      </c>
      <c r="AD23" s="119">
        <f t="shared" ca="1" si="9"/>
        <v>0</v>
      </c>
      <c r="AE23" s="119">
        <v>-0.5</v>
      </c>
      <c r="AF23" s="119">
        <v>0.5</v>
      </c>
      <c r="AG23" s="119">
        <v>0</v>
      </c>
      <c r="AH23" s="120">
        <f t="shared" ca="1" si="10"/>
        <v>0</v>
      </c>
      <c r="AI23" s="115">
        <f t="shared" ca="1" si="12"/>
        <v>0</v>
      </c>
      <c r="AJ23" s="116">
        <f t="shared" ca="1" si="12"/>
        <v>0</v>
      </c>
      <c r="AK23" s="116">
        <f t="shared" ca="1" si="12"/>
        <v>0</v>
      </c>
      <c r="AL23" s="116">
        <f t="shared" ca="1" si="12"/>
        <v>0</v>
      </c>
      <c r="AM23" s="116">
        <f t="shared" ca="1" si="12"/>
        <v>0</v>
      </c>
      <c r="AN23" s="116">
        <f t="shared" ca="1" si="12"/>
        <v>0</v>
      </c>
      <c r="AO23" s="116">
        <f t="shared" ca="1" si="12"/>
        <v>0</v>
      </c>
      <c r="AP23" s="116">
        <f t="shared" ca="1" si="12"/>
        <v>0</v>
      </c>
      <c r="AQ23" s="116">
        <f t="shared" ca="1" si="13"/>
        <v>0</v>
      </c>
      <c r="AR23" s="116">
        <f t="shared" ca="1" si="13"/>
        <v>0</v>
      </c>
      <c r="AS23" s="116">
        <f t="shared" ca="1" si="13"/>
        <v>0</v>
      </c>
      <c r="AT23" s="116">
        <f t="shared" ca="1" si="13"/>
        <v>0</v>
      </c>
      <c r="AU23" s="117">
        <f t="shared" ca="1" si="14"/>
        <v>0</v>
      </c>
    </row>
    <row r="24" spans="2:47" ht="15" customHeight="1" thickBot="1" x14ac:dyDescent="0.25">
      <c r="B24" s="65" t="s">
        <v>25</v>
      </c>
      <c r="C24" s="67" t="s">
        <v>33</v>
      </c>
      <c r="D24" s="64">
        <f t="shared" ca="1" si="15"/>
        <v>0</v>
      </c>
      <c r="E24" s="64">
        <f t="shared" ca="1" si="15"/>
        <v>0</v>
      </c>
      <c r="F24" s="64">
        <f t="shared" ca="1" si="15"/>
        <v>0</v>
      </c>
      <c r="G24" s="64">
        <f t="shared" ca="1" si="15"/>
        <v>0</v>
      </c>
      <c r="H24" s="64">
        <f t="shared" ca="1" si="15"/>
        <v>0</v>
      </c>
      <c r="I24" s="64">
        <f t="shared" ca="1" si="15"/>
        <v>0</v>
      </c>
      <c r="J24" s="64">
        <f t="shared" ca="1" si="15"/>
        <v>0</v>
      </c>
      <c r="K24" s="64">
        <f t="shared" ca="1" si="15"/>
        <v>0</v>
      </c>
      <c r="L24" s="64">
        <f t="shared" ca="1" si="15"/>
        <v>0</v>
      </c>
      <c r="M24" s="64">
        <f t="shared" ca="1" si="15"/>
        <v>0</v>
      </c>
      <c r="N24" s="64">
        <f t="shared" ca="1" si="16"/>
        <v>0</v>
      </c>
      <c r="O24" s="64">
        <f t="shared" ca="1" si="16"/>
        <v>829.70368000000008</v>
      </c>
      <c r="P24" s="64">
        <f t="shared" ca="1" si="16"/>
        <v>0</v>
      </c>
      <c r="Q24" s="64">
        <f t="shared" ca="1" si="16"/>
        <v>0</v>
      </c>
      <c r="R24" s="64">
        <f t="shared" ca="1" si="16"/>
        <v>0</v>
      </c>
      <c r="S24" s="64">
        <f t="shared" ca="1" si="16"/>
        <v>0</v>
      </c>
      <c r="T24" s="64">
        <f t="shared" ca="1" si="16"/>
        <v>0</v>
      </c>
      <c r="U24" s="64">
        <f t="shared" ca="1" si="16"/>
        <v>0</v>
      </c>
      <c r="V24" s="64">
        <f t="shared" ca="1" si="16"/>
        <v>0</v>
      </c>
      <c r="W24" s="64">
        <f t="shared" ca="1" si="16"/>
        <v>0</v>
      </c>
      <c r="X24" s="64">
        <f t="shared" ca="1" si="16"/>
        <v>0</v>
      </c>
      <c r="Y24" s="64">
        <f t="shared" ca="1" si="16"/>
        <v>0</v>
      </c>
      <c r="Z24" s="64">
        <f t="shared" ca="1" si="16"/>
        <v>0</v>
      </c>
      <c r="AA24" s="64">
        <f t="shared" ca="1" si="16"/>
        <v>1121.2223899999999</v>
      </c>
      <c r="AB24" s="118">
        <f t="shared" ca="1" si="11"/>
        <v>1121.2223899999999</v>
      </c>
      <c r="AC24" s="119">
        <f t="shared" ca="1" si="8"/>
        <v>0.35135279862805935</v>
      </c>
      <c r="AD24" s="119">
        <f t="shared" ca="1" si="9"/>
        <v>0.35135279862805935</v>
      </c>
      <c r="AE24" s="119">
        <v>-0.5</v>
      </c>
      <c r="AF24" s="119">
        <v>0.5</v>
      </c>
      <c r="AG24" s="119">
        <v>-1</v>
      </c>
      <c r="AH24" s="120">
        <f t="shared" ca="1" si="10"/>
        <v>-1</v>
      </c>
      <c r="AI24" s="115">
        <f t="shared" ca="1" si="12"/>
        <v>0</v>
      </c>
      <c r="AJ24" s="116">
        <f t="shared" ca="1" si="12"/>
        <v>0</v>
      </c>
      <c r="AK24" s="116">
        <f t="shared" ca="1" si="12"/>
        <v>0</v>
      </c>
      <c r="AL24" s="116">
        <f t="shared" ca="1" si="12"/>
        <v>0</v>
      </c>
      <c r="AM24" s="116">
        <f t="shared" ca="1" si="12"/>
        <v>0</v>
      </c>
      <c r="AN24" s="116">
        <f t="shared" ca="1" si="12"/>
        <v>0</v>
      </c>
      <c r="AO24" s="116">
        <f t="shared" ca="1" si="12"/>
        <v>0</v>
      </c>
      <c r="AP24" s="116">
        <f t="shared" ca="1" si="12"/>
        <v>0</v>
      </c>
      <c r="AQ24" s="116">
        <f t="shared" ca="1" si="13"/>
        <v>0</v>
      </c>
      <c r="AR24" s="116">
        <f t="shared" ca="1" si="13"/>
        <v>0</v>
      </c>
      <c r="AS24" s="116">
        <f t="shared" ca="1" si="13"/>
        <v>0</v>
      </c>
      <c r="AT24" s="116">
        <f t="shared" ca="1" si="13"/>
        <v>0</v>
      </c>
      <c r="AU24" s="117">
        <f t="shared" ca="1" si="14"/>
        <v>0</v>
      </c>
    </row>
    <row r="25" spans="2:47" ht="15" customHeight="1" thickBot="1" x14ac:dyDescent="0.25">
      <c r="B25" s="121" t="s">
        <v>34</v>
      </c>
      <c r="C25" s="122" t="s">
        <v>35</v>
      </c>
      <c r="D25" s="64">
        <f t="shared" ca="1" si="15"/>
        <v>0</v>
      </c>
      <c r="E25" s="64">
        <f t="shared" ca="1" si="15"/>
        <v>0</v>
      </c>
      <c r="F25" s="64">
        <f t="shared" ca="1" si="15"/>
        <v>0</v>
      </c>
      <c r="G25" s="64">
        <f t="shared" ca="1" si="15"/>
        <v>0</v>
      </c>
      <c r="H25" s="64">
        <f t="shared" ca="1" si="15"/>
        <v>0</v>
      </c>
      <c r="I25" s="64">
        <f t="shared" ca="1" si="15"/>
        <v>0</v>
      </c>
      <c r="J25" s="64">
        <f t="shared" ca="1" si="15"/>
        <v>0</v>
      </c>
      <c r="K25" s="64">
        <f t="shared" ca="1" si="15"/>
        <v>0</v>
      </c>
      <c r="L25" s="64">
        <f t="shared" ca="1" si="15"/>
        <v>0</v>
      </c>
      <c r="M25" s="64">
        <f t="shared" ca="1" si="15"/>
        <v>0</v>
      </c>
      <c r="N25" s="64">
        <f t="shared" ca="1" si="16"/>
        <v>0</v>
      </c>
      <c r="O25" s="64">
        <f t="shared" ca="1" si="16"/>
        <v>0</v>
      </c>
      <c r="P25" s="64">
        <f t="shared" ca="1" si="16"/>
        <v>0</v>
      </c>
      <c r="Q25" s="64">
        <f t="shared" ca="1" si="16"/>
        <v>0</v>
      </c>
      <c r="R25" s="64">
        <f t="shared" ca="1" si="16"/>
        <v>0</v>
      </c>
      <c r="S25" s="64">
        <f t="shared" ca="1" si="16"/>
        <v>0</v>
      </c>
      <c r="T25" s="64">
        <f t="shared" ca="1" si="16"/>
        <v>0</v>
      </c>
      <c r="U25" s="64">
        <f t="shared" ca="1" si="16"/>
        <v>0</v>
      </c>
      <c r="V25" s="64">
        <f t="shared" ca="1" si="16"/>
        <v>0</v>
      </c>
      <c r="W25" s="64">
        <f t="shared" ca="1" si="16"/>
        <v>0</v>
      </c>
      <c r="X25" s="64">
        <f t="shared" ca="1" si="16"/>
        <v>0</v>
      </c>
      <c r="Y25" s="64">
        <f t="shared" ca="1" si="16"/>
        <v>0</v>
      </c>
      <c r="Z25" s="64">
        <f t="shared" ca="1" si="16"/>
        <v>0</v>
      </c>
      <c r="AA25" s="64">
        <f t="shared" ca="1" si="16"/>
        <v>0</v>
      </c>
      <c r="AB25" s="123">
        <f t="shared" ca="1" si="11"/>
        <v>0</v>
      </c>
      <c r="AC25" s="119">
        <f t="shared" ca="1" si="8"/>
        <v>0</v>
      </c>
      <c r="AD25" s="119">
        <f t="shared" ca="1" si="9"/>
        <v>0</v>
      </c>
      <c r="AE25" s="119">
        <v>-0.5</v>
      </c>
      <c r="AF25" s="119">
        <v>0.5</v>
      </c>
      <c r="AG25" s="119">
        <v>0</v>
      </c>
      <c r="AH25" s="120">
        <f t="shared" ca="1" si="10"/>
        <v>0</v>
      </c>
      <c r="AI25" s="124">
        <f t="shared" ca="1" si="12"/>
        <v>0</v>
      </c>
      <c r="AJ25" s="125">
        <f t="shared" ca="1" si="12"/>
        <v>0</v>
      </c>
      <c r="AK25" s="125">
        <f t="shared" ca="1" si="12"/>
        <v>0</v>
      </c>
      <c r="AL25" s="125">
        <f t="shared" ca="1" si="12"/>
        <v>0</v>
      </c>
      <c r="AM25" s="125">
        <f t="shared" ca="1" si="12"/>
        <v>0</v>
      </c>
      <c r="AN25" s="125">
        <f t="shared" ca="1" si="12"/>
        <v>0</v>
      </c>
      <c r="AO25" s="125">
        <f t="shared" ca="1" si="12"/>
        <v>0</v>
      </c>
      <c r="AP25" s="125">
        <f t="shared" ca="1" si="12"/>
        <v>0</v>
      </c>
      <c r="AQ25" s="125">
        <f t="shared" ref="AQ25:AT25" ca="1" si="17">$AB25*(1+$AH25)/12</f>
        <v>0</v>
      </c>
      <c r="AR25" s="125">
        <f t="shared" ca="1" si="17"/>
        <v>0</v>
      </c>
      <c r="AS25" s="125">
        <f t="shared" ca="1" si="17"/>
        <v>0</v>
      </c>
      <c r="AT25" s="125">
        <f t="shared" ca="1" si="17"/>
        <v>0</v>
      </c>
      <c r="AU25" s="126">
        <f t="shared" ca="1" si="14"/>
        <v>0</v>
      </c>
    </row>
    <row r="26" spans="2:47" ht="15" customHeight="1" thickBot="1" x14ac:dyDescent="0.25">
      <c r="B26" s="229" t="s">
        <v>2</v>
      </c>
      <c r="C26" s="230"/>
      <c r="D26" s="68">
        <f ca="1">SUM(D9:D25)</f>
        <v>12847.53659</v>
      </c>
      <c r="E26" s="69">
        <f t="shared" ref="E26:AA26" ca="1" si="18">SUM(E9:E25)</f>
        <v>13229.773969999998</v>
      </c>
      <c r="F26" s="69">
        <f t="shared" ca="1" si="18"/>
        <v>11770.315040000001</v>
      </c>
      <c r="G26" s="69">
        <f t="shared" ca="1" si="18"/>
        <v>10744.750699999999</v>
      </c>
      <c r="H26" s="69">
        <f t="shared" ca="1" si="18"/>
        <v>11396.610640000001</v>
      </c>
      <c r="I26" s="69">
        <f t="shared" ca="1" si="18"/>
        <v>11167.924559999999</v>
      </c>
      <c r="J26" s="69">
        <f t="shared" ca="1" si="18"/>
        <v>10721.521790000001</v>
      </c>
      <c r="K26" s="69">
        <f t="shared" ca="1" si="18"/>
        <v>9898.4798599999995</v>
      </c>
      <c r="L26" s="69">
        <f t="shared" ca="1" si="18"/>
        <v>10468.124069999998</v>
      </c>
      <c r="M26" s="69">
        <f t="shared" ca="1" si="18"/>
        <v>10678.36033</v>
      </c>
      <c r="N26" s="69">
        <f t="shared" ca="1" si="18"/>
        <v>13640.302119999998</v>
      </c>
      <c r="O26" s="69">
        <f t="shared" ca="1" si="18"/>
        <v>15310.199950000002</v>
      </c>
      <c r="P26" s="69">
        <f t="shared" ca="1" si="18"/>
        <v>12487.978610000002</v>
      </c>
      <c r="Q26" s="69">
        <f t="shared" ca="1" si="18"/>
        <v>12008.908149999999</v>
      </c>
      <c r="R26" s="69">
        <f t="shared" ca="1" si="18"/>
        <v>11653.58388</v>
      </c>
      <c r="S26" s="69">
        <f t="shared" ca="1" si="18"/>
        <v>11673.80755</v>
      </c>
      <c r="T26" s="69">
        <f t="shared" ca="1" si="18"/>
        <v>11775.082060000001</v>
      </c>
      <c r="U26" s="69">
        <f t="shared" ca="1" si="18"/>
        <v>12905.905240000002</v>
      </c>
      <c r="V26" s="69">
        <f t="shared" ca="1" si="18"/>
        <v>12175.346459999997</v>
      </c>
      <c r="W26" s="69">
        <f t="shared" ca="1" si="18"/>
        <v>11929.421759999999</v>
      </c>
      <c r="X26" s="69">
        <f t="shared" ca="1" si="18"/>
        <v>12831.687309999998</v>
      </c>
      <c r="Y26" s="69">
        <f t="shared" ca="1" si="18"/>
        <v>12259.901970000001</v>
      </c>
      <c r="Z26" s="69">
        <f t="shared" ca="1" si="18"/>
        <v>15652.715370000002</v>
      </c>
      <c r="AA26" s="69">
        <f t="shared" ca="1" si="18"/>
        <v>18627.123329999995</v>
      </c>
      <c r="AB26" s="127">
        <f ca="1">SUM(AB9:AB25)</f>
        <v>155981.46169000005</v>
      </c>
      <c r="AC26" s="128">
        <f ca="1">IF(SUM(J26:O26)+SUM(V26:AA26)&lt;0.001,0,IF(SUM(J26:O26)&lt;0.001,1,IF(SUM(V26:AA26)&lt;0.001,-1,SUM(V26:AA26)/(SUM(J26:O26))-1)))</f>
        <v>0.18042635043150912</v>
      </c>
      <c r="AD26" s="129">
        <f ca="1">IF(SUM(D26:O26)+SUM(P26:AA26)&lt;0.001,0,IF(SUM(D26:O26)&lt;0.001,1,IF(SUM(P26:AA26)&lt;0.001,-1,SUM(P26:AA26)/(SUM(D26:O26))-1)))</f>
        <v>9.9437332080010821E-2</v>
      </c>
      <c r="AE26" s="129">
        <f ca="1">AVERAGE(AE9:AE25)</f>
        <v>-0.44117647058823528</v>
      </c>
      <c r="AF26" s="129">
        <f ca="1">AVERAGE(AF9:AF25)</f>
        <v>0.5</v>
      </c>
      <c r="AG26" s="130" t="s">
        <v>48</v>
      </c>
      <c r="AH26" s="131">
        <f ca="1">IF(AB26&lt;&gt;0,AU26/AB26-1,0)</f>
        <v>0.20709329148878886</v>
      </c>
      <c r="AI26" s="132">
        <f t="shared" ref="AI26:AP26" ca="1" si="19">SUM(AI9:AI25)</f>
        <v>18531.400650458123</v>
      </c>
      <c r="AJ26" s="132">
        <f t="shared" ca="1" si="19"/>
        <v>16839.14018936898</v>
      </c>
      <c r="AK26" s="132">
        <f t="shared" ca="1" si="19"/>
        <v>15146.879728279831</v>
      </c>
      <c r="AL26" s="132">
        <f t="shared" ca="1" si="19"/>
        <v>13289.670879790689</v>
      </c>
      <c r="AM26" s="132">
        <f t="shared" ca="1" si="19"/>
        <v>13207.196686090687</v>
      </c>
      <c r="AN26" s="132">
        <f t="shared" ca="1" si="19"/>
        <v>11432.462031301538</v>
      </c>
      <c r="AO26" s="132">
        <f t="shared" ca="1" si="19"/>
        <v>11514.936225001538</v>
      </c>
      <c r="AP26" s="132">
        <f t="shared" ca="1" si="19"/>
        <v>11597.410418701538</v>
      </c>
      <c r="AQ26" s="132">
        <f t="shared" ref="AQ26:AT26" ca="1" si="20">SUM(AQ9:AQ25)</f>
        <v>13454.619267190688</v>
      </c>
      <c r="AR26" s="132">
        <f t="shared" ca="1" si="20"/>
        <v>17004.08857676898</v>
      </c>
      <c r="AS26" s="132">
        <f t="shared" ca="1" si="20"/>
        <v>20800.980467447269</v>
      </c>
      <c r="AT26" s="132">
        <f t="shared" ca="1" si="20"/>
        <v>25465.39088221471</v>
      </c>
      <c r="AU26" s="132">
        <f ca="1">SUM(AU9:AU25)</f>
        <v>188284.17600261458</v>
      </c>
    </row>
    <row r="27" spans="2:47" ht="15" customHeight="1" x14ac:dyDescent="0.2">
      <c r="D27" s="133"/>
      <c r="E27" s="133"/>
      <c r="F27" s="133"/>
      <c r="G27" s="133"/>
      <c r="H27" s="133"/>
      <c r="I27" s="133"/>
      <c r="J27" s="133"/>
      <c r="K27" s="133"/>
      <c r="L27" s="133"/>
      <c r="M27" s="133"/>
      <c r="N27" s="133"/>
      <c r="O27" s="133"/>
      <c r="P27" s="133"/>
      <c r="Q27" s="133"/>
      <c r="R27" s="133"/>
      <c r="S27" s="133"/>
      <c r="T27" s="133"/>
      <c r="U27" s="133"/>
      <c r="V27" s="133"/>
      <c r="W27" s="133"/>
      <c r="X27" s="133"/>
      <c r="Y27" s="133"/>
      <c r="Z27" s="133"/>
      <c r="AA27" s="133"/>
    </row>
    <row r="28" spans="2:47" ht="15" customHeight="1" x14ac:dyDescent="0.2">
      <c r="D28" s="134"/>
      <c r="AA28" s="75"/>
      <c r="AB28" s="75"/>
      <c r="AC28" s="75"/>
    </row>
    <row r="29" spans="2:47" ht="15" customHeight="1" x14ac:dyDescent="0.2">
      <c r="AA29" s="75"/>
      <c r="AB29" s="75"/>
      <c r="AC29" s="75"/>
    </row>
    <row r="30" spans="2:47" ht="15" customHeight="1" x14ac:dyDescent="0.2">
      <c r="AA30" s="75"/>
      <c r="AB30" s="75"/>
      <c r="AC30" s="75"/>
    </row>
    <row r="31" spans="2:47" ht="15" customHeight="1" x14ac:dyDescent="0.2">
      <c r="AA31" s="75"/>
      <c r="AB31" s="75"/>
      <c r="AC31" s="75"/>
    </row>
    <row r="32" spans="2:47" ht="15" customHeight="1" x14ac:dyDescent="0.2">
      <c r="AA32" s="75"/>
      <c r="AB32" s="75"/>
      <c r="AC32" s="75"/>
    </row>
    <row r="33" spans="27:29" ht="15" customHeight="1" x14ac:dyDescent="0.2">
      <c r="AA33" s="75"/>
      <c r="AB33" s="75"/>
      <c r="AC33" s="75"/>
    </row>
    <row r="34" spans="27:29" ht="15" customHeight="1" x14ac:dyDescent="0.2">
      <c r="AA34" s="75"/>
      <c r="AB34" s="75"/>
      <c r="AC34" s="75"/>
    </row>
    <row r="35" spans="27:29" ht="15" customHeight="1" x14ac:dyDescent="0.2">
      <c r="AA35" s="75"/>
      <c r="AB35" s="75"/>
      <c r="AC35" s="75"/>
    </row>
    <row r="36" spans="27:29" ht="15" customHeight="1" x14ac:dyDescent="0.2">
      <c r="AA36" s="75"/>
      <c r="AB36" s="75"/>
      <c r="AC36" s="75"/>
    </row>
    <row r="37" spans="27:29" ht="15" customHeight="1" x14ac:dyDescent="0.2">
      <c r="AA37" s="75"/>
      <c r="AB37" s="75"/>
      <c r="AC37" s="75"/>
    </row>
  </sheetData>
  <mergeCells count="5">
    <mergeCell ref="AU6:AU7"/>
    <mergeCell ref="B26:C26"/>
    <mergeCell ref="AB6:AB7"/>
    <mergeCell ref="AH6:AH7"/>
    <mergeCell ref="B6:C7"/>
  </mergeCells>
  <phoneticPr fontId="2" type="noConversion"/>
  <conditionalFormatting sqref="AC9:AH26">
    <cfRule type="cellIs" dxfId="5" priority="7" operator="greaterThan">
      <formula>0.5</formula>
    </cfRule>
    <cfRule type="cellIs" dxfId="4" priority="8" operator="lessThan">
      <formula>-0.5</formula>
    </cfRule>
  </conditionalFormatting>
  <pageMargins left="0.78740157499999996" right="0.78740157499999996" top="0.984251969" bottom="0.984251969" header="0.4921259845" footer="0.4921259845"/>
  <pageSetup paperSize="9" orientation="portrait" horizontalDpi="4294967294" r:id="rId1"/>
  <headerFooter alignWithMargins="0"/>
  <ignoredErrors>
    <ignoredError sqref="C9 C10:C25" numberStoredAsText="1"/>
    <ignoredError sqref="AI10:AU10" formula="1"/>
  </ignoredErrors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List5"/>
  <dimension ref="A1:HC12"/>
  <sheetViews>
    <sheetView zoomScale="85" zoomScaleNormal="85" workbookViewId="0">
      <selection activeCell="AZ26" sqref="AZ26"/>
    </sheetView>
  </sheetViews>
  <sheetFormatPr defaultColWidth="9.140625" defaultRowHeight="15" outlineLevelCol="1" x14ac:dyDescent="0.2"/>
  <cols>
    <col min="1" max="1" width="1.7109375" style="41" customWidth="1"/>
    <col min="2" max="2" width="30.28515625" style="72" bestFit="1" customWidth="1"/>
    <col min="3" max="3" width="12.7109375" style="72" customWidth="1"/>
    <col min="4" max="20" width="12.7109375" style="73" hidden="1" customWidth="1" outlineLevel="1"/>
    <col min="21" max="21" width="12.7109375" style="74" hidden="1" customWidth="1" outlineLevel="1"/>
    <col min="22" max="26" width="12.7109375" style="75" hidden="1" customWidth="1" outlineLevel="1"/>
    <col min="27" max="27" width="12.7109375" style="73" hidden="1" customWidth="1" outlineLevel="1"/>
    <col min="28" max="28" width="12.7109375" style="73" customWidth="1" collapsed="1"/>
    <col min="29" max="33" width="12.7109375" style="93" hidden="1" customWidth="1" outlineLevel="1"/>
    <col min="34" max="34" width="12.7109375" style="93" customWidth="1" collapsed="1"/>
    <col min="35" max="46" width="12.7109375" style="73" hidden="1" customWidth="1" outlineLevel="1"/>
    <col min="47" max="47" width="12.7109375" style="73" customWidth="1" collapsed="1"/>
    <col min="48" max="211" width="9.140625" style="73"/>
    <col min="212" max="16384" width="9.140625" style="94"/>
  </cols>
  <sheetData>
    <row r="1" spans="1:50" ht="10.35" customHeight="1" thickBot="1" x14ac:dyDescent="0.25"/>
    <row r="2" spans="1:50" ht="15" customHeight="1" x14ac:dyDescent="0.2">
      <c r="B2" s="95" t="s">
        <v>59</v>
      </c>
      <c r="C2" s="96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6"/>
      <c r="R2" s="96"/>
      <c r="S2" s="96"/>
      <c r="T2" s="96"/>
      <c r="U2" s="96"/>
      <c r="V2" s="96"/>
      <c r="W2" s="96"/>
      <c r="X2" s="96"/>
      <c r="Y2" s="96"/>
      <c r="Z2" s="96"/>
      <c r="AA2" s="96"/>
      <c r="AB2" s="97"/>
      <c r="AC2" s="96"/>
      <c r="AD2" s="87"/>
      <c r="AE2" s="87"/>
      <c r="AF2" s="87"/>
      <c r="AG2" s="87"/>
      <c r="AH2" s="88" t="s">
        <v>40</v>
      </c>
      <c r="AI2" s="87"/>
      <c r="AJ2" s="96"/>
      <c r="AK2" s="96"/>
      <c r="AL2" s="96"/>
      <c r="AM2" s="96"/>
      <c r="AN2" s="96"/>
      <c r="AO2" s="96"/>
      <c r="AP2" s="96"/>
      <c r="AQ2" s="96"/>
      <c r="AR2" s="96"/>
      <c r="AS2" s="96"/>
      <c r="AT2" s="96"/>
      <c r="AU2" s="88" t="s">
        <v>38</v>
      </c>
    </row>
    <row r="3" spans="1:50" ht="15" customHeight="1" x14ac:dyDescent="0.2">
      <c r="B3" s="89" t="s">
        <v>121</v>
      </c>
      <c r="C3" s="27">
        <v>43646</v>
      </c>
      <c r="D3" s="98"/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8"/>
      <c r="V3" s="98"/>
      <c r="W3" s="98"/>
      <c r="X3" s="98"/>
      <c r="Y3" s="98"/>
      <c r="Z3" s="98"/>
      <c r="AA3" s="98"/>
      <c r="AB3" s="99"/>
      <c r="AC3" s="98"/>
      <c r="AD3" s="90"/>
      <c r="AE3" s="90"/>
      <c r="AF3" s="90"/>
      <c r="AG3" s="90"/>
      <c r="AH3" s="91"/>
      <c r="AI3" s="100"/>
      <c r="AJ3" s="98"/>
      <c r="AK3" s="98"/>
      <c r="AL3" s="98"/>
      <c r="AM3" s="98"/>
      <c r="AN3" s="98"/>
      <c r="AO3" s="98"/>
      <c r="AP3" s="98"/>
      <c r="AQ3" s="98"/>
      <c r="AR3" s="98"/>
      <c r="AS3" s="98"/>
      <c r="AT3" s="98"/>
      <c r="AU3" s="99"/>
    </row>
    <row r="4" spans="1:50" ht="15" customHeight="1" x14ac:dyDescent="0.2">
      <c r="B4" s="101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9"/>
      <c r="AC4" s="98"/>
      <c r="AD4" s="90"/>
      <c r="AE4" s="90"/>
      <c r="AF4" s="90"/>
      <c r="AG4" s="90"/>
      <c r="AH4" s="91"/>
      <c r="AI4" s="98"/>
      <c r="AJ4" s="98"/>
      <c r="AK4" s="98"/>
      <c r="AL4" s="98"/>
      <c r="AM4" s="98"/>
      <c r="AN4" s="98"/>
      <c r="AO4" s="98"/>
      <c r="AP4" s="98"/>
      <c r="AQ4" s="98"/>
      <c r="AR4" s="98"/>
      <c r="AS4" s="98"/>
      <c r="AT4" s="98"/>
      <c r="AU4" s="99"/>
    </row>
    <row r="5" spans="1:50" ht="12" customHeight="1" thickBot="1" x14ac:dyDescent="0.25">
      <c r="B5" s="102"/>
      <c r="C5" s="103"/>
      <c r="D5" s="98"/>
      <c r="E5" s="98"/>
      <c r="F5" s="98"/>
      <c r="G5" s="98"/>
      <c r="H5" s="98"/>
      <c r="I5" s="98"/>
      <c r="J5" s="98"/>
      <c r="K5" s="98"/>
      <c r="L5" s="98"/>
      <c r="M5" s="98"/>
      <c r="N5" s="98"/>
      <c r="O5" s="98"/>
      <c r="P5" s="98"/>
      <c r="Q5" s="98"/>
      <c r="R5" s="98"/>
      <c r="S5" s="98"/>
      <c r="T5" s="98"/>
      <c r="U5" s="98"/>
      <c r="V5" s="98"/>
      <c r="W5" s="98"/>
      <c r="X5" s="98"/>
      <c r="Y5" s="98"/>
      <c r="Z5" s="98"/>
      <c r="AA5" s="98"/>
      <c r="AB5" s="104"/>
      <c r="AC5" s="98"/>
      <c r="AD5" s="90"/>
      <c r="AE5" s="90"/>
      <c r="AF5" s="90"/>
      <c r="AG5" s="90"/>
      <c r="AH5" s="91"/>
      <c r="AI5" s="103"/>
      <c r="AJ5" s="103"/>
      <c r="AK5" s="98"/>
      <c r="AL5" s="98"/>
      <c r="AM5" s="98"/>
      <c r="AN5" s="98"/>
      <c r="AO5" s="98"/>
      <c r="AP5" s="98"/>
      <c r="AQ5" s="98"/>
      <c r="AR5" s="98"/>
      <c r="AS5" s="98"/>
      <c r="AT5" s="98"/>
      <c r="AU5" s="99"/>
    </row>
    <row r="6" spans="1:50" s="49" customFormat="1" ht="12" customHeight="1" x14ac:dyDescent="0.2">
      <c r="A6" s="47"/>
      <c r="B6" s="235"/>
      <c r="C6" s="236"/>
      <c r="D6" s="54">
        <f ca="1">D7-IF(MONTH(D7)=2,IF(OR(YEAR(D7)=2008,YEAR(D7)=2012,YEAR(D7)=2016),29,28),IF(OR(MONTH(D7)=4,MONTH(D7)=6,MONTH(D7)=9,MONTH(D7)=11),30,31))+1</f>
        <v>42917</v>
      </c>
      <c r="E6" s="55">
        <f t="shared" ref="E6:AA6" ca="1" si="0">E7-IF(MONTH(E7)=2,IF(OR(YEAR(E7)=2008,YEAR(E7)=2012,YEAR(E7)=2016),29,28),IF(OR(MONTH(E7)=4,MONTH(E7)=6,MONTH(E7)=9,MONTH(E7)=11),30,31))+1</f>
        <v>42948</v>
      </c>
      <c r="F6" s="55">
        <f t="shared" ca="1" si="0"/>
        <v>42979</v>
      </c>
      <c r="G6" s="55">
        <f t="shared" ca="1" si="0"/>
        <v>43009</v>
      </c>
      <c r="H6" s="55">
        <f t="shared" ca="1" si="0"/>
        <v>43040</v>
      </c>
      <c r="I6" s="55">
        <f t="shared" ca="1" si="0"/>
        <v>43070</v>
      </c>
      <c r="J6" s="55">
        <f t="shared" ca="1" si="0"/>
        <v>43101</v>
      </c>
      <c r="K6" s="55">
        <f t="shared" ca="1" si="0"/>
        <v>43132</v>
      </c>
      <c r="L6" s="55">
        <f t="shared" ca="1" si="0"/>
        <v>43160</v>
      </c>
      <c r="M6" s="55">
        <f t="shared" ca="1" si="0"/>
        <v>43191</v>
      </c>
      <c r="N6" s="55">
        <f t="shared" ca="1" si="0"/>
        <v>43221</v>
      </c>
      <c r="O6" s="55">
        <f t="shared" ca="1" si="0"/>
        <v>43252</v>
      </c>
      <c r="P6" s="55">
        <f t="shared" ca="1" si="0"/>
        <v>43282</v>
      </c>
      <c r="Q6" s="55">
        <f t="shared" ca="1" si="0"/>
        <v>43313</v>
      </c>
      <c r="R6" s="55">
        <f t="shared" ca="1" si="0"/>
        <v>43344</v>
      </c>
      <c r="S6" s="55">
        <f t="shared" ca="1" si="0"/>
        <v>43374</v>
      </c>
      <c r="T6" s="55">
        <f t="shared" ca="1" si="0"/>
        <v>43405</v>
      </c>
      <c r="U6" s="55">
        <f t="shared" ca="1" si="0"/>
        <v>43435</v>
      </c>
      <c r="V6" s="55">
        <f t="shared" ca="1" si="0"/>
        <v>43466</v>
      </c>
      <c r="W6" s="55">
        <f t="shared" ca="1" si="0"/>
        <v>43497</v>
      </c>
      <c r="X6" s="55">
        <f t="shared" ca="1" si="0"/>
        <v>43525</v>
      </c>
      <c r="Y6" s="55">
        <f t="shared" ca="1" si="0"/>
        <v>43556</v>
      </c>
      <c r="Z6" s="55">
        <f t="shared" ca="1" si="0"/>
        <v>43586</v>
      </c>
      <c r="AA6" s="55">
        <f t="shared" ca="1" si="0"/>
        <v>43617</v>
      </c>
      <c r="AB6" s="231"/>
      <c r="AC6" s="87"/>
      <c r="AD6" s="87"/>
      <c r="AE6" s="87"/>
      <c r="AF6" s="87"/>
      <c r="AG6" s="87"/>
      <c r="AH6" s="233"/>
      <c r="AI6" s="54">
        <f ca="1">AA7+1</f>
        <v>43647</v>
      </c>
      <c r="AJ6" s="55">
        <f ca="1">AI7+1</f>
        <v>43678</v>
      </c>
      <c r="AK6" s="55">
        <f ca="1">AJ7+1</f>
        <v>43709</v>
      </c>
      <c r="AL6" s="55">
        <f ca="1">AK7+1</f>
        <v>43739</v>
      </c>
      <c r="AM6" s="55">
        <f ca="1">AL7+1</f>
        <v>43770</v>
      </c>
      <c r="AN6" s="55">
        <f t="shared" ref="AN6:AT6" ca="1" si="1">AM7+1</f>
        <v>43800</v>
      </c>
      <c r="AO6" s="55">
        <f t="shared" ca="1" si="1"/>
        <v>43831</v>
      </c>
      <c r="AP6" s="55">
        <f t="shared" ca="1" si="1"/>
        <v>43862</v>
      </c>
      <c r="AQ6" s="55">
        <f t="shared" ca="1" si="1"/>
        <v>43890</v>
      </c>
      <c r="AR6" s="55">
        <f t="shared" ca="1" si="1"/>
        <v>43918</v>
      </c>
      <c r="AS6" s="55">
        <f t="shared" ca="1" si="1"/>
        <v>43949</v>
      </c>
      <c r="AT6" s="105">
        <f t="shared" ca="1" si="1"/>
        <v>43979</v>
      </c>
      <c r="AU6" s="227"/>
    </row>
    <row r="7" spans="1:50" s="49" customFormat="1" ht="12" customHeight="1" thickBot="1" x14ac:dyDescent="0.25">
      <c r="A7" s="47"/>
      <c r="B7" s="237"/>
      <c r="C7" s="238"/>
      <c r="D7" s="56">
        <f t="shared" ref="D7:Z7" ca="1" si="2">E6-1</f>
        <v>42947</v>
      </c>
      <c r="E7" s="57">
        <f t="shared" ca="1" si="2"/>
        <v>42978</v>
      </c>
      <c r="F7" s="57">
        <f t="shared" ca="1" si="2"/>
        <v>43008</v>
      </c>
      <c r="G7" s="57">
        <f t="shared" ca="1" si="2"/>
        <v>43039</v>
      </c>
      <c r="H7" s="57">
        <f t="shared" ca="1" si="2"/>
        <v>43069</v>
      </c>
      <c r="I7" s="57">
        <f t="shared" ca="1" si="2"/>
        <v>43100</v>
      </c>
      <c r="J7" s="57">
        <f t="shared" ca="1" si="2"/>
        <v>43131</v>
      </c>
      <c r="K7" s="57">
        <f t="shared" ca="1" si="2"/>
        <v>43159</v>
      </c>
      <c r="L7" s="57">
        <f t="shared" ca="1" si="2"/>
        <v>43190</v>
      </c>
      <c r="M7" s="57">
        <f t="shared" ca="1" si="2"/>
        <v>43220</v>
      </c>
      <c r="N7" s="57">
        <f t="shared" ca="1" si="2"/>
        <v>43251</v>
      </c>
      <c r="O7" s="57">
        <f t="shared" ca="1" si="2"/>
        <v>43281</v>
      </c>
      <c r="P7" s="57">
        <f t="shared" ca="1" si="2"/>
        <v>43312</v>
      </c>
      <c r="Q7" s="57">
        <f t="shared" ca="1" si="2"/>
        <v>43343</v>
      </c>
      <c r="R7" s="57">
        <f t="shared" ca="1" si="2"/>
        <v>43373</v>
      </c>
      <c r="S7" s="57">
        <f t="shared" ca="1" si="2"/>
        <v>43404</v>
      </c>
      <c r="T7" s="57">
        <f t="shared" ca="1" si="2"/>
        <v>43434</v>
      </c>
      <c r="U7" s="57">
        <f t="shared" ca="1" si="2"/>
        <v>43465</v>
      </c>
      <c r="V7" s="57">
        <f t="shared" ca="1" si="2"/>
        <v>43496</v>
      </c>
      <c r="W7" s="57">
        <f t="shared" ca="1" si="2"/>
        <v>43524</v>
      </c>
      <c r="X7" s="57">
        <f t="shared" ca="1" si="2"/>
        <v>43555</v>
      </c>
      <c r="Y7" s="57">
        <f t="shared" ca="1" si="2"/>
        <v>43585</v>
      </c>
      <c r="Z7" s="57">
        <f t="shared" ca="1" si="2"/>
        <v>43616</v>
      </c>
      <c r="AA7" s="57">
        <f ca="1">C3</f>
        <v>43646</v>
      </c>
      <c r="AB7" s="232"/>
      <c r="AC7" s="92"/>
      <c r="AD7" s="92"/>
      <c r="AE7" s="92"/>
      <c r="AF7" s="92"/>
      <c r="AG7" s="92"/>
      <c r="AH7" s="234"/>
      <c r="AI7" s="56">
        <f ca="1">AI6+IF(MONTH(AI6)=2,IF(OR(YEAR(AI6)=2008,YEAR(AI6)=2012,YEAR(AI6)=2016),29,28),IF(OR(MONTH(AI6)=4,MONTH(AI6)=6,MONTH(AI6)=9,MONTH(AI6)=11),30,31))-1</f>
        <v>43677</v>
      </c>
      <c r="AJ7" s="57">
        <f ca="1">AJ6+IF(MONTH(AJ6)=2,IF(OR(YEAR(AJ6)=2008,YEAR(AJ6)=2012,YEAR(AJ6)=2016),29,28),IF(OR(MONTH(AJ6)=4,MONTH(AJ6)=6,MONTH(AJ6)=9,MONTH(AJ6)=11),30,31))-1</f>
        <v>43708</v>
      </c>
      <c r="AK7" s="57">
        <f ca="1">AK6+IF(MONTH(AK6)=2,IF(OR(YEAR(AK6)=2008,YEAR(AK6)=2012,YEAR(AK6)=2016),29,28),IF(OR(MONTH(AK6)=4,MONTH(AK6)=6,MONTH(AK6)=9,MONTH(AK6)=11),30,31))-1</f>
        <v>43738</v>
      </c>
      <c r="AL7" s="57">
        <f ca="1">AL6+IF(MONTH(AL6)=2,IF(OR(YEAR(AL6)=2008,YEAR(AL6)=2012,YEAR(AL6)=2016),29,28),IF(OR(MONTH(AL6)=4,MONTH(AL6)=6,MONTH(AL6)=9,MONTH(AL6)=11),30,31))-1</f>
        <v>43769</v>
      </c>
      <c r="AM7" s="57">
        <f ca="1">AM6+IF(MONTH(AM6)=2,IF(OR(YEAR(AM6)=2008,YEAR(AM6)=2012,YEAR(AM6)=2016),29,28),IF(OR(MONTH(AM6)=4,MONTH(AM6)=6,MONTH(AM6)=9,MONTH(AM6)=11),30,31))-1</f>
        <v>43799</v>
      </c>
      <c r="AN7" s="57">
        <f t="shared" ref="AN7:AT7" ca="1" si="3">AN6+IF(MONTH(AN6)=2,IF(OR(YEAR(AN6)=2008,YEAR(AN6)=2012,YEAR(AN6)=2016),29,28),IF(OR(MONTH(AN6)=4,MONTH(AN6)=6,MONTH(AN6)=9,MONTH(AN6)=11),30,31))-1</f>
        <v>43830</v>
      </c>
      <c r="AO7" s="57">
        <f t="shared" ca="1" si="3"/>
        <v>43861</v>
      </c>
      <c r="AP7" s="57">
        <f t="shared" ca="1" si="3"/>
        <v>43889</v>
      </c>
      <c r="AQ7" s="57">
        <f t="shared" ca="1" si="3"/>
        <v>43917</v>
      </c>
      <c r="AR7" s="57">
        <f t="shared" ca="1" si="3"/>
        <v>43948</v>
      </c>
      <c r="AS7" s="57">
        <f t="shared" ca="1" si="3"/>
        <v>43978</v>
      </c>
      <c r="AT7" s="106">
        <f t="shared" ca="1" si="3"/>
        <v>44009</v>
      </c>
      <c r="AU7" s="228"/>
    </row>
    <row r="8" spans="1:50" s="49" customFormat="1" ht="12" customHeight="1" thickBot="1" x14ac:dyDescent="0.25">
      <c r="B8" s="31" t="s">
        <v>0</v>
      </c>
      <c r="C8" s="32" t="s">
        <v>46</v>
      </c>
      <c r="D8" s="58">
        <f t="shared" ref="D8:AA8" ca="1" si="4">D6</f>
        <v>42917</v>
      </c>
      <c r="E8" s="59">
        <f t="shared" ca="1" si="4"/>
        <v>42948</v>
      </c>
      <c r="F8" s="59">
        <f t="shared" ca="1" si="4"/>
        <v>42979</v>
      </c>
      <c r="G8" s="60">
        <f t="shared" ca="1" si="4"/>
        <v>43009</v>
      </c>
      <c r="H8" s="60">
        <f t="shared" ca="1" si="4"/>
        <v>43040</v>
      </c>
      <c r="I8" s="60">
        <f t="shared" ca="1" si="4"/>
        <v>43070</v>
      </c>
      <c r="J8" s="60">
        <f t="shared" ca="1" si="4"/>
        <v>43101</v>
      </c>
      <c r="K8" s="60">
        <f t="shared" ca="1" si="4"/>
        <v>43132</v>
      </c>
      <c r="L8" s="60">
        <f t="shared" ca="1" si="4"/>
        <v>43160</v>
      </c>
      <c r="M8" s="60">
        <f t="shared" ca="1" si="4"/>
        <v>43191</v>
      </c>
      <c r="N8" s="60">
        <f t="shared" ca="1" si="4"/>
        <v>43221</v>
      </c>
      <c r="O8" s="60">
        <f t="shared" ca="1" si="4"/>
        <v>43252</v>
      </c>
      <c r="P8" s="60">
        <f t="shared" ca="1" si="4"/>
        <v>43282</v>
      </c>
      <c r="Q8" s="60">
        <f t="shared" ca="1" si="4"/>
        <v>43313</v>
      </c>
      <c r="R8" s="60">
        <f t="shared" ca="1" si="4"/>
        <v>43344</v>
      </c>
      <c r="S8" s="60">
        <f t="shared" ca="1" si="4"/>
        <v>43374</v>
      </c>
      <c r="T8" s="60">
        <f t="shared" ca="1" si="4"/>
        <v>43405</v>
      </c>
      <c r="U8" s="60">
        <f t="shared" ca="1" si="4"/>
        <v>43435</v>
      </c>
      <c r="V8" s="60">
        <f t="shared" ca="1" si="4"/>
        <v>43466</v>
      </c>
      <c r="W8" s="60">
        <f t="shared" ca="1" si="4"/>
        <v>43497</v>
      </c>
      <c r="X8" s="60">
        <f t="shared" ca="1" si="4"/>
        <v>43525</v>
      </c>
      <c r="Y8" s="60">
        <f t="shared" ca="1" si="4"/>
        <v>43556</v>
      </c>
      <c r="Z8" s="60">
        <f t="shared" ca="1" si="4"/>
        <v>43586</v>
      </c>
      <c r="AA8" s="60">
        <f t="shared" ca="1" si="4"/>
        <v>43617</v>
      </c>
      <c r="AB8" s="107" t="s">
        <v>36</v>
      </c>
      <c r="AC8" s="108" t="s">
        <v>42</v>
      </c>
      <c r="AD8" s="109" t="s">
        <v>43</v>
      </c>
      <c r="AE8" s="109" t="s">
        <v>44</v>
      </c>
      <c r="AF8" s="109" t="s">
        <v>45</v>
      </c>
      <c r="AG8" s="109" t="s">
        <v>39</v>
      </c>
      <c r="AH8" s="107" t="s">
        <v>41</v>
      </c>
      <c r="AI8" s="110">
        <f t="shared" ref="AI8:AT8" ca="1" si="5">AI6</f>
        <v>43647</v>
      </c>
      <c r="AJ8" s="110">
        <f t="shared" ca="1" si="5"/>
        <v>43678</v>
      </c>
      <c r="AK8" s="110">
        <f t="shared" ca="1" si="5"/>
        <v>43709</v>
      </c>
      <c r="AL8" s="110">
        <f t="shared" ca="1" si="5"/>
        <v>43739</v>
      </c>
      <c r="AM8" s="110">
        <f t="shared" ca="1" si="5"/>
        <v>43770</v>
      </c>
      <c r="AN8" s="110">
        <f t="shared" ca="1" si="5"/>
        <v>43800</v>
      </c>
      <c r="AO8" s="110">
        <f t="shared" ca="1" si="5"/>
        <v>43831</v>
      </c>
      <c r="AP8" s="110">
        <f t="shared" ca="1" si="5"/>
        <v>43862</v>
      </c>
      <c r="AQ8" s="110">
        <f t="shared" ca="1" si="5"/>
        <v>43890</v>
      </c>
      <c r="AR8" s="110">
        <f t="shared" ca="1" si="5"/>
        <v>43918</v>
      </c>
      <c r="AS8" s="110">
        <f t="shared" ca="1" si="5"/>
        <v>43949</v>
      </c>
      <c r="AT8" s="110">
        <f t="shared" ca="1" si="5"/>
        <v>43979</v>
      </c>
      <c r="AU8" s="111" t="s">
        <v>37</v>
      </c>
    </row>
    <row r="9" spans="1:50" ht="15" customHeight="1" thickBot="1" x14ac:dyDescent="0.25">
      <c r="B9" s="61" t="s">
        <v>57</v>
      </c>
      <c r="C9" s="63" t="s">
        <v>54</v>
      </c>
      <c r="D9" s="64">
        <f t="shared" ref="D9" ca="1" si="6">AbraBalance(URL,Username,Password,$C9,(D$6-1))/1000+AbraTurnover(URL,Username,Password,$C9,D$6,D$7)/1000</f>
        <v>10.712560000000003</v>
      </c>
      <c r="E9" s="64">
        <f t="shared" ref="E9:AA9" ca="1" si="7">D9+AbraTurnover(URL,Username,Password,$C9,E$6,E$7)/1000</f>
        <v>61.573660000000004</v>
      </c>
      <c r="F9" s="64">
        <f t="shared" ca="1" si="7"/>
        <v>53.408800000000006</v>
      </c>
      <c r="G9" s="64">
        <f t="shared" ca="1" si="7"/>
        <v>42.192260000000005</v>
      </c>
      <c r="H9" s="64">
        <f t="shared" ca="1" si="7"/>
        <v>42.53877</v>
      </c>
      <c r="I9" s="64">
        <f t="shared" ca="1" si="7"/>
        <v>22.380589999999998</v>
      </c>
      <c r="J9" s="64">
        <f t="shared" ca="1" si="7"/>
        <v>43.075019999999995</v>
      </c>
      <c r="K9" s="64">
        <f t="shared" ca="1" si="7"/>
        <v>8.476629999999993</v>
      </c>
      <c r="L9" s="64">
        <f t="shared" ca="1" si="7"/>
        <v>321.15125999999998</v>
      </c>
      <c r="M9" s="64">
        <f t="shared" ca="1" si="7"/>
        <v>317.30977999999999</v>
      </c>
      <c r="N9" s="64">
        <f t="shared" ca="1" si="7"/>
        <v>268.86129</v>
      </c>
      <c r="O9" s="64">
        <f t="shared" ca="1" si="7"/>
        <v>345.99271999999996</v>
      </c>
      <c r="P9" s="64">
        <f t="shared" ca="1" si="7"/>
        <v>347.33971999999994</v>
      </c>
      <c r="Q9" s="64">
        <f t="shared" ca="1" si="7"/>
        <v>336.27959999999996</v>
      </c>
      <c r="R9" s="64">
        <f t="shared" ca="1" si="7"/>
        <v>272.07304999999997</v>
      </c>
      <c r="S9" s="64">
        <f t="shared" ca="1" si="7"/>
        <v>239.81754999999998</v>
      </c>
      <c r="T9" s="64">
        <f t="shared" ca="1" si="7"/>
        <v>170.10674</v>
      </c>
      <c r="U9" s="64">
        <f t="shared" ca="1" si="7"/>
        <v>192.81210999999999</v>
      </c>
      <c r="V9" s="64">
        <f t="shared" ca="1" si="7"/>
        <v>136.12894999999997</v>
      </c>
      <c r="W9" s="64">
        <f t="shared" ca="1" si="7"/>
        <v>133.96609999999998</v>
      </c>
      <c r="X9" s="64">
        <f t="shared" ca="1" si="7"/>
        <v>112.33609999999999</v>
      </c>
      <c r="Y9" s="64">
        <f t="shared" ca="1" si="7"/>
        <v>71.837699999999984</v>
      </c>
      <c r="Z9" s="64">
        <f t="shared" ca="1" si="7"/>
        <v>48.017969999999984</v>
      </c>
      <c r="AA9" s="64">
        <f t="shared" ca="1" si="7"/>
        <v>52.395909999999986</v>
      </c>
      <c r="AB9" s="112" t="b">
        <f ca="1">Prodej!AC9=SUM(P9:AA9)</f>
        <v>0</v>
      </c>
      <c r="AC9" s="113">
        <f t="shared" ref="AC9:AC10" ca="1" si="8">IF(SUM(J9:O9)+SUM(V9:AA9)&lt;0.001,0,IF(SUM(J9:O9)&lt;0.001,1,IF(SUM(V9:AA9)&lt;0.001,-1,SUM(V9:AA9)/(SUM(J9:O9))-1)))</f>
        <v>-0.57491234162079552</v>
      </c>
      <c r="AD9" s="113">
        <f t="shared" ref="AD9:AD10" ca="1" si="9">IF(SUM(D9:O9)+SUM(P9:AA9)&lt;0.001,0,IF(SUM(D9:O9)&lt;0.001,1,IF(SUM(P9:AA9)&lt;0.001,-1,SUM(P9:AA9)/(SUM(D9:O9))-1)))</f>
        <v>0.37422653110445414</v>
      </c>
      <c r="AE9" s="113">
        <v>-0.5</v>
      </c>
      <c r="AF9" s="113">
        <v>0.5</v>
      </c>
      <c r="AG9" s="113" t="s">
        <v>48</v>
      </c>
      <c r="AH9" s="114">
        <f t="shared" ref="AH9:AH10" ca="1" si="10">IF($AG9&lt;&gt;"-",$AG9,IF($AC9&lt;$AE9,$AE9,IF($AC9&gt;$AF9,$AF9,$AC9)))</f>
        <v>-0.5</v>
      </c>
      <c r="AI9" s="209">
        <f ca="1">$AB9*(1+$AH9)*VLOOKUP(MONTH(AI$8),Sezona!$B$4:$C$15,2)</f>
        <v>0</v>
      </c>
      <c r="AJ9" s="210">
        <f ca="1">$AB9*(1+$AH9)*VLOOKUP(MONTH(AJ$8),Sezona!$B$4:$C$15,2)</f>
        <v>0</v>
      </c>
      <c r="AK9" s="210">
        <f ca="1">$AB9*(1+$AH9)*VLOOKUP(MONTH(AK$8),Sezona!$B$4:$C$15,2)</f>
        <v>0</v>
      </c>
      <c r="AL9" s="210">
        <f ca="1">$AB9*(1+$AH9)*VLOOKUP(MONTH(AL$8),Sezona!$B$4:$C$15,2)</f>
        <v>0</v>
      </c>
      <c r="AM9" s="210">
        <f ca="1">$AB9*(1+$AH9)*VLOOKUP(MONTH(AM$8),Sezona!$B$4:$C$15,2)</f>
        <v>0</v>
      </c>
      <c r="AN9" s="210">
        <f ca="1">$AB9*(1+$AH9)*VLOOKUP(MONTH(AN$8),Sezona!$B$4:$C$15,2)</f>
        <v>0</v>
      </c>
      <c r="AO9" s="210">
        <f ca="1">$AB9*(1+$AH9)*VLOOKUP(MONTH(AO$8),Sezona!$B$4:$C$15,2)</f>
        <v>0</v>
      </c>
      <c r="AP9" s="210">
        <f ca="1">$AB9*(1+$AH9)*VLOOKUP(MONTH(AP$8),Sezona!$B$4:$C$15,2)</f>
        <v>0</v>
      </c>
      <c r="AQ9" s="210">
        <f ca="1">$AB9*(1+$AH9)*VLOOKUP(MONTH(AQ$8),Sezona!$B$4:$C$15,2)</f>
        <v>0</v>
      </c>
      <c r="AR9" s="210">
        <f ca="1">$AB9*(1+$AH9)*VLOOKUP(MONTH(AR$8),Sezona!$B$4:$C$15,2)</f>
        <v>0</v>
      </c>
      <c r="AS9" s="210">
        <f ca="1">$AB9*(1+$AH9)*VLOOKUP(MONTH(AS$8),Sezona!$B$4:$C$15,2)</f>
        <v>0</v>
      </c>
      <c r="AT9" s="210">
        <f ca="1">$AB9*(1+$AH9)*VLOOKUP(MONTH(AT$8),Sezona!$B$4:$C$15,2)</f>
        <v>0</v>
      </c>
      <c r="AU9" s="211">
        <f ca="1">SUM(AI9:AT9)</f>
        <v>0</v>
      </c>
      <c r="AW9" s="49"/>
      <c r="AX9" s="49"/>
    </row>
    <row r="10" spans="1:50" ht="15" customHeight="1" thickBot="1" x14ac:dyDescent="0.25">
      <c r="B10" s="65" t="s">
        <v>56</v>
      </c>
      <c r="C10" s="67" t="s">
        <v>55</v>
      </c>
      <c r="D10" s="64">
        <f ca="1">AbraBalance(URL,Username,Password,$C10,(D$6-1))/1000+AbraTurnover(URL,Username,Password,$C10,D$6,D$7)/1000</f>
        <v>15716.93146</v>
      </c>
      <c r="E10" s="64">
        <f t="shared" ref="E10:AA10" ca="1" si="11">D10+AbraTurnover(URL,Username,Password,$C10,E$6,E$7)/1000</f>
        <v>18571.66964</v>
      </c>
      <c r="F10" s="64">
        <f t="shared" ca="1" si="11"/>
        <v>15291.10658</v>
      </c>
      <c r="G10" s="64">
        <f t="shared" ca="1" si="11"/>
        <v>20424.614979999998</v>
      </c>
      <c r="H10" s="64">
        <f t="shared" ca="1" si="11"/>
        <v>14515.519839999999</v>
      </c>
      <c r="I10" s="64">
        <f t="shared" ca="1" si="11"/>
        <v>16639.65667</v>
      </c>
      <c r="J10" s="64">
        <f t="shared" ca="1" si="11"/>
        <v>18011.578020000001</v>
      </c>
      <c r="K10" s="64">
        <f t="shared" ca="1" si="11"/>
        <v>18616.08986</v>
      </c>
      <c r="L10" s="64">
        <f t="shared" ca="1" si="11"/>
        <v>11184.99677</v>
      </c>
      <c r="M10" s="64">
        <f t="shared" ca="1" si="11"/>
        <v>15659.922739999998</v>
      </c>
      <c r="N10" s="64">
        <f t="shared" ca="1" si="11"/>
        <v>21827.447560000001</v>
      </c>
      <c r="O10" s="64">
        <f t="shared" ca="1" si="11"/>
        <v>18356.588179999999</v>
      </c>
      <c r="P10" s="64">
        <f t="shared" ca="1" si="11"/>
        <v>19102.793980000002</v>
      </c>
      <c r="Q10" s="64">
        <f t="shared" ca="1" si="11"/>
        <v>25107.210160000002</v>
      </c>
      <c r="R10" s="64">
        <f t="shared" ca="1" si="11"/>
        <v>14190.116700000002</v>
      </c>
      <c r="S10" s="64">
        <f t="shared" ca="1" si="11"/>
        <v>17659.187020000001</v>
      </c>
      <c r="T10" s="64">
        <f t="shared" ca="1" si="11"/>
        <v>18091.243040000001</v>
      </c>
      <c r="U10" s="64">
        <f t="shared" ca="1" si="11"/>
        <v>15257.758380000001</v>
      </c>
      <c r="V10" s="64">
        <f t="shared" ca="1" si="11"/>
        <v>17085.259860000002</v>
      </c>
      <c r="W10" s="64">
        <f t="shared" ca="1" si="11"/>
        <v>20762.54176</v>
      </c>
      <c r="X10" s="64">
        <f t="shared" ca="1" si="11"/>
        <v>18742.719420000001</v>
      </c>
      <c r="Y10" s="64">
        <f t="shared" ca="1" si="11"/>
        <v>22924.185080000003</v>
      </c>
      <c r="Z10" s="64">
        <f t="shared" ca="1" si="11"/>
        <v>24727.065860000002</v>
      </c>
      <c r="AA10" s="64">
        <f t="shared" ca="1" si="11"/>
        <v>9112.4349700000021</v>
      </c>
      <c r="AB10" s="118">
        <f ca="1">SUM(P10:AA10)</f>
        <v>222762.51623000001</v>
      </c>
      <c r="AC10" s="119">
        <f t="shared" ca="1" si="8"/>
        <v>9.3554888507586087E-2</v>
      </c>
      <c r="AD10" s="119">
        <f t="shared" ca="1" si="9"/>
        <v>8.7621978819193869E-2</v>
      </c>
      <c r="AE10" s="119">
        <v>-0.5</v>
      </c>
      <c r="AF10" s="119">
        <v>0.5</v>
      </c>
      <c r="AG10" s="119" t="s">
        <v>48</v>
      </c>
      <c r="AH10" s="120">
        <f t="shared" ca="1" si="10"/>
        <v>9.3554888507586087E-2</v>
      </c>
      <c r="AI10" s="207">
        <f ca="1">$AB10*(1+$AH10)*VLOOKUP(MONTH(AI$8),Sezona!$E$4:$F$15,2)</f>
        <v>14616.18231597402</v>
      </c>
      <c r="AJ10" s="207">
        <f ca="1">$AB10*(1+$AH10)*VLOOKUP(MONTH(AJ$8),Sezona!$E$4:$F$15,2)</f>
        <v>14616.18231597402</v>
      </c>
      <c r="AK10" s="207">
        <f ca="1">$AB10*(1+$AH10)*VLOOKUP(MONTH(AK$8),Sezona!$E$4:$F$15,2)</f>
        <v>17052.212701969693</v>
      </c>
      <c r="AL10" s="207">
        <f ca="1">$AB10*(1+$AH10)*VLOOKUP(MONTH(AL$8),Sezona!$E$4:$F$15,2)</f>
        <v>21924.273473961028</v>
      </c>
      <c r="AM10" s="207">
        <f ca="1">$AB10*(1+$AH10)*VLOOKUP(MONTH(AM$8),Sezona!$E$4:$F$15,2)</f>
        <v>26796.33424595237</v>
      </c>
      <c r="AN10" s="207">
        <f ca="1">$AB10*(1+$AH10)*VLOOKUP(MONTH(AN$8),Sezona!$E$4:$F$15,2)</f>
        <v>34104.425403939385</v>
      </c>
      <c r="AO10" s="207">
        <f ca="1">$AB10*(1+$AH10)*VLOOKUP(MONTH(AO$8),Sezona!$E$4:$F$15,2)</f>
        <v>24360.303859956701</v>
      </c>
      <c r="AP10" s="207">
        <f ca="1">$AB10*(1+$AH10)*VLOOKUP(MONTH(AP$8),Sezona!$E$4:$F$15,2)</f>
        <v>21924.273473961028</v>
      </c>
      <c r="AQ10" s="207">
        <f ca="1">$AB10*(1+$AH10)*VLOOKUP(MONTH(AQ$8),Sezona!$E$4:$F$15,2)</f>
        <v>21924.273473961028</v>
      </c>
      <c r="AR10" s="207">
        <f ca="1">$AB10*(1+$AH10)*VLOOKUP(MONTH(AR$8),Sezona!$E$4:$F$15,2)</f>
        <v>19488.243087965358</v>
      </c>
      <c r="AS10" s="207">
        <f ca="1">$AB10*(1+$AH10)*VLOOKUP(MONTH(AS$8),Sezona!$E$4:$F$15,2)</f>
        <v>17052.212701969693</v>
      </c>
      <c r="AT10" s="207">
        <f ca="1">$AB10*(1+$AH10)*VLOOKUP(MONTH(AT$8),Sezona!$E$4:$F$15,2)</f>
        <v>17052.212701969693</v>
      </c>
      <c r="AU10" s="208">
        <f ca="1">SUM(AI10:AT10)</f>
        <v>250911.12975755398</v>
      </c>
    </row>
    <row r="11" spans="1:50" ht="15" customHeight="1" thickBot="1" x14ac:dyDescent="0.25">
      <c r="B11" s="229" t="s">
        <v>58</v>
      </c>
      <c r="C11" s="230"/>
      <c r="D11" s="68">
        <f t="shared" ref="D11:AB11" ca="1" si="12">SUM(D9:D10)</f>
        <v>15727.64402</v>
      </c>
      <c r="E11" s="69">
        <f t="shared" ca="1" si="12"/>
        <v>18633.243299999998</v>
      </c>
      <c r="F11" s="69">
        <f t="shared" ca="1" si="12"/>
        <v>15344.515379999999</v>
      </c>
      <c r="G11" s="69">
        <f t="shared" ca="1" si="12"/>
        <v>20466.807239999998</v>
      </c>
      <c r="H11" s="69">
        <f t="shared" ca="1" si="12"/>
        <v>14558.058609999998</v>
      </c>
      <c r="I11" s="69">
        <f t="shared" ca="1" si="12"/>
        <v>16662.037260000001</v>
      </c>
      <c r="J11" s="69">
        <f t="shared" ca="1" si="12"/>
        <v>18054.653040000001</v>
      </c>
      <c r="K11" s="69">
        <f t="shared" ca="1" si="12"/>
        <v>18624.566490000001</v>
      </c>
      <c r="L11" s="69">
        <f t="shared" ca="1" si="12"/>
        <v>11506.14803</v>
      </c>
      <c r="M11" s="69">
        <f t="shared" ca="1" si="12"/>
        <v>15977.232519999998</v>
      </c>
      <c r="N11" s="69">
        <f t="shared" ca="1" si="12"/>
        <v>22096.308850000001</v>
      </c>
      <c r="O11" s="69">
        <f t="shared" ca="1" si="12"/>
        <v>18702.580899999997</v>
      </c>
      <c r="P11" s="69">
        <f t="shared" ca="1" si="12"/>
        <v>19450.133700000002</v>
      </c>
      <c r="Q11" s="69">
        <f t="shared" ca="1" si="12"/>
        <v>25443.489760000004</v>
      </c>
      <c r="R11" s="69">
        <f t="shared" ca="1" si="12"/>
        <v>14462.189750000001</v>
      </c>
      <c r="S11" s="69">
        <f t="shared" ca="1" si="12"/>
        <v>17899.004570000001</v>
      </c>
      <c r="T11" s="69">
        <f t="shared" ca="1" si="12"/>
        <v>18261.34978</v>
      </c>
      <c r="U11" s="69">
        <f t="shared" ca="1" si="12"/>
        <v>15450.570490000002</v>
      </c>
      <c r="V11" s="69">
        <f t="shared" ca="1" si="12"/>
        <v>17221.38881</v>
      </c>
      <c r="W11" s="69">
        <f t="shared" ca="1" si="12"/>
        <v>20896.507860000002</v>
      </c>
      <c r="X11" s="69">
        <f t="shared" ca="1" si="12"/>
        <v>18855.055520000002</v>
      </c>
      <c r="Y11" s="69">
        <f t="shared" ca="1" si="12"/>
        <v>22996.022780000003</v>
      </c>
      <c r="Z11" s="69">
        <f t="shared" ca="1" si="12"/>
        <v>24775.083830000003</v>
      </c>
      <c r="AA11" s="69">
        <f t="shared" ca="1" si="12"/>
        <v>9164.8308800000013</v>
      </c>
      <c r="AB11" s="127">
        <f t="shared" ca="1" si="12"/>
        <v>222762.51623000001</v>
      </c>
      <c r="AC11" s="128">
        <f ca="1">IF(SUM(J11:O11)+SUM(V11:AA11)&lt;0.001,0,IF(SUM(J11:O11)&lt;0.001,1,IF(SUM(V11:AA11)&lt;0.001,-1,SUM(V11:AA11)/(SUM(J11:O11))-1)))</f>
        <v>8.5244596513365023E-2</v>
      </c>
      <c r="AD11" s="129">
        <f ca="1">IF(SUM(D11:O11)+SUM(P11:AA11)&lt;0.001,0,IF(SUM(D11:O11)&lt;0.001,1,IF(SUM(P11:AA11)&lt;0.001,-1,SUM(P11:AA11)/(SUM(D11:O11))-1)))</f>
        <v>8.9757651573866726E-2</v>
      </c>
      <c r="AE11" s="129">
        <f ca="1">AVERAGE(AE9:AE10)</f>
        <v>-0.5</v>
      </c>
      <c r="AF11" s="129">
        <f ca="1">AVERAGE(AF9:AF10)</f>
        <v>0.5</v>
      </c>
      <c r="AG11" s="130" t="s">
        <v>48</v>
      </c>
      <c r="AH11" s="131">
        <f ca="1">IF(AB11&lt;&gt;0,AU11/AB11-1,0)</f>
        <v>0.12636153516281357</v>
      </c>
      <c r="AI11" s="132">
        <f t="shared" ref="AI11:AU11" ca="1" si="13">SUM(AI9:AI10)</f>
        <v>14616.18231597402</v>
      </c>
      <c r="AJ11" s="132">
        <f t="shared" ca="1" si="13"/>
        <v>14616.18231597402</v>
      </c>
      <c r="AK11" s="132">
        <f t="shared" ca="1" si="13"/>
        <v>17052.212701969693</v>
      </c>
      <c r="AL11" s="132">
        <f t="shared" ca="1" si="13"/>
        <v>21924.273473961028</v>
      </c>
      <c r="AM11" s="132">
        <f t="shared" ca="1" si="13"/>
        <v>26796.33424595237</v>
      </c>
      <c r="AN11" s="132">
        <f t="shared" ca="1" si="13"/>
        <v>34104.425403939385</v>
      </c>
      <c r="AO11" s="132">
        <f t="shared" ca="1" si="13"/>
        <v>24360.303859956701</v>
      </c>
      <c r="AP11" s="132">
        <f t="shared" ca="1" si="13"/>
        <v>21924.273473961028</v>
      </c>
      <c r="AQ11" s="132">
        <f t="shared" ca="1" si="13"/>
        <v>21924.273473961028</v>
      </c>
      <c r="AR11" s="132">
        <f t="shared" ca="1" si="13"/>
        <v>19488.243087965358</v>
      </c>
      <c r="AS11" s="132">
        <f t="shared" ca="1" si="13"/>
        <v>17052.212701969693</v>
      </c>
      <c r="AT11" s="132">
        <f t="shared" ca="1" si="13"/>
        <v>17052.212701969693</v>
      </c>
      <c r="AU11" s="132">
        <f t="shared" ca="1" si="13"/>
        <v>250911.12975755398</v>
      </c>
    </row>
    <row r="12" spans="1:50" ht="15" customHeight="1" x14ac:dyDescent="0.2">
      <c r="D12" s="133"/>
      <c r="E12" s="133"/>
      <c r="F12" s="133"/>
      <c r="G12" s="133"/>
      <c r="H12" s="133"/>
      <c r="I12" s="133"/>
      <c r="J12" s="133"/>
      <c r="K12" s="133"/>
      <c r="L12" s="133"/>
      <c r="M12" s="133"/>
      <c r="N12" s="133"/>
      <c r="O12" s="133"/>
      <c r="P12" s="133"/>
      <c r="Q12" s="133"/>
      <c r="R12" s="133"/>
      <c r="S12" s="133"/>
      <c r="T12" s="133"/>
      <c r="U12" s="133"/>
      <c r="V12" s="133"/>
      <c r="W12" s="133"/>
      <c r="X12" s="133"/>
      <c r="Y12" s="133"/>
      <c r="Z12" s="133"/>
      <c r="AA12" s="133"/>
    </row>
  </sheetData>
  <mergeCells count="5">
    <mergeCell ref="B6:C7"/>
    <mergeCell ref="AB6:AB7"/>
    <mergeCell ref="AH6:AH7"/>
    <mergeCell ref="AU6:AU7"/>
    <mergeCell ref="B11:C11"/>
  </mergeCells>
  <conditionalFormatting sqref="AC9:AH11">
    <cfRule type="cellIs" dxfId="3" priority="1" operator="greaterThan">
      <formula>0.5</formula>
    </cfRule>
    <cfRule type="cellIs" dxfId="2" priority="2" operator="lessThan">
      <formula>-0.5</formula>
    </cfRule>
  </conditionalFormatting>
  <pageMargins left="0.7" right="0.7" top="0.78740157499999996" bottom="0.78740157499999996" header="0.3" footer="0.3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List4"/>
  <dimension ref="A1:GO19"/>
  <sheetViews>
    <sheetView zoomScale="85" zoomScaleNormal="85" zoomScalePageLayoutView="115" workbookViewId="0">
      <selection activeCell="AI22" sqref="AI22"/>
    </sheetView>
  </sheetViews>
  <sheetFormatPr defaultColWidth="9.140625" defaultRowHeight="15" outlineLevelCol="1" x14ac:dyDescent="0.2"/>
  <cols>
    <col min="1" max="1" width="1.7109375" style="41" customWidth="1"/>
    <col min="2" max="2" width="30.28515625" style="72" bestFit="1" customWidth="1"/>
    <col min="3" max="3" width="12.7109375" style="72" customWidth="1"/>
    <col min="4" max="20" width="12.7109375" style="73" hidden="1" customWidth="1" outlineLevel="1"/>
    <col min="21" max="21" width="12.7109375" style="74" hidden="1" customWidth="1" outlineLevel="1"/>
    <col min="22" max="26" width="12.7109375" style="75" hidden="1" customWidth="1" outlineLevel="1"/>
    <col min="27" max="27" width="12.7109375" style="73" hidden="1" customWidth="1" outlineLevel="1"/>
    <col min="28" max="28" width="12.7109375" style="73" customWidth="1" collapsed="1"/>
    <col min="29" max="33" width="12.7109375" style="93" hidden="1" customWidth="1" outlineLevel="1"/>
    <col min="34" max="34" width="12.7109375" style="93" customWidth="1" collapsed="1"/>
    <col min="35" max="197" width="9.140625" style="73"/>
    <col min="198" max="16384" width="9.140625" style="94"/>
  </cols>
  <sheetData>
    <row r="1" spans="1:36" ht="10.35" customHeight="1" thickBot="1" x14ac:dyDescent="0.25"/>
    <row r="2" spans="1:36" ht="15" customHeight="1" x14ac:dyDescent="0.2">
      <c r="B2" s="95" t="s">
        <v>59</v>
      </c>
      <c r="C2" s="96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6"/>
      <c r="R2" s="96"/>
      <c r="S2" s="96"/>
      <c r="T2" s="96"/>
      <c r="U2" s="96"/>
      <c r="V2" s="96"/>
      <c r="W2" s="96"/>
      <c r="X2" s="96"/>
      <c r="Y2" s="96"/>
      <c r="Z2" s="96"/>
      <c r="AA2" s="96"/>
      <c r="AB2" s="97"/>
      <c r="AC2" s="96"/>
      <c r="AD2" s="87"/>
      <c r="AE2" s="87"/>
      <c r="AF2" s="87"/>
      <c r="AG2" s="87"/>
      <c r="AH2" s="88" t="s">
        <v>40</v>
      </c>
    </row>
    <row r="3" spans="1:36" ht="15" customHeight="1" x14ac:dyDescent="0.2">
      <c r="B3" s="89" t="s">
        <v>52</v>
      </c>
      <c r="C3" s="27">
        <v>43646</v>
      </c>
      <c r="D3" s="98"/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8"/>
      <c r="V3" s="98"/>
      <c r="W3" s="98"/>
      <c r="X3" s="98"/>
      <c r="Y3" s="98"/>
      <c r="Z3" s="98"/>
      <c r="AA3" s="98"/>
      <c r="AB3" s="99"/>
      <c r="AC3" s="98"/>
      <c r="AD3" s="90"/>
      <c r="AE3" s="90"/>
      <c r="AF3" s="90"/>
      <c r="AG3" s="90"/>
      <c r="AH3" s="91"/>
    </row>
    <row r="4" spans="1:36" ht="15" customHeight="1" x14ac:dyDescent="0.2">
      <c r="B4" s="101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9"/>
      <c r="AC4" s="98"/>
      <c r="AD4" s="90"/>
      <c r="AE4" s="90"/>
      <c r="AF4" s="90"/>
      <c r="AG4" s="90"/>
      <c r="AH4" s="91"/>
    </row>
    <row r="5" spans="1:36" ht="12" customHeight="1" thickBot="1" x14ac:dyDescent="0.25">
      <c r="B5" s="102"/>
      <c r="C5" s="103"/>
      <c r="D5" s="98"/>
      <c r="E5" s="98"/>
      <c r="F5" s="98"/>
      <c r="G5" s="98"/>
      <c r="H5" s="98"/>
      <c r="I5" s="98"/>
      <c r="J5" s="98"/>
      <c r="K5" s="98"/>
      <c r="L5" s="98"/>
      <c r="M5" s="98"/>
      <c r="N5" s="98"/>
      <c r="O5" s="98"/>
      <c r="P5" s="98"/>
      <c r="Q5" s="98"/>
      <c r="R5" s="98"/>
      <c r="S5" s="98"/>
      <c r="T5" s="98"/>
      <c r="U5" s="98"/>
      <c r="V5" s="98"/>
      <c r="W5" s="98"/>
      <c r="X5" s="98"/>
      <c r="Y5" s="98"/>
      <c r="Z5" s="98"/>
      <c r="AA5" s="98"/>
      <c r="AB5" s="104"/>
      <c r="AC5" s="98"/>
      <c r="AD5" s="90"/>
      <c r="AE5" s="90"/>
      <c r="AF5" s="90"/>
      <c r="AG5" s="90"/>
      <c r="AH5" s="91"/>
    </row>
    <row r="6" spans="1:36" s="49" customFormat="1" ht="12" customHeight="1" x14ac:dyDescent="0.2">
      <c r="A6" s="47"/>
      <c r="B6" s="235"/>
      <c r="C6" s="236"/>
      <c r="D6" s="54">
        <f ca="1">D7-IF(MONTH(D7)=2,IF(OR(YEAR(D7)=2008,YEAR(D7)=2012,YEAR(D7)=2016),29,28),IF(OR(MONTH(D7)=4,MONTH(D7)=6,MONTH(D7)=9,MONTH(D7)=11),30,31))+1</f>
        <v>42917</v>
      </c>
      <c r="E6" s="55">
        <f t="shared" ref="E6:AA6" ca="1" si="0">E7-IF(MONTH(E7)=2,IF(OR(YEAR(E7)=2008,YEAR(E7)=2012,YEAR(E7)=2016),29,28),IF(OR(MONTH(E7)=4,MONTH(E7)=6,MONTH(E7)=9,MONTH(E7)=11),30,31))+1</f>
        <v>42948</v>
      </c>
      <c r="F6" s="55">
        <f t="shared" ca="1" si="0"/>
        <v>42979</v>
      </c>
      <c r="G6" s="55">
        <f t="shared" ca="1" si="0"/>
        <v>43009</v>
      </c>
      <c r="H6" s="55">
        <f t="shared" ca="1" si="0"/>
        <v>43040</v>
      </c>
      <c r="I6" s="55">
        <f t="shared" ca="1" si="0"/>
        <v>43070</v>
      </c>
      <c r="J6" s="55">
        <f t="shared" ca="1" si="0"/>
        <v>43101</v>
      </c>
      <c r="K6" s="55">
        <f t="shared" ca="1" si="0"/>
        <v>43132</v>
      </c>
      <c r="L6" s="55">
        <f t="shared" ca="1" si="0"/>
        <v>43160</v>
      </c>
      <c r="M6" s="55">
        <f t="shared" ca="1" si="0"/>
        <v>43191</v>
      </c>
      <c r="N6" s="55">
        <f t="shared" ca="1" si="0"/>
        <v>43221</v>
      </c>
      <c r="O6" s="55">
        <f t="shared" ca="1" si="0"/>
        <v>43252</v>
      </c>
      <c r="P6" s="55">
        <f t="shared" ca="1" si="0"/>
        <v>43282</v>
      </c>
      <c r="Q6" s="55">
        <f t="shared" ca="1" si="0"/>
        <v>43313</v>
      </c>
      <c r="R6" s="55">
        <f t="shared" ca="1" si="0"/>
        <v>43344</v>
      </c>
      <c r="S6" s="55">
        <f t="shared" ca="1" si="0"/>
        <v>43374</v>
      </c>
      <c r="T6" s="55">
        <f t="shared" ca="1" si="0"/>
        <v>43405</v>
      </c>
      <c r="U6" s="55">
        <f t="shared" ca="1" si="0"/>
        <v>43435</v>
      </c>
      <c r="V6" s="55">
        <f t="shared" ca="1" si="0"/>
        <v>43466</v>
      </c>
      <c r="W6" s="55">
        <f t="shared" ca="1" si="0"/>
        <v>43497</v>
      </c>
      <c r="X6" s="55">
        <f t="shared" ca="1" si="0"/>
        <v>43525</v>
      </c>
      <c r="Y6" s="55">
        <f t="shared" ca="1" si="0"/>
        <v>43556</v>
      </c>
      <c r="Z6" s="55">
        <f t="shared" ca="1" si="0"/>
        <v>43586</v>
      </c>
      <c r="AA6" s="55">
        <f t="shared" ca="1" si="0"/>
        <v>43617</v>
      </c>
      <c r="AB6" s="231"/>
      <c r="AC6" s="87"/>
      <c r="AD6" s="87"/>
      <c r="AE6" s="87"/>
      <c r="AF6" s="87"/>
      <c r="AG6" s="87"/>
      <c r="AH6" s="233"/>
    </row>
    <row r="7" spans="1:36" s="49" customFormat="1" ht="12" customHeight="1" thickBot="1" x14ac:dyDescent="0.25">
      <c r="A7" s="47"/>
      <c r="B7" s="237"/>
      <c r="C7" s="238"/>
      <c r="D7" s="56">
        <f t="shared" ref="D7:Z7" ca="1" si="1">E6-1</f>
        <v>42947</v>
      </c>
      <c r="E7" s="57">
        <f t="shared" ca="1" si="1"/>
        <v>42978</v>
      </c>
      <c r="F7" s="57">
        <f t="shared" ca="1" si="1"/>
        <v>43008</v>
      </c>
      <c r="G7" s="57">
        <f t="shared" ca="1" si="1"/>
        <v>43039</v>
      </c>
      <c r="H7" s="57">
        <f t="shared" ca="1" si="1"/>
        <v>43069</v>
      </c>
      <c r="I7" s="57">
        <f t="shared" ca="1" si="1"/>
        <v>43100</v>
      </c>
      <c r="J7" s="57">
        <f t="shared" ca="1" si="1"/>
        <v>43131</v>
      </c>
      <c r="K7" s="57">
        <f t="shared" ca="1" si="1"/>
        <v>43159</v>
      </c>
      <c r="L7" s="57">
        <f t="shared" ca="1" si="1"/>
        <v>43190</v>
      </c>
      <c r="M7" s="57">
        <f t="shared" ca="1" si="1"/>
        <v>43220</v>
      </c>
      <c r="N7" s="57">
        <f t="shared" ca="1" si="1"/>
        <v>43251</v>
      </c>
      <c r="O7" s="57">
        <f t="shared" ca="1" si="1"/>
        <v>43281</v>
      </c>
      <c r="P7" s="57">
        <f t="shared" ca="1" si="1"/>
        <v>43312</v>
      </c>
      <c r="Q7" s="57">
        <f t="shared" ca="1" si="1"/>
        <v>43343</v>
      </c>
      <c r="R7" s="57">
        <f t="shared" ca="1" si="1"/>
        <v>43373</v>
      </c>
      <c r="S7" s="57">
        <f t="shared" ca="1" si="1"/>
        <v>43404</v>
      </c>
      <c r="T7" s="57">
        <f t="shared" ca="1" si="1"/>
        <v>43434</v>
      </c>
      <c r="U7" s="57">
        <f t="shared" ca="1" si="1"/>
        <v>43465</v>
      </c>
      <c r="V7" s="57">
        <f t="shared" ca="1" si="1"/>
        <v>43496</v>
      </c>
      <c r="W7" s="57">
        <f t="shared" ca="1" si="1"/>
        <v>43524</v>
      </c>
      <c r="X7" s="57">
        <f t="shared" ca="1" si="1"/>
        <v>43555</v>
      </c>
      <c r="Y7" s="57">
        <f t="shared" ca="1" si="1"/>
        <v>43585</v>
      </c>
      <c r="Z7" s="57">
        <f t="shared" ca="1" si="1"/>
        <v>43616</v>
      </c>
      <c r="AA7" s="57">
        <f ca="1">C3</f>
        <v>43646</v>
      </c>
      <c r="AB7" s="232"/>
      <c r="AC7" s="92"/>
      <c r="AD7" s="92"/>
      <c r="AE7" s="92"/>
      <c r="AF7" s="92"/>
      <c r="AG7" s="92"/>
      <c r="AH7" s="234"/>
    </row>
    <row r="8" spans="1:36" s="49" customFormat="1" ht="12" customHeight="1" thickBot="1" x14ac:dyDescent="0.25">
      <c r="B8" s="31" t="s">
        <v>0</v>
      </c>
      <c r="C8" s="32" t="s">
        <v>46</v>
      </c>
      <c r="D8" s="58">
        <f t="shared" ref="D8:AA8" ca="1" si="2">D6</f>
        <v>42917</v>
      </c>
      <c r="E8" s="59">
        <f t="shared" ca="1" si="2"/>
        <v>42948</v>
      </c>
      <c r="F8" s="59">
        <f t="shared" ca="1" si="2"/>
        <v>42979</v>
      </c>
      <c r="G8" s="60">
        <f t="shared" ca="1" si="2"/>
        <v>43009</v>
      </c>
      <c r="H8" s="60">
        <f t="shared" ca="1" si="2"/>
        <v>43040</v>
      </c>
      <c r="I8" s="60">
        <f t="shared" ca="1" si="2"/>
        <v>43070</v>
      </c>
      <c r="J8" s="60">
        <f t="shared" ca="1" si="2"/>
        <v>43101</v>
      </c>
      <c r="K8" s="60">
        <f t="shared" ca="1" si="2"/>
        <v>43132</v>
      </c>
      <c r="L8" s="60">
        <f t="shared" ca="1" si="2"/>
        <v>43160</v>
      </c>
      <c r="M8" s="60">
        <f t="shared" ca="1" si="2"/>
        <v>43191</v>
      </c>
      <c r="N8" s="60">
        <f t="shared" ca="1" si="2"/>
        <v>43221</v>
      </c>
      <c r="O8" s="60">
        <f t="shared" ca="1" si="2"/>
        <v>43252</v>
      </c>
      <c r="P8" s="60">
        <f t="shared" ca="1" si="2"/>
        <v>43282</v>
      </c>
      <c r="Q8" s="60">
        <f t="shared" ca="1" si="2"/>
        <v>43313</v>
      </c>
      <c r="R8" s="60">
        <f t="shared" ca="1" si="2"/>
        <v>43344</v>
      </c>
      <c r="S8" s="60">
        <f t="shared" ca="1" si="2"/>
        <v>43374</v>
      </c>
      <c r="T8" s="60">
        <f t="shared" ca="1" si="2"/>
        <v>43405</v>
      </c>
      <c r="U8" s="60">
        <f t="shared" ca="1" si="2"/>
        <v>43435</v>
      </c>
      <c r="V8" s="60">
        <f t="shared" ca="1" si="2"/>
        <v>43466</v>
      </c>
      <c r="W8" s="60">
        <f t="shared" ca="1" si="2"/>
        <v>43497</v>
      </c>
      <c r="X8" s="60">
        <f t="shared" ca="1" si="2"/>
        <v>43525</v>
      </c>
      <c r="Y8" s="60">
        <f t="shared" ca="1" si="2"/>
        <v>43556</v>
      </c>
      <c r="Z8" s="60">
        <f t="shared" ca="1" si="2"/>
        <v>43586</v>
      </c>
      <c r="AA8" s="60">
        <f t="shared" ca="1" si="2"/>
        <v>43617</v>
      </c>
      <c r="AB8" s="107" t="s">
        <v>36</v>
      </c>
      <c r="AC8" s="108" t="s">
        <v>42</v>
      </c>
      <c r="AD8" s="109" t="s">
        <v>43</v>
      </c>
      <c r="AE8" s="109" t="s">
        <v>44</v>
      </c>
      <c r="AF8" s="109" t="s">
        <v>45</v>
      </c>
      <c r="AG8" s="109" t="s">
        <v>39</v>
      </c>
      <c r="AH8" s="107" t="s">
        <v>41</v>
      </c>
    </row>
    <row r="9" spans="1:36" ht="15" customHeight="1" thickBot="1" x14ac:dyDescent="0.25">
      <c r="B9" s="61" t="s">
        <v>57</v>
      </c>
      <c r="C9" s="63" t="s">
        <v>54</v>
      </c>
      <c r="D9" s="64">
        <f ca="1">AbraBalance(URL,Username,Password,$C9,(D$6-1))/1000+AbraTurnover(URL,Username,Password,$C9,D$6,D$7)/1000</f>
        <v>10.712560000000003</v>
      </c>
      <c r="E9" s="64">
        <f t="shared" ref="E9:AA9" ca="1" si="3">D9+AbraTurnover(URL,Username,Password,$C9,E$6,E$7)/1000</f>
        <v>61.573660000000004</v>
      </c>
      <c r="F9" s="64">
        <f t="shared" ca="1" si="3"/>
        <v>53.408800000000006</v>
      </c>
      <c r="G9" s="64">
        <f t="shared" ca="1" si="3"/>
        <v>42.192260000000005</v>
      </c>
      <c r="H9" s="64">
        <f t="shared" ca="1" si="3"/>
        <v>42.53877</v>
      </c>
      <c r="I9" s="64">
        <f t="shared" ca="1" si="3"/>
        <v>22.380589999999998</v>
      </c>
      <c r="J9" s="64">
        <f t="shared" ca="1" si="3"/>
        <v>43.075019999999995</v>
      </c>
      <c r="K9" s="64">
        <f t="shared" ca="1" si="3"/>
        <v>8.476629999999993</v>
      </c>
      <c r="L9" s="64">
        <f t="shared" ca="1" si="3"/>
        <v>321.15125999999998</v>
      </c>
      <c r="M9" s="64">
        <f t="shared" ca="1" si="3"/>
        <v>317.30977999999999</v>
      </c>
      <c r="N9" s="64">
        <f t="shared" ca="1" si="3"/>
        <v>268.86129</v>
      </c>
      <c r="O9" s="64">
        <f t="shared" ca="1" si="3"/>
        <v>345.99271999999996</v>
      </c>
      <c r="P9" s="64">
        <f t="shared" ca="1" si="3"/>
        <v>347.33971999999994</v>
      </c>
      <c r="Q9" s="64">
        <f t="shared" ca="1" si="3"/>
        <v>336.27959999999996</v>
      </c>
      <c r="R9" s="64">
        <f t="shared" ca="1" si="3"/>
        <v>272.07304999999997</v>
      </c>
      <c r="S9" s="64">
        <f t="shared" ca="1" si="3"/>
        <v>239.81754999999998</v>
      </c>
      <c r="T9" s="64">
        <f t="shared" ca="1" si="3"/>
        <v>170.10674</v>
      </c>
      <c r="U9" s="64">
        <f t="shared" ca="1" si="3"/>
        <v>192.81210999999999</v>
      </c>
      <c r="V9" s="64">
        <f t="shared" ca="1" si="3"/>
        <v>136.12894999999997</v>
      </c>
      <c r="W9" s="64">
        <f t="shared" ca="1" si="3"/>
        <v>133.96609999999998</v>
      </c>
      <c r="X9" s="64">
        <f t="shared" ca="1" si="3"/>
        <v>112.33609999999999</v>
      </c>
      <c r="Y9" s="64">
        <f t="shared" ca="1" si="3"/>
        <v>71.837699999999984</v>
      </c>
      <c r="Z9" s="64">
        <f t="shared" ca="1" si="3"/>
        <v>48.017969999999984</v>
      </c>
      <c r="AA9" s="64">
        <f t="shared" ca="1" si="3"/>
        <v>52.395909999999986</v>
      </c>
      <c r="AB9" s="112">
        <f ca="1">SUM(P9:AA9)</f>
        <v>2113.1115</v>
      </c>
      <c r="AC9" s="113">
        <f ca="1">IF(SUM(J9:O9)+SUM(V9:AA9)&lt;0.001,0,IF(SUM(J9:O9)&lt;0.001,1,IF(SUM(V9:AA9)&lt;0.001,-1,SUM(V9:AA9)/(SUM(J9:O9))-1)))</f>
        <v>-0.57491234162079552</v>
      </c>
      <c r="AD9" s="113">
        <f ca="1">IF(SUM(D9:O9)+SUM(P9:AA9)&lt;0.001,0,IF(SUM(D9:O9)&lt;0.001,1,IF(SUM(P9:AA9)&lt;0.001,-1,SUM(P9:AA9)/(SUM(D9:O9))-1)))</f>
        <v>0.37422653110445414</v>
      </c>
      <c r="AE9" s="113">
        <v>-0.5</v>
      </c>
      <c r="AF9" s="113">
        <v>0.5</v>
      </c>
      <c r="AG9" s="113" t="s">
        <v>48</v>
      </c>
      <c r="AH9" s="114">
        <f t="shared" ref="AH9:AH10" ca="1" si="4">IF($AG9&lt;&gt;"-",$AG9,IF($AC9&lt;$AE9,$AE9,IF($AC9&gt;$AF9,$AF9,$AC9)))</f>
        <v>-0.5</v>
      </c>
      <c r="AI9" s="49"/>
      <c r="AJ9" s="49"/>
    </row>
    <row r="10" spans="1:36" ht="15" customHeight="1" thickBot="1" x14ac:dyDescent="0.25">
      <c r="B10" s="65" t="s">
        <v>56</v>
      </c>
      <c r="C10" s="67" t="s">
        <v>55</v>
      </c>
      <c r="D10" s="64">
        <f t="shared" ref="D10" ca="1" si="5">AbraBalance(URL,Username,Password,$C10,(D$6-1))/1000+AbraTurnover(URL,Username,Password,$C10,D$6,D$7)/1000</f>
        <v>15716.93146</v>
      </c>
      <c r="E10" s="64">
        <f t="shared" ref="E10:AA10" ca="1" si="6">D10+AbraTurnover(URL,Username,Password,$C10,E$6,E$7)/1000</f>
        <v>18571.66964</v>
      </c>
      <c r="F10" s="64">
        <f t="shared" ca="1" si="6"/>
        <v>15291.10658</v>
      </c>
      <c r="G10" s="64">
        <f t="shared" ca="1" si="6"/>
        <v>20424.614979999998</v>
      </c>
      <c r="H10" s="64">
        <f t="shared" ca="1" si="6"/>
        <v>14515.519839999999</v>
      </c>
      <c r="I10" s="64">
        <f t="shared" ca="1" si="6"/>
        <v>16639.65667</v>
      </c>
      <c r="J10" s="64">
        <f t="shared" ca="1" si="6"/>
        <v>18011.578020000001</v>
      </c>
      <c r="K10" s="64">
        <f t="shared" ca="1" si="6"/>
        <v>18616.08986</v>
      </c>
      <c r="L10" s="64">
        <f t="shared" ca="1" si="6"/>
        <v>11184.99677</v>
      </c>
      <c r="M10" s="64">
        <f t="shared" ca="1" si="6"/>
        <v>15659.922739999998</v>
      </c>
      <c r="N10" s="64">
        <f t="shared" ca="1" si="6"/>
        <v>21827.447560000001</v>
      </c>
      <c r="O10" s="64">
        <f t="shared" ca="1" si="6"/>
        <v>18356.588179999999</v>
      </c>
      <c r="P10" s="64">
        <f t="shared" ca="1" si="6"/>
        <v>19102.793980000002</v>
      </c>
      <c r="Q10" s="64">
        <f t="shared" ca="1" si="6"/>
        <v>25107.210160000002</v>
      </c>
      <c r="R10" s="64">
        <f t="shared" ca="1" si="6"/>
        <v>14190.116700000002</v>
      </c>
      <c r="S10" s="64">
        <f t="shared" ca="1" si="6"/>
        <v>17659.187020000001</v>
      </c>
      <c r="T10" s="64">
        <f t="shared" ca="1" si="6"/>
        <v>18091.243040000001</v>
      </c>
      <c r="U10" s="64">
        <f t="shared" ca="1" si="6"/>
        <v>15257.758380000001</v>
      </c>
      <c r="V10" s="64">
        <f t="shared" ca="1" si="6"/>
        <v>17085.259860000002</v>
      </c>
      <c r="W10" s="64">
        <f t="shared" ca="1" si="6"/>
        <v>20762.54176</v>
      </c>
      <c r="X10" s="64">
        <f t="shared" ca="1" si="6"/>
        <v>18742.719420000001</v>
      </c>
      <c r="Y10" s="64">
        <f t="shared" ca="1" si="6"/>
        <v>22924.185080000003</v>
      </c>
      <c r="Z10" s="64">
        <f t="shared" ca="1" si="6"/>
        <v>24727.065860000002</v>
      </c>
      <c r="AA10" s="64">
        <f t="shared" ca="1" si="6"/>
        <v>9112.4349700000021</v>
      </c>
      <c r="AB10" s="118">
        <f ca="1">SUM(P10:AA10)</f>
        <v>222762.51623000001</v>
      </c>
      <c r="AC10" s="119">
        <f t="shared" ref="AC10" ca="1" si="7">IF(SUM(J10:O10)+SUM(V10:AA10)&lt;0.001,0,IF(SUM(J10:O10)&lt;0.001,1,IF(SUM(V10:AA10)&lt;0.001,-1,SUM(V10:AA10)/(SUM(J10:O10))-1)))</f>
        <v>9.3554888507586087E-2</v>
      </c>
      <c r="AD10" s="119">
        <f t="shared" ref="AD10" ca="1" si="8">IF(SUM(D10:O10)+SUM(P10:AA10)&lt;0.001,0,IF(SUM(D10:O10)&lt;0.001,1,IF(SUM(P10:AA10)&lt;0.001,-1,SUM(P10:AA10)/(SUM(D10:O10))-1)))</f>
        <v>8.7621978819193869E-2</v>
      </c>
      <c r="AE10" s="119">
        <v>-0.5</v>
      </c>
      <c r="AF10" s="119">
        <v>0.5</v>
      </c>
      <c r="AG10" s="119" t="s">
        <v>48</v>
      </c>
      <c r="AH10" s="120">
        <f t="shared" ca="1" si="4"/>
        <v>9.3554888507586087E-2</v>
      </c>
    </row>
    <row r="11" spans="1:36" ht="15" customHeight="1" thickBot="1" x14ac:dyDescent="0.25">
      <c r="B11" s="229" t="s">
        <v>58</v>
      </c>
      <c r="C11" s="230"/>
      <c r="D11" s="68">
        <f t="shared" ref="D11:AB11" ca="1" si="9">SUM(D9:D10)</f>
        <v>15727.64402</v>
      </c>
      <c r="E11" s="69">
        <f t="shared" ca="1" si="9"/>
        <v>18633.243299999998</v>
      </c>
      <c r="F11" s="69">
        <f t="shared" ca="1" si="9"/>
        <v>15344.515379999999</v>
      </c>
      <c r="G11" s="69">
        <f t="shared" ca="1" si="9"/>
        <v>20466.807239999998</v>
      </c>
      <c r="H11" s="69">
        <f t="shared" ca="1" si="9"/>
        <v>14558.058609999998</v>
      </c>
      <c r="I11" s="69">
        <f t="shared" ca="1" si="9"/>
        <v>16662.037260000001</v>
      </c>
      <c r="J11" s="69">
        <f t="shared" ca="1" si="9"/>
        <v>18054.653040000001</v>
      </c>
      <c r="K11" s="69">
        <f t="shared" ca="1" si="9"/>
        <v>18624.566490000001</v>
      </c>
      <c r="L11" s="69">
        <f t="shared" ca="1" si="9"/>
        <v>11506.14803</v>
      </c>
      <c r="M11" s="69">
        <f t="shared" ca="1" si="9"/>
        <v>15977.232519999998</v>
      </c>
      <c r="N11" s="69">
        <f t="shared" ca="1" si="9"/>
        <v>22096.308850000001</v>
      </c>
      <c r="O11" s="69">
        <f t="shared" ca="1" si="9"/>
        <v>18702.580899999997</v>
      </c>
      <c r="P11" s="69">
        <f t="shared" ca="1" si="9"/>
        <v>19450.133700000002</v>
      </c>
      <c r="Q11" s="69">
        <f t="shared" ca="1" si="9"/>
        <v>25443.489760000004</v>
      </c>
      <c r="R11" s="69">
        <f t="shared" ca="1" si="9"/>
        <v>14462.189750000001</v>
      </c>
      <c r="S11" s="69">
        <f t="shared" ca="1" si="9"/>
        <v>17899.004570000001</v>
      </c>
      <c r="T11" s="69">
        <f t="shared" ca="1" si="9"/>
        <v>18261.34978</v>
      </c>
      <c r="U11" s="69">
        <f t="shared" ca="1" si="9"/>
        <v>15450.570490000002</v>
      </c>
      <c r="V11" s="69">
        <f t="shared" ca="1" si="9"/>
        <v>17221.38881</v>
      </c>
      <c r="W11" s="69">
        <f t="shared" ca="1" si="9"/>
        <v>20896.507860000002</v>
      </c>
      <c r="X11" s="69">
        <f t="shared" ca="1" si="9"/>
        <v>18855.055520000002</v>
      </c>
      <c r="Y11" s="69">
        <f t="shared" ca="1" si="9"/>
        <v>22996.022780000003</v>
      </c>
      <c r="Z11" s="69">
        <f t="shared" ca="1" si="9"/>
        <v>24775.083830000003</v>
      </c>
      <c r="AA11" s="69">
        <f t="shared" ca="1" si="9"/>
        <v>9164.8308800000013</v>
      </c>
      <c r="AB11" s="127">
        <f t="shared" ca="1" si="9"/>
        <v>224875.62773000001</v>
      </c>
      <c r="AC11" s="128">
        <f ca="1">IF(SUM(J11:O11)+SUM(V11:AA11)&lt;0.001,0,IF(SUM(J11:O11)&lt;0.001,1,IF(SUM(V11:AA11)&lt;0.001,-1,SUM(V11:AA11)/(SUM(J11:O11))-1)))</f>
        <v>8.5244596513365023E-2</v>
      </c>
      <c r="AD11" s="129">
        <f ca="1">IF(SUM(D11:O11)+SUM(P11:AA11)&lt;0.001,0,IF(SUM(D11:O11)&lt;0.001,1,IF(SUM(P11:AA11)&lt;0.001,-1,SUM(P11:AA11)/(SUM(D11:O11))-1)))</f>
        <v>8.9757651573866726E-2</v>
      </c>
      <c r="AE11" s="129">
        <f ca="1">AVERAGE(AE9:AE10)</f>
        <v>-0.5</v>
      </c>
      <c r="AF11" s="129">
        <f ca="1">AVERAGE(AF9:AF10)</f>
        <v>0.5</v>
      </c>
      <c r="AG11" s="130" t="s">
        <v>48</v>
      </c>
      <c r="AH11" s="131">
        <f ca="1">IF(AB11&lt;&gt;0,AB10/AB11-1,0)</f>
        <v>-9.3968008953693172E-3</v>
      </c>
    </row>
    <row r="12" spans="1:36" ht="15" customHeight="1" x14ac:dyDescent="0.2">
      <c r="D12" s="133"/>
      <c r="E12" s="133"/>
      <c r="F12" s="133"/>
      <c r="G12" s="133"/>
      <c r="H12" s="133"/>
      <c r="I12" s="133"/>
      <c r="J12" s="133"/>
      <c r="K12" s="133"/>
      <c r="L12" s="133"/>
      <c r="M12" s="133"/>
      <c r="N12" s="133"/>
      <c r="O12" s="133"/>
      <c r="P12" s="133"/>
      <c r="Q12" s="133"/>
      <c r="R12" s="133"/>
      <c r="S12" s="133"/>
      <c r="T12" s="133"/>
      <c r="U12" s="133"/>
      <c r="V12" s="133"/>
      <c r="W12" s="133"/>
      <c r="X12" s="133"/>
      <c r="Y12" s="133"/>
      <c r="Z12" s="133"/>
      <c r="AA12" s="133"/>
    </row>
    <row r="16" spans="1:36" x14ac:dyDescent="0.2">
      <c r="Q16" s="135"/>
    </row>
    <row r="17" spans="17:17" x14ac:dyDescent="0.2">
      <c r="Q17" s="135"/>
    </row>
    <row r="18" spans="17:17" x14ac:dyDescent="0.2">
      <c r="Q18" s="135"/>
    </row>
    <row r="19" spans="17:17" x14ac:dyDescent="0.2">
      <c r="Q19" s="135"/>
    </row>
  </sheetData>
  <mergeCells count="4">
    <mergeCell ref="B6:C7"/>
    <mergeCell ref="AB6:AB7"/>
    <mergeCell ref="AH6:AH7"/>
    <mergeCell ref="B11:C11"/>
  </mergeCells>
  <conditionalFormatting sqref="AC9:AH11">
    <cfRule type="cellIs" dxfId="1" priority="1" operator="greaterThan">
      <formula>0.5</formula>
    </cfRule>
    <cfRule type="cellIs" dxfId="0" priority="2" operator="lessThan">
      <formula>-0.5</formula>
    </cfRule>
  </conditionalFormatting>
  <pageMargins left="0.7" right="0.7" top="0.78740157499999996" bottom="0.78740157499999996" header="0.3" footer="0.3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6"/>
  <dimension ref="A1:GI23"/>
  <sheetViews>
    <sheetView zoomScale="55" zoomScaleNormal="55" zoomScalePageLayoutView="130" workbookViewId="0">
      <selection activeCell="AD52" sqref="AD52"/>
    </sheetView>
  </sheetViews>
  <sheetFormatPr defaultColWidth="9.140625" defaultRowHeight="15" outlineLevelCol="1" x14ac:dyDescent="0.2"/>
  <cols>
    <col min="1" max="1" width="1.7109375" style="41" customWidth="1"/>
    <col min="2" max="2" width="30.28515625" style="33" bestFit="1" customWidth="1"/>
    <col min="3" max="3" width="28.85546875" style="33" customWidth="1"/>
    <col min="4" max="4" width="13.42578125" style="33" customWidth="1"/>
    <col min="5" max="7" width="12.7109375" style="42" customWidth="1"/>
    <col min="8" max="21" width="12.7109375" style="42" hidden="1" customWidth="1" outlineLevel="1"/>
    <col min="22" max="22" width="12.7109375" style="43" hidden="1" customWidth="1" outlineLevel="1"/>
    <col min="23" max="27" width="12.7109375" style="44" hidden="1" customWidth="1" outlineLevel="1"/>
    <col min="28" max="28" width="12.7109375" style="42" hidden="1" customWidth="1" outlineLevel="1"/>
    <col min="29" max="29" width="9.140625" style="42" collapsed="1"/>
    <col min="30" max="191" width="9.140625" style="42"/>
    <col min="192" max="16384" width="9.140625" style="45"/>
  </cols>
  <sheetData>
    <row r="1" spans="1:191" ht="10.35" customHeight="1" thickBot="1" x14ac:dyDescent="0.25"/>
    <row r="2" spans="1:191" ht="15" customHeight="1" x14ac:dyDescent="0.2">
      <c r="B2" s="25" t="s">
        <v>60</v>
      </c>
      <c r="C2" s="37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</row>
    <row r="3" spans="1:191" ht="15" customHeight="1" x14ac:dyDescent="0.15">
      <c r="B3" s="40" t="s">
        <v>100</v>
      </c>
      <c r="C3" s="38" t="s">
        <v>99</v>
      </c>
      <c r="D3" s="27">
        <v>43830</v>
      </c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  <c r="AA3" s="46"/>
      <c r="AB3" s="46"/>
    </row>
    <row r="4" spans="1:191" ht="15" customHeight="1" x14ac:dyDescent="0.15">
      <c r="B4" s="39"/>
      <c r="C4" s="28"/>
      <c r="D4" s="28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</row>
    <row r="5" spans="1:191" ht="15" customHeight="1" thickBot="1" x14ac:dyDescent="0.2">
      <c r="B5" s="29"/>
      <c r="C5" s="30"/>
      <c r="D5" s="30"/>
      <c r="E5" s="46"/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  <c r="AB5" s="46"/>
    </row>
    <row r="6" spans="1:191" s="48" customFormat="1" ht="15" customHeight="1" x14ac:dyDescent="0.15">
      <c r="A6" s="47"/>
      <c r="B6" s="235"/>
      <c r="C6" s="240"/>
      <c r="D6" s="236"/>
      <c r="E6" s="54">
        <f ca="1">E7-IF(MONTH(E7)=2,IF(OR(YEAR(E7)=2008,YEAR(E7)=2012,YEAR(E7)=2016),29,28),IF(OR(MONTH(E7)=4,MONTH(E7)=6,MONTH(E7)=9,MONTH(E7)=11),30,31))+1</f>
        <v>43101</v>
      </c>
      <c r="F6" s="55">
        <f t="shared" ref="F6:AB6" ca="1" si="0">F7-IF(MONTH(F7)=2,IF(OR(YEAR(F7)=2008,YEAR(F7)=2012,YEAR(F7)=2016),29,28),IF(OR(MONTH(F7)=4,MONTH(F7)=6,MONTH(F7)=9,MONTH(F7)=11),30,31))+1</f>
        <v>43132</v>
      </c>
      <c r="G6" s="55">
        <f t="shared" ca="1" si="0"/>
        <v>43160</v>
      </c>
      <c r="H6" s="55">
        <f t="shared" ca="1" si="0"/>
        <v>43191</v>
      </c>
      <c r="I6" s="55">
        <f t="shared" ca="1" si="0"/>
        <v>43221</v>
      </c>
      <c r="J6" s="55">
        <f t="shared" ca="1" si="0"/>
        <v>43252</v>
      </c>
      <c r="K6" s="55">
        <f t="shared" ca="1" si="0"/>
        <v>43282</v>
      </c>
      <c r="L6" s="55">
        <f t="shared" ca="1" si="0"/>
        <v>43313</v>
      </c>
      <c r="M6" s="55">
        <f t="shared" ca="1" si="0"/>
        <v>43344</v>
      </c>
      <c r="N6" s="55">
        <f t="shared" ca="1" si="0"/>
        <v>43374</v>
      </c>
      <c r="O6" s="55">
        <f t="shared" ca="1" si="0"/>
        <v>43405</v>
      </c>
      <c r="P6" s="55">
        <f t="shared" ca="1" si="0"/>
        <v>43435</v>
      </c>
      <c r="Q6" s="55">
        <f t="shared" ca="1" si="0"/>
        <v>43466</v>
      </c>
      <c r="R6" s="55">
        <f t="shared" ca="1" si="0"/>
        <v>43497</v>
      </c>
      <c r="S6" s="55">
        <f t="shared" ca="1" si="0"/>
        <v>43525</v>
      </c>
      <c r="T6" s="55">
        <f t="shared" ca="1" si="0"/>
        <v>43556</v>
      </c>
      <c r="U6" s="55">
        <f t="shared" ca="1" si="0"/>
        <v>43586</v>
      </c>
      <c r="V6" s="55">
        <f t="shared" ca="1" si="0"/>
        <v>43617</v>
      </c>
      <c r="W6" s="55">
        <f t="shared" ca="1" si="0"/>
        <v>43647</v>
      </c>
      <c r="X6" s="55">
        <f t="shared" ca="1" si="0"/>
        <v>43678</v>
      </c>
      <c r="Y6" s="55">
        <f t="shared" ca="1" si="0"/>
        <v>43709</v>
      </c>
      <c r="Z6" s="55">
        <f t="shared" ca="1" si="0"/>
        <v>43739</v>
      </c>
      <c r="AA6" s="55">
        <f t="shared" ca="1" si="0"/>
        <v>43770</v>
      </c>
      <c r="AB6" s="55">
        <f t="shared" ca="1" si="0"/>
        <v>43800</v>
      </c>
    </row>
    <row r="7" spans="1:191" s="48" customFormat="1" ht="15" customHeight="1" thickBot="1" x14ac:dyDescent="0.2">
      <c r="A7" s="47"/>
      <c r="B7" s="237"/>
      <c r="C7" s="241"/>
      <c r="D7" s="238"/>
      <c r="E7" s="56">
        <f t="shared" ref="E7:AA7" ca="1" si="1">F6-1</f>
        <v>43131</v>
      </c>
      <c r="F7" s="57">
        <f t="shared" ca="1" si="1"/>
        <v>43159</v>
      </c>
      <c r="G7" s="57">
        <f t="shared" ca="1" si="1"/>
        <v>43190</v>
      </c>
      <c r="H7" s="57">
        <f t="shared" ca="1" si="1"/>
        <v>43220</v>
      </c>
      <c r="I7" s="57">
        <f t="shared" ca="1" si="1"/>
        <v>43251</v>
      </c>
      <c r="J7" s="57">
        <f t="shared" ca="1" si="1"/>
        <v>43281</v>
      </c>
      <c r="K7" s="57">
        <f t="shared" ca="1" si="1"/>
        <v>43312</v>
      </c>
      <c r="L7" s="57">
        <f t="shared" ca="1" si="1"/>
        <v>43343</v>
      </c>
      <c r="M7" s="57">
        <f t="shared" ca="1" si="1"/>
        <v>43373</v>
      </c>
      <c r="N7" s="57">
        <f t="shared" ca="1" si="1"/>
        <v>43404</v>
      </c>
      <c r="O7" s="57">
        <f t="shared" ca="1" si="1"/>
        <v>43434</v>
      </c>
      <c r="P7" s="57">
        <f t="shared" ca="1" si="1"/>
        <v>43465</v>
      </c>
      <c r="Q7" s="57">
        <f t="shared" ca="1" si="1"/>
        <v>43496</v>
      </c>
      <c r="R7" s="57">
        <f t="shared" ca="1" si="1"/>
        <v>43524</v>
      </c>
      <c r="S7" s="57">
        <f t="shared" ca="1" si="1"/>
        <v>43555</v>
      </c>
      <c r="T7" s="57">
        <f t="shared" ca="1" si="1"/>
        <v>43585</v>
      </c>
      <c r="U7" s="57">
        <f t="shared" ca="1" si="1"/>
        <v>43616</v>
      </c>
      <c r="V7" s="57">
        <f t="shared" ca="1" si="1"/>
        <v>43646</v>
      </c>
      <c r="W7" s="57">
        <f t="shared" ca="1" si="1"/>
        <v>43677</v>
      </c>
      <c r="X7" s="57">
        <f t="shared" ca="1" si="1"/>
        <v>43708</v>
      </c>
      <c r="Y7" s="57">
        <f t="shared" ca="1" si="1"/>
        <v>43738</v>
      </c>
      <c r="Z7" s="57">
        <f t="shared" ca="1" si="1"/>
        <v>43769</v>
      </c>
      <c r="AA7" s="57">
        <f t="shared" ca="1" si="1"/>
        <v>43799</v>
      </c>
      <c r="AB7" s="57">
        <f ca="1">D3</f>
        <v>43830</v>
      </c>
    </row>
    <row r="8" spans="1:191" s="48" customFormat="1" ht="15" customHeight="1" thickBot="1" x14ac:dyDescent="0.2">
      <c r="A8" s="49"/>
      <c r="B8" s="31" t="s">
        <v>0</v>
      </c>
      <c r="C8" s="32" t="s">
        <v>63</v>
      </c>
      <c r="D8" s="32" t="s">
        <v>101</v>
      </c>
      <c r="E8" s="58">
        <f t="shared" ref="E8:AB8" ca="1" si="2">E6</f>
        <v>43101</v>
      </c>
      <c r="F8" s="59">
        <f t="shared" ca="1" si="2"/>
        <v>43132</v>
      </c>
      <c r="G8" s="59">
        <f t="shared" ca="1" si="2"/>
        <v>43160</v>
      </c>
      <c r="H8" s="60">
        <f t="shared" ca="1" si="2"/>
        <v>43191</v>
      </c>
      <c r="I8" s="60">
        <f t="shared" ca="1" si="2"/>
        <v>43221</v>
      </c>
      <c r="J8" s="60">
        <f t="shared" ca="1" si="2"/>
        <v>43252</v>
      </c>
      <c r="K8" s="60">
        <f t="shared" ca="1" si="2"/>
        <v>43282</v>
      </c>
      <c r="L8" s="219">
        <f t="shared" ca="1" si="2"/>
        <v>43313</v>
      </c>
      <c r="M8" s="60">
        <f t="shared" ca="1" si="2"/>
        <v>43344</v>
      </c>
      <c r="N8" s="60">
        <f t="shared" ca="1" si="2"/>
        <v>43374</v>
      </c>
      <c r="O8" s="60">
        <f t="shared" ca="1" si="2"/>
        <v>43405</v>
      </c>
      <c r="P8" s="60">
        <f t="shared" ca="1" si="2"/>
        <v>43435</v>
      </c>
      <c r="Q8" s="60">
        <f t="shared" ca="1" si="2"/>
        <v>43466</v>
      </c>
      <c r="R8" s="60">
        <f t="shared" ca="1" si="2"/>
        <v>43497</v>
      </c>
      <c r="S8" s="60">
        <f t="shared" ca="1" si="2"/>
        <v>43525</v>
      </c>
      <c r="T8" s="60">
        <f t="shared" ca="1" si="2"/>
        <v>43556</v>
      </c>
      <c r="U8" s="60">
        <f t="shared" ca="1" si="2"/>
        <v>43586</v>
      </c>
      <c r="V8" s="60">
        <f t="shared" ca="1" si="2"/>
        <v>43617</v>
      </c>
      <c r="W8" s="60">
        <f t="shared" ca="1" si="2"/>
        <v>43647</v>
      </c>
      <c r="X8" s="60">
        <f t="shared" ca="1" si="2"/>
        <v>43678</v>
      </c>
      <c r="Y8" s="60">
        <f t="shared" ca="1" si="2"/>
        <v>43709</v>
      </c>
      <c r="Z8" s="60">
        <f t="shared" ca="1" si="2"/>
        <v>43739</v>
      </c>
      <c r="AA8" s="60">
        <f t="shared" ca="1" si="2"/>
        <v>43770</v>
      </c>
      <c r="AB8" s="60">
        <f t="shared" ca="1" si="2"/>
        <v>43800</v>
      </c>
    </row>
    <row r="9" spans="1:191" ht="15" customHeight="1" x14ac:dyDescent="0.15">
      <c r="B9" s="61"/>
      <c r="C9" s="62" t="s">
        <v>102</v>
      </c>
      <c r="D9" s="63" t="s">
        <v>53</v>
      </c>
      <c r="E9" s="213">
        <f t="shared" ref="E9:N10" ca="1" si="3">AbraStock(URL,Username,Password,$D9,E$6)/1000</f>
        <v>20646.15122</v>
      </c>
      <c r="F9" s="213">
        <f t="shared" ca="1" si="3"/>
        <v>16197.20614</v>
      </c>
      <c r="G9" s="213">
        <f t="shared" ca="1" si="3"/>
        <v>15803.66504</v>
      </c>
      <c r="H9" s="213">
        <f t="shared" ca="1" si="3"/>
        <v>15545.943070000001</v>
      </c>
      <c r="I9" s="213">
        <f t="shared" ca="1" si="3"/>
        <v>16099.115310000001</v>
      </c>
      <c r="J9" s="213">
        <f t="shared" ca="1" si="3"/>
        <v>15849.412350000001</v>
      </c>
      <c r="K9" s="213">
        <f t="shared" ca="1" si="3"/>
        <v>17026.774940000003</v>
      </c>
      <c r="L9" s="220">
        <f t="shared" ca="1" si="3"/>
        <v>17577.1113</v>
      </c>
      <c r="M9" s="213">
        <f t="shared" ca="1" si="3"/>
        <v>17286.15166</v>
      </c>
      <c r="N9" s="213">
        <f t="shared" ca="1" si="3"/>
        <v>17053.826949999999</v>
      </c>
      <c r="O9" s="213">
        <f t="shared" ref="O9:AB10" ca="1" si="4">AbraStock(URL,Username,Password,$D9,O$6)/1000</f>
        <v>17620.04104</v>
      </c>
      <c r="P9" s="213">
        <f t="shared" ca="1" si="4"/>
        <v>17252.07546</v>
      </c>
      <c r="Q9" s="213">
        <f t="shared" ca="1" si="4"/>
        <v>19466.685229999999</v>
      </c>
      <c r="R9" s="213">
        <f t="shared" ca="1" si="4"/>
        <v>16718.571550000001</v>
      </c>
      <c r="S9" s="213">
        <f t="shared" ca="1" si="4"/>
        <v>17383.443940000001</v>
      </c>
      <c r="T9" s="213">
        <f t="shared" ca="1" si="4"/>
        <v>17413.978950000001</v>
      </c>
      <c r="U9" s="213">
        <f t="shared" ca="1" si="4"/>
        <v>19678.929410000001</v>
      </c>
      <c r="V9" s="213">
        <f t="shared" ca="1" si="4"/>
        <v>19095.6089300001</v>
      </c>
      <c r="W9" s="213">
        <f t="shared" ca="1" si="4"/>
        <v>18015.26828</v>
      </c>
      <c r="X9" s="213">
        <f t="shared" ca="1" si="4"/>
        <v>18773.586960000001</v>
      </c>
      <c r="Y9" s="213">
        <f t="shared" ca="1" si="4"/>
        <v>18752.417020000001</v>
      </c>
      <c r="Z9" s="213">
        <f t="shared" ca="1" si="4"/>
        <v>18752.417020000001</v>
      </c>
      <c r="AA9" s="213">
        <f t="shared" ca="1" si="4"/>
        <v>18752.417020000001</v>
      </c>
      <c r="AB9" s="213">
        <f t="shared" ca="1" si="4"/>
        <v>18752.417020000001</v>
      </c>
      <c r="AC9" s="48"/>
      <c r="AD9" s="48"/>
    </row>
    <row r="10" spans="1:191" ht="15" customHeight="1" thickBot="1" x14ac:dyDescent="0.2">
      <c r="B10" s="65"/>
      <c r="C10" s="66" t="s">
        <v>103</v>
      </c>
      <c r="D10" s="85" t="s">
        <v>86</v>
      </c>
      <c r="E10" s="216">
        <f t="shared" ca="1" si="3"/>
        <v>40.077019999999997</v>
      </c>
      <c r="F10" s="217">
        <f t="shared" ca="1" si="3"/>
        <v>31.30622</v>
      </c>
      <c r="G10" s="217">
        <f t="shared" ca="1" si="3"/>
        <v>32.111820000000002</v>
      </c>
      <c r="H10" s="217">
        <f t="shared" ca="1" si="3"/>
        <v>30.92812</v>
      </c>
      <c r="I10" s="217">
        <f t="shared" ca="1" si="3"/>
        <v>32.157119999999999</v>
      </c>
      <c r="J10" s="217">
        <f t="shared" ca="1" si="3"/>
        <v>31.232119999999998</v>
      </c>
      <c r="K10" s="217">
        <f t="shared" ca="1" si="3"/>
        <v>31.227439999999998</v>
      </c>
      <c r="L10" s="217">
        <f t="shared" ca="1" si="3"/>
        <v>35.917439999999999</v>
      </c>
      <c r="M10" s="217">
        <f t="shared" ca="1" si="3"/>
        <v>34.526440000000001</v>
      </c>
      <c r="N10" s="217">
        <f t="shared" ca="1" si="3"/>
        <v>35.478439999999999</v>
      </c>
      <c r="O10" s="217">
        <f t="shared" ca="1" si="4"/>
        <v>40.028839999999995</v>
      </c>
      <c r="P10" s="217">
        <f t="shared" ca="1" si="4"/>
        <v>36.063739999999996</v>
      </c>
      <c r="Q10" s="217">
        <f t="shared" ca="1" si="4"/>
        <v>37.318739999999998</v>
      </c>
      <c r="R10" s="217">
        <f t="shared" ca="1" si="4"/>
        <v>34.458739999999999</v>
      </c>
      <c r="S10" s="217">
        <f t="shared" ca="1" si="4"/>
        <v>33.11674</v>
      </c>
      <c r="T10" s="217">
        <f t="shared" ca="1" si="4"/>
        <v>34.283739999999995</v>
      </c>
      <c r="U10" s="217">
        <f t="shared" ca="1" si="4"/>
        <v>37.937739999999998</v>
      </c>
      <c r="V10" s="217">
        <f t="shared" ca="1" si="4"/>
        <v>35.909990000000001</v>
      </c>
      <c r="W10" s="217">
        <f t="shared" ca="1" si="4"/>
        <v>35.248989999999999</v>
      </c>
      <c r="X10" s="217">
        <f t="shared" ca="1" si="4"/>
        <v>36.08999</v>
      </c>
      <c r="Y10" s="217">
        <f t="shared" ca="1" si="4"/>
        <v>35.107990000000001</v>
      </c>
      <c r="Z10" s="217">
        <f t="shared" ca="1" si="4"/>
        <v>35.107990000000001</v>
      </c>
      <c r="AA10" s="217">
        <f t="shared" ca="1" si="4"/>
        <v>35.107990000000001</v>
      </c>
      <c r="AB10" s="218">
        <f t="shared" ca="1" si="4"/>
        <v>35.107990000000001</v>
      </c>
      <c r="AC10" s="53"/>
    </row>
    <row r="11" spans="1:191" s="52" customFormat="1" ht="15" customHeight="1" thickBot="1" x14ac:dyDescent="0.25">
      <c r="A11" s="50"/>
      <c r="B11" s="229" t="s">
        <v>37</v>
      </c>
      <c r="C11" s="239"/>
      <c r="D11" s="230"/>
      <c r="E11" s="86">
        <f t="shared" ref="E11:AB11" ca="1" si="5">SUM(E9:E10)</f>
        <v>20686.22824</v>
      </c>
      <c r="F11" s="215">
        <f t="shared" ca="1" si="5"/>
        <v>16228.512360000001</v>
      </c>
      <c r="G11" s="215">
        <f t="shared" ca="1" si="5"/>
        <v>15835.77686</v>
      </c>
      <c r="H11" s="215">
        <f t="shared" ca="1" si="5"/>
        <v>15576.871190000002</v>
      </c>
      <c r="I11" s="215">
        <f t="shared" ca="1" si="5"/>
        <v>16131.272430000001</v>
      </c>
      <c r="J11" s="215">
        <f t="shared" ca="1" si="5"/>
        <v>15880.644470000001</v>
      </c>
      <c r="K11" s="215">
        <f t="shared" ca="1" si="5"/>
        <v>17058.002380000002</v>
      </c>
      <c r="L11" s="215">
        <f t="shared" ca="1" si="5"/>
        <v>17613.028740000002</v>
      </c>
      <c r="M11" s="215">
        <f t="shared" ca="1" si="5"/>
        <v>17320.678100000001</v>
      </c>
      <c r="N11" s="215">
        <f t="shared" ca="1" si="5"/>
        <v>17089.305389999998</v>
      </c>
      <c r="O11" s="215">
        <f t="shared" ca="1" si="5"/>
        <v>17660.069879999999</v>
      </c>
      <c r="P11" s="215">
        <f t="shared" ca="1" si="5"/>
        <v>17288.139200000001</v>
      </c>
      <c r="Q11" s="215">
        <f t="shared" ca="1" si="5"/>
        <v>19504.003969999998</v>
      </c>
      <c r="R11" s="215">
        <f t="shared" ca="1" si="5"/>
        <v>16753.030289999999</v>
      </c>
      <c r="S11" s="215">
        <f t="shared" ca="1" si="5"/>
        <v>17416.560680000002</v>
      </c>
      <c r="T11" s="215">
        <f t="shared" ca="1" si="5"/>
        <v>17448.26269</v>
      </c>
      <c r="U11" s="215">
        <f t="shared" ca="1" si="5"/>
        <v>19716.867150000002</v>
      </c>
      <c r="V11" s="215">
        <f t="shared" ca="1" si="5"/>
        <v>19131.5189200001</v>
      </c>
      <c r="W11" s="215">
        <f t="shared" ca="1" si="5"/>
        <v>18050.51727</v>
      </c>
      <c r="X11" s="215">
        <f t="shared" ca="1" si="5"/>
        <v>18809.676950000001</v>
      </c>
      <c r="Y11" s="215">
        <f t="shared" ca="1" si="5"/>
        <v>18787.525010000001</v>
      </c>
      <c r="Z11" s="215">
        <f t="shared" ca="1" si="5"/>
        <v>18787.525010000001</v>
      </c>
      <c r="AA11" s="215">
        <f t="shared" ca="1" si="5"/>
        <v>18787.525010000001</v>
      </c>
      <c r="AB11" s="215">
        <f t="shared" ca="1" si="5"/>
        <v>18787.525010000001</v>
      </c>
      <c r="AC11" s="51"/>
      <c r="AD11" s="51"/>
      <c r="AE11" s="51"/>
      <c r="AF11" s="51"/>
      <c r="AG11" s="51"/>
      <c r="AH11" s="51"/>
      <c r="AI11" s="51"/>
      <c r="AJ11" s="51"/>
      <c r="AK11" s="51"/>
      <c r="AL11" s="51"/>
      <c r="AM11" s="51"/>
      <c r="AN11" s="51"/>
      <c r="AO11" s="51"/>
      <c r="AP11" s="51"/>
      <c r="AQ11" s="51"/>
      <c r="AR11" s="51"/>
      <c r="AS11" s="51"/>
      <c r="AT11" s="51"/>
      <c r="AU11" s="51"/>
      <c r="AV11" s="51"/>
      <c r="AW11" s="51"/>
      <c r="AX11" s="51"/>
      <c r="AY11" s="51"/>
      <c r="AZ11" s="51"/>
      <c r="BA11" s="51"/>
      <c r="BB11" s="51"/>
      <c r="BC11" s="51"/>
      <c r="BD11" s="51"/>
      <c r="BE11" s="51"/>
      <c r="BF11" s="51"/>
      <c r="BG11" s="51"/>
      <c r="BH11" s="51"/>
      <c r="BI11" s="51"/>
      <c r="BJ11" s="51"/>
      <c r="BK11" s="51"/>
      <c r="BL11" s="51"/>
      <c r="BM11" s="51"/>
      <c r="BN11" s="51"/>
      <c r="BO11" s="51"/>
      <c r="BP11" s="51"/>
      <c r="BQ11" s="51"/>
      <c r="BR11" s="51"/>
      <c r="BS11" s="51"/>
      <c r="BT11" s="51"/>
      <c r="BU11" s="51"/>
      <c r="BV11" s="51"/>
      <c r="BW11" s="51"/>
      <c r="BX11" s="51"/>
      <c r="BY11" s="51"/>
      <c r="BZ11" s="51"/>
      <c r="CA11" s="51"/>
      <c r="CB11" s="51"/>
      <c r="CC11" s="51"/>
      <c r="CD11" s="51"/>
      <c r="CE11" s="51"/>
      <c r="CF11" s="51"/>
      <c r="CG11" s="51"/>
      <c r="CH11" s="51"/>
      <c r="CI11" s="51"/>
      <c r="CJ11" s="51"/>
      <c r="CK11" s="51"/>
      <c r="CL11" s="51"/>
      <c r="CM11" s="51"/>
      <c r="CN11" s="51"/>
      <c r="CO11" s="51"/>
      <c r="CP11" s="51"/>
      <c r="CQ11" s="51"/>
      <c r="CR11" s="51"/>
      <c r="CS11" s="51"/>
      <c r="CT11" s="51"/>
      <c r="CU11" s="51"/>
      <c r="CV11" s="51"/>
      <c r="CW11" s="51"/>
      <c r="CX11" s="51"/>
      <c r="CY11" s="51"/>
      <c r="CZ11" s="51"/>
      <c r="DA11" s="51"/>
      <c r="DB11" s="51"/>
      <c r="DC11" s="51"/>
      <c r="DD11" s="51"/>
      <c r="DE11" s="51"/>
      <c r="DF11" s="51"/>
      <c r="DG11" s="51"/>
      <c r="DH11" s="51"/>
      <c r="DI11" s="51"/>
      <c r="DJ11" s="51"/>
      <c r="DK11" s="51"/>
      <c r="DL11" s="51"/>
      <c r="DM11" s="51"/>
      <c r="DN11" s="51"/>
      <c r="DO11" s="51"/>
      <c r="DP11" s="51"/>
      <c r="DQ11" s="51"/>
      <c r="DR11" s="51"/>
      <c r="DS11" s="51"/>
      <c r="DT11" s="51"/>
      <c r="DU11" s="51"/>
      <c r="DV11" s="51"/>
      <c r="DW11" s="51"/>
      <c r="DX11" s="51"/>
      <c r="DY11" s="51"/>
      <c r="DZ11" s="51"/>
      <c r="EA11" s="51"/>
      <c r="EB11" s="51"/>
      <c r="EC11" s="51"/>
      <c r="ED11" s="51"/>
      <c r="EE11" s="51"/>
      <c r="EF11" s="51"/>
      <c r="EG11" s="51"/>
      <c r="EH11" s="51"/>
      <c r="EI11" s="51"/>
      <c r="EJ11" s="51"/>
      <c r="EK11" s="51"/>
      <c r="EL11" s="51"/>
      <c r="EM11" s="51"/>
      <c r="EN11" s="51"/>
      <c r="EO11" s="51"/>
      <c r="EP11" s="51"/>
      <c r="EQ11" s="51"/>
      <c r="ER11" s="51"/>
      <c r="ES11" s="51"/>
      <c r="ET11" s="51"/>
      <c r="EU11" s="51"/>
      <c r="EV11" s="51"/>
      <c r="EW11" s="51"/>
      <c r="EX11" s="51"/>
      <c r="EY11" s="51"/>
      <c r="EZ11" s="51"/>
      <c r="FA11" s="51"/>
      <c r="FB11" s="51"/>
      <c r="FC11" s="51"/>
      <c r="FD11" s="51"/>
      <c r="FE11" s="51"/>
      <c r="FF11" s="51"/>
      <c r="FG11" s="51"/>
      <c r="FH11" s="51"/>
      <c r="FI11" s="51"/>
      <c r="FJ11" s="51"/>
      <c r="FK11" s="51"/>
      <c r="FL11" s="51"/>
      <c r="FM11" s="51"/>
      <c r="FN11" s="51"/>
      <c r="FO11" s="51"/>
      <c r="FP11" s="51"/>
      <c r="FQ11" s="51"/>
      <c r="FR11" s="51"/>
      <c r="FS11" s="51"/>
      <c r="FT11" s="51"/>
      <c r="FU11" s="51"/>
      <c r="FV11" s="51"/>
      <c r="FW11" s="51"/>
      <c r="FX11" s="51"/>
      <c r="FY11" s="51"/>
      <c r="FZ11" s="51"/>
      <c r="GA11" s="51"/>
      <c r="GB11" s="51"/>
      <c r="GC11" s="51"/>
      <c r="GD11" s="51"/>
      <c r="GE11" s="51"/>
      <c r="GF11" s="51"/>
      <c r="GG11" s="51"/>
      <c r="GH11" s="51"/>
      <c r="GI11" s="51"/>
    </row>
    <row r="12" spans="1:191" s="52" customFormat="1" ht="15" customHeight="1" x14ac:dyDescent="0.2">
      <c r="A12" s="50"/>
      <c r="B12" s="70"/>
      <c r="C12" s="70"/>
      <c r="D12" s="70"/>
      <c r="E12" s="71"/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  <c r="U12" s="71"/>
      <c r="V12" s="71"/>
      <c r="W12" s="71"/>
      <c r="X12" s="71"/>
      <c r="Y12" s="71"/>
      <c r="Z12" s="71"/>
      <c r="AA12" s="71"/>
      <c r="AB12" s="71"/>
      <c r="AC12" s="51"/>
      <c r="AD12" s="51"/>
      <c r="AE12" s="51"/>
      <c r="AF12" s="51"/>
      <c r="AG12" s="51"/>
      <c r="AH12" s="51"/>
      <c r="AI12" s="51"/>
      <c r="AJ12" s="51"/>
      <c r="AK12" s="51"/>
      <c r="AL12" s="51"/>
      <c r="AM12" s="51"/>
      <c r="AN12" s="51"/>
      <c r="AO12" s="51"/>
      <c r="AP12" s="51"/>
      <c r="AQ12" s="51"/>
      <c r="AR12" s="51"/>
      <c r="AS12" s="51"/>
      <c r="AT12" s="51"/>
      <c r="AU12" s="51"/>
      <c r="AV12" s="51"/>
      <c r="AW12" s="51"/>
      <c r="AX12" s="51"/>
      <c r="AY12" s="51"/>
      <c r="AZ12" s="51"/>
      <c r="BA12" s="51"/>
      <c r="BB12" s="51"/>
      <c r="BC12" s="51"/>
      <c r="BD12" s="51"/>
      <c r="BE12" s="51"/>
      <c r="BF12" s="51"/>
      <c r="BG12" s="51"/>
      <c r="BH12" s="51"/>
      <c r="BI12" s="51"/>
      <c r="BJ12" s="51"/>
      <c r="BK12" s="51"/>
      <c r="BL12" s="51"/>
      <c r="BM12" s="51"/>
      <c r="BN12" s="51"/>
      <c r="BO12" s="51"/>
      <c r="BP12" s="51"/>
      <c r="BQ12" s="51"/>
      <c r="BR12" s="51"/>
      <c r="BS12" s="51"/>
      <c r="BT12" s="51"/>
      <c r="BU12" s="51"/>
      <c r="BV12" s="51"/>
      <c r="BW12" s="51"/>
      <c r="BX12" s="51"/>
      <c r="BY12" s="51"/>
      <c r="BZ12" s="51"/>
      <c r="CA12" s="51"/>
      <c r="CB12" s="51"/>
      <c r="CC12" s="51"/>
      <c r="CD12" s="51"/>
      <c r="CE12" s="51"/>
      <c r="CF12" s="51"/>
      <c r="CG12" s="51"/>
      <c r="CH12" s="51"/>
      <c r="CI12" s="51"/>
      <c r="CJ12" s="51"/>
      <c r="CK12" s="51"/>
      <c r="CL12" s="51"/>
      <c r="CM12" s="51"/>
      <c r="CN12" s="51"/>
      <c r="CO12" s="51"/>
      <c r="CP12" s="51"/>
      <c r="CQ12" s="51"/>
      <c r="CR12" s="51"/>
      <c r="CS12" s="51"/>
      <c r="CT12" s="51"/>
      <c r="CU12" s="51"/>
      <c r="CV12" s="51"/>
      <c r="CW12" s="51"/>
      <c r="CX12" s="51"/>
      <c r="CY12" s="51"/>
      <c r="CZ12" s="51"/>
      <c r="DA12" s="51"/>
      <c r="DB12" s="51"/>
      <c r="DC12" s="51"/>
      <c r="DD12" s="51"/>
      <c r="DE12" s="51"/>
      <c r="DF12" s="51"/>
      <c r="DG12" s="51"/>
      <c r="DH12" s="51"/>
      <c r="DI12" s="51"/>
      <c r="DJ12" s="51"/>
      <c r="DK12" s="51"/>
      <c r="DL12" s="51"/>
      <c r="DM12" s="51"/>
      <c r="DN12" s="51"/>
      <c r="DO12" s="51"/>
      <c r="DP12" s="51"/>
      <c r="DQ12" s="51"/>
      <c r="DR12" s="51"/>
      <c r="DS12" s="51"/>
      <c r="DT12" s="51"/>
      <c r="DU12" s="51"/>
      <c r="DV12" s="51"/>
      <c r="DW12" s="51"/>
      <c r="DX12" s="51"/>
      <c r="DY12" s="51"/>
      <c r="DZ12" s="51"/>
      <c r="EA12" s="51"/>
      <c r="EB12" s="51"/>
      <c r="EC12" s="51"/>
      <c r="ED12" s="51"/>
      <c r="EE12" s="51"/>
      <c r="EF12" s="51"/>
      <c r="EG12" s="51"/>
      <c r="EH12" s="51"/>
      <c r="EI12" s="51"/>
      <c r="EJ12" s="51"/>
      <c r="EK12" s="51"/>
      <c r="EL12" s="51"/>
      <c r="EM12" s="51"/>
      <c r="EN12" s="51"/>
      <c r="EO12" s="51"/>
      <c r="EP12" s="51"/>
      <c r="EQ12" s="51"/>
      <c r="ER12" s="51"/>
      <c r="ES12" s="51"/>
      <c r="ET12" s="51"/>
      <c r="EU12" s="51"/>
      <c r="EV12" s="51"/>
      <c r="EW12" s="51"/>
      <c r="EX12" s="51"/>
      <c r="EY12" s="51"/>
      <c r="EZ12" s="51"/>
      <c r="FA12" s="51"/>
      <c r="FB12" s="51"/>
      <c r="FC12" s="51"/>
      <c r="FD12" s="51"/>
      <c r="FE12" s="51"/>
      <c r="FF12" s="51"/>
      <c r="FG12" s="51"/>
      <c r="FH12" s="51"/>
      <c r="FI12" s="51"/>
      <c r="FJ12" s="51"/>
      <c r="FK12" s="51"/>
      <c r="FL12" s="51"/>
      <c r="FM12" s="51"/>
      <c r="FN12" s="51"/>
      <c r="FO12" s="51"/>
      <c r="FP12" s="51"/>
      <c r="FQ12" s="51"/>
      <c r="FR12" s="51"/>
      <c r="FS12" s="51"/>
      <c r="FT12" s="51"/>
      <c r="FU12" s="51"/>
      <c r="FV12" s="51"/>
      <c r="FW12" s="51"/>
      <c r="FX12" s="51"/>
      <c r="FY12" s="51"/>
      <c r="FZ12" s="51"/>
      <c r="GA12" s="51"/>
      <c r="GB12" s="51"/>
      <c r="GC12" s="51"/>
      <c r="GD12" s="51"/>
      <c r="GE12" s="51"/>
      <c r="GF12" s="51"/>
      <c r="GG12" s="51"/>
      <c r="GH12" s="51"/>
      <c r="GI12" s="51"/>
    </row>
    <row r="13" spans="1:191" x14ac:dyDescent="0.15">
      <c r="B13" s="72"/>
      <c r="C13" s="72"/>
      <c r="D13" s="72"/>
      <c r="E13" s="73"/>
      <c r="F13" s="73"/>
      <c r="G13" s="73"/>
      <c r="H13" s="73"/>
      <c r="I13" s="73"/>
      <c r="J13" s="73"/>
      <c r="K13" s="73"/>
      <c r="L13" s="73"/>
      <c r="M13" s="73"/>
      <c r="N13" s="73"/>
      <c r="O13" s="73"/>
      <c r="P13" s="73"/>
      <c r="Q13" s="73"/>
      <c r="R13" s="73"/>
      <c r="S13" s="73"/>
      <c r="T13" s="73"/>
      <c r="U13" s="73"/>
      <c r="V13" s="74"/>
      <c r="W13" s="75"/>
      <c r="X13" s="75"/>
      <c r="Y13" s="75"/>
      <c r="Z13" s="75"/>
      <c r="AA13" s="75"/>
      <c r="AB13" s="73"/>
    </row>
    <row r="14" spans="1:191" ht="15" customHeight="1" thickBot="1" x14ac:dyDescent="0.2">
      <c r="B14" s="76" t="s">
        <v>119</v>
      </c>
      <c r="C14" s="76"/>
      <c r="D14" s="76"/>
      <c r="E14" s="77"/>
      <c r="F14" s="77"/>
      <c r="G14" s="77"/>
      <c r="H14" s="77"/>
      <c r="I14" s="77"/>
      <c r="J14" s="77"/>
      <c r="K14" s="77"/>
      <c r="L14" s="77"/>
      <c r="M14" s="77"/>
      <c r="N14" s="77"/>
      <c r="O14" s="77"/>
      <c r="P14" s="77"/>
      <c r="Q14" s="77"/>
      <c r="R14" s="77"/>
      <c r="S14" s="77"/>
      <c r="T14" s="77"/>
      <c r="U14" s="77"/>
      <c r="V14" s="78"/>
      <c r="W14" s="79"/>
      <c r="X14" s="79"/>
      <c r="Y14" s="79"/>
      <c r="Z14" s="79"/>
      <c r="AA14" s="79"/>
      <c r="AB14" s="77"/>
    </row>
    <row r="15" spans="1:191" ht="15" customHeight="1" x14ac:dyDescent="0.15">
      <c r="B15" s="80"/>
      <c r="C15" s="81"/>
      <c r="D15" s="82" t="s">
        <v>97</v>
      </c>
      <c r="E15" s="214">
        <f t="shared" ref="E15:N16" ca="1" si="6">AbraMoves(URL,Username,Password,"a",E$6,E$7,$D15)/1000</f>
        <v>6358.6280299999999</v>
      </c>
      <c r="F15" s="214">
        <f t="shared" ca="1" si="6"/>
        <v>5509.2333699999999</v>
      </c>
      <c r="G15" s="214">
        <f t="shared" ca="1" si="6"/>
        <v>5013.28755000001</v>
      </c>
      <c r="H15" s="214">
        <f t="shared" ca="1" si="6"/>
        <v>5325.59105000001</v>
      </c>
      <c r="I15" s="214">
        <f t="shared" ca="1" si="6"/>
        <v>6361.2065700000003</v>
      </c>
      <c r="J15" s="214">
        <f t="shared" ca="1" si="6"/>
        <v>5509.0300600000201</v>
      </c>
      <c r="K15" s="214">
        <f t="shared" ca="1" si="6"/>
        <v>5987.0018499999906</v>
      </c>
      <c r="L15" s="214">
        <f t="shared" ca="1" si="6"/>
        <v>5341.00875000001</v>
      </c>
      <c r="M15" s="214">
        <f t="shared" ca="1" si="6"/>
        <v>4879.3624500000005</v>
      </c>
      <c r="N15" s="214">
        <f t="shared" ca="1" si="6"/>
        <v>7733.8308899999902</v>
      </c>
      <c r="O15" s="214">
        <f t="shared" ref="O15:AB16" ca="1" si="7">AbraMoves(URL,Username,Password,"a",O$6,O$7,$D15)/1000</f>
        <v>6432.9680900000003</v>
      </c>
      <c r="P15" s="214">
        <f t="shared" ca="1" si="7"/>
        <v>5697.4748099999997</v>
      </c>
      <c r="Q15" s="214">
        <f t="shared" ca="1" si="7"/>
        <v>5799.8059899999898</v>
      </c>
      <c r="R15" s="214">
        <f t="shared" ca="1" si="7"/>
        <v>8182.9633800000001</v>
      </c>
      <c r="S15" s="214">
        <f t="shared" ca="1" si="7"/>
        <v>6192.8534300000101</v>
      </c>
      <c r="T15" s="214">
        <f t="shared" ca="1" si="7"/>
        <v>6410.6853599999904</v>
      </c>
      <c r="U15" s="214">
        <f t="shared" ca="1" si="7"/>
        <v>5842.3294900000001</v>
      </c>
      <c r="V15" s="214">
        <f t="shared" ca="1" si="7"/>
        <v>4874.72613000001</v>
      </c>
      <c r="W15" s="214">
        <f t="shared" ca="1" si="7"/>
        <v>6566.1855600000099</v>
      </c>
      <c r="X15" s="214">
        <f t="shared" ca="1" si="7"/>
        <v>295.50428999999997</v>
      </c>
      <c r="Y15" s="214">
        <f t="shared" ca="1" si="7"/>
        <v>0</v>
      </c>
      <c r="Z15" s="214">
        <f t="shared" ca="1" si="7"/>
        <v>0</v>
      </c>
      <c r="AA15" s="214">
        <f t="shared" ca="1" si="7"/>
        <v>0</v>
      </c>
      <c r="AB15" s="214">
        <f t="shared" ca="1" si="7"/>
        <v>0</v>
      </c>
      <c r="AC15" s="53"/>
    </row>
    <row r="16" spans="1:191" ht="15" customHeight="1" thickBot="1" x14ac:dyDescent="0.2">
      <c r="B16" s="65"/>
      <c r="C16" s="84"/>
      <c r="D16" s="85" t="s">
        <v>98</v>
      </c>
      <c r="E16" s="212">
        <f t="shared" ca="1" si="6"/>
        <v>1112.31306</v>
      </c>
      <c r="F16" s="212">
        <f t="shared" ca="1" si="6"/>
        <v>563.63409999999999</v>
      </c>
      <c r="G16" s="212">
        <f t="shared" ca="1" si="6"/>
        <v>1551.0356200000001</v>
      </c>
      <c r="H16" s="212">
        <f t="shared" ca="1" si="6"/>
        <v>1213.2177099999999</v>
      </c>
      <c r="I16" s="212">
        <f t="shared" ca="1" si="6"/>
        <v>885.78075000000001</v>
      </c>
      <c r="J16" s="212">
        <f t="shared" ca="1" si="6"/>
        <v>1462.2623799999999</v>
      </c>
      <c r="K16" s="212">
        <f t="shared" ca="1" si="6"/>
        <v>1056.34465</v>
      </c>
      <c r="L16" s="212">
        <f t="shared" ca="1" si="6"/>
        <v>1374.3991899999999</v>
      </c>
      <c r="M16" s="212">
        <f t="shared" ca="1" si="6"/>
        <v>1870.7558600000002</v>
      </c>
      <c r="N16" s="212">
        <f t="shared" ca="1" si="6"/>
        <v>1659.7623100000001</v>
      </c>
      <c r="O16" s="212">
        <f t="shared" ca="1" si="7"/>
        <v>1842.2133100000001</v>
      </c>
      <c r="P16" s="212">
        <f t="shared" ca="1" si="7"/>
        <v>628.27733999999998</v>
      </c>
      <c r="Q16" s="212">
        <f t="shared" ca="1" si="7"/>
        <v>1852.22903</v>
      </c>
      <c r="R16" s="212">
        <f t="shared" ca="1" si="7"/>
        <v>2658.2552999999998</v>
      </c>
      <c r="S16" s="212">
        <f t="shared" ca="1" si="7"/>
        <v>1461.1490100000001</v>
      </c>
      <c r="T16" s="212">
        <f t="shared" ca="1" si="7"/>
        <v>1534.6659299999999</v>
      </c>
      <c r="U16" s="212">
        <f t="shared" ca="1" si="7"/>
        <v>3051.0996</v>
      </c>
      <c r="V16" s="212">
        <f t="shared" ca="1" si="7"/>
        <v>984.82362999999998</v>
      </c>
      <c r="W16" s="212">
        <f t="shared" ca="1" si="7"/>
        <v>1705.7972199999999</v>
      </c>
      <c r="X16" s="212">
        <f t="shared" ca="1" si="7"/>
        <v>177.90545</v>
      </c>
      <c r="Y16" s="212">
        <f t="shared" ca="1" si="7"/>
        <v>0</v>
      </c>
      <c r="Z16" s="212">
        <f t="shared" ca="1" si="7"/>
        <v>0</v>
      </c>
      <c r="AA16" s="212">
        <f t="shared" ca="1" si="7"/>
        <v>0</v>
      </c>
      <c r="AB16" s="212">
        <f t="shared" ca="1" si="7"/>
        <v>0</v>
      </c>
      <c r="AC16" s="53"/>
    </row>
    <row r="17" spans="2:28" ht="15" customHeight="1" thickBot="1" x14ac:dyDescent="0.2">
      <c r="B17" s="229" t="s">
        <v>37</v>
      </c>
      <c r="C17" s="239"/>
      <c r="D17" s="230"/>
      <c r="E17" s="86">
        <f ca="1">SUM(E15:E16)</f>
        <v>7470.9410900000003</v>
      </c>
      <c r="F17" s="86">
        <f t="shared" ref="F17:AB17" ca="1" si="8">SUM(F15:F16)</f>
        <v>6072.8674700000001</v>
      </c>
      <c r="G17" s="86">
        <f t="shared" ca="1" si="8"/>
        <v>6564.3231700000106</v>
      </c>
      <c r="H17" s="86">
        <f t="shared" ca="1" si="8"/>
        <v>6538.8087600000099</v>
      </c>
      <c r="I17" s="86">
        <f t="shared" ca="1" si="8"/>
        <v>7246.9873200000002</v>
      </c>
      <c r="J17" s="86">
        <f t="shared" ca="1" si="8"/>
        <v>6971.2924400000202</v>
      </c>
      <c r="K17" s="86">
        <f t="shared" ca="1" si="8"/>
        <v>7043.3464999999906</v>
      </c>
      <c r="L17" s="86">
        <f t="shared" ca="1" si="8"/>
        <v>6715.4079400000101</v>
      </c>
      <c r="M17" s="86">
        <f t="shared" ca="1" si="8"/>
        <v>6750.1183100000007</v>
      </c>
      <c r="N17" s="86">
        <f t="shared" ca="1" si="8"/>
        <v>9393.5931999999902</v>
      </c>
      <c r="O17" s="86">
        <f t="shared" ca="1" si="8"/>
        <v>8275.1814000000013</v>
      </c>
      <c r="P17" s="86">
        <f t="shared" ca="1" si="8"/>
        <v>6325.7521499999993</v>
      </c>
      <c r="Q17" s="86">
        <f t="shared" ca="1" si="8"/>
        <v>7652.0350199999903</v>
      </c>
      <c r="R17" s="86">
        <f t="shared" ca="1" si="8"/>
        <v>10841.21868</v>
      </c>
      <c r="S17" s="86">
        <f t="shared" ca="1" si="8"/>
        <v>7654.0024400000102</v>
      </c>
      <c r="T17" s="86">
        <f t="shared" ca="1" si="8"/>
        <v>7945.3512899999905</v>
      </c>
      <c r="U17" s="86">
        <f t="shared" ca="1" si="8"/>
        <v>8893.4290899999996</v>
      </c>
      <c r="V17" s="86">
        <f t="shared" ca="1" si="8"/>
        <v>5859.5497600000099</v>
      </c>
      <c r="W17" s="86">
        <f t="shared" ca="1" si="8"/>
        <v>8271.9827800000094</v>
      </c>
      <c r="X17" s="86">
        <f t="shared" ca="1" si="8"/>
        <v>473.40973999999994</v>
      </c>
      <c r="Y17" s="86">
        <f t="shared" ca="1" si="8"/>
        <v>0</v>
      </c>
      <c r="Z17" s="86">
        <f t="shared" ca="1" si="8"/>
        <v>0</v>
      </c>
      <c r="AA17" s="86">
        <f t="shared" ca="1" si="8"/>
        <v>0</v>
      </c>
      <c r="AB17" s="86">
        <f t="shared" ca="1" si="8"/>
        <v>0</v>
      </c>
    </row>
    <row r="19" spans="2:28" x14ac:dyDescent="0.2">
      <c r="B19" s="34"/>
      <c r="C19" s="34"/>
    </row>
    <row r="21" spans="2:28" x14ac:dyDescent="0.2">
      <c r="B21" s="35"/>
      <c r="C21" s="35"/>
    </row>
    <row r="22" spans="2:28" x14ac:dyDescent="0.2">
      <c r="B22" s="36"/>
      <c r="C22" s="36"/>
    </row>
    <row r="23" spans="2:28" x14ac:dyDescent="0.2">
      <c r="B23" s="35"/>
      <c r="C23" s="35"/>
    </row>
  </sheetData>
  <mergeCells count="3">
    <mergeCell ref="B17:D17"/>
    <mergeCell ref="B6:D7"/>
    <mergeCell ref="B11:D11"/>
  </mergeCells>
  <pageMargins left="0.7" right="0.7" top="0.78740157499999996" bottom="0.78740157499999996" header="0.3" footer="0.3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List7"/>
  <dimension ref="A1:GI19"/>
  <sheetViews>
    <sheetView topLeftCell="A8" zoomScaleNormal="100" zoomScalePageLayoutView="130" workbookViewId="0">
      <selection activeCell="O43" sqref="O43"/>
    </sheetView>
  </sheetViews>
  <sheetFormatPr defaultColWidth="9.140625" defaultRowHeight="15" outlineLevelCol="1" x14ac:dyDescent="0.2"/>
  <cols>
    <col min="1" max="1" width="1.7109375" style="136" customWidth="1"/>
    <col min="2" max="2" width="30.28515625" style="139" bestFit="1" customWidth="1"/>
    <col min="3" max="3" width="23" style="139" customWidth="1"/>
    <col min="4" max="4" width="12.7109375" style="139" customWidth="1"/>
    <col min="5" max="7" width="12.7109375" style="93" customWidth="1"/>
    <col min="8" max="21" width="12.7109375" style="93" hidden="1" customWidth="1" outlineLevel="1"/>
    <col min="22" max="22" width="12.7109375" style="140" hidden="1" customWidth="1" outlineLevel="1"/>
    <col min="23" max="27" width="12.7109375" style="141" hidden="1" customWidth="1" outlineLevel="1"/>
    <col min="28" max="28" width="12.7109375" style="93" hidden="1" customWidth="1" outlineLevel="1"/>
    <col min="29" max="29" width="15.7109375" style="93" customWidth="1" collapsed="1"/>
    <col min="30" max="191" width="9.140625" style="93"/>
    <col min="192" max="16384" width="9.140625" style="142"/>
  </cols>
  <sheetData>
    <row r="1" spans="1:30" ht="10.35" customHeight="1" thickBot="1" x14ac:dyDescent="0.25"/>
    <row r="2" spans="1:30" ht="15" customHeight="1" x14ac:dyDescent="0.2">
      <c r="B2" s="159" t="s">
        <v>61</v>
      </c>
      <c r="C2" s="160"/>
      <c r="D2" s="161"/>
      <c r="E2" s="143"/>
      <c r="F2" s="143"/>
      <c r="G2" s="143"/>
      <c r="H2" s="143"/>
      <c r="I2" s="143"/>
      <c r="J2" s="143"/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43"/>
      <c r="Y2" s="143"/>
      <c r="Z2" s="143"/>
      <c r="AA2" s="143"/>
      <c r="AB2" s="143"/>
    </row>
    <row r="3" spans="1:30" ht="15" customHeight="1" x14ac:dyDescent="0.2">
      <c r="B3" s="40" t="s">
        <v>100</v>
      </c>
      <c r="C3" s="38" t="s">
        <v>99</v>
      </c>
      <c r="D3" s="163">
        <v>43465</v>
      </c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</row>
    <row r="4" spans="1:30" ht="15" customHeight="1" x14ac:dyDescent="0.2">
      <c r="B4" s="40"/>
      <c r="C4" s="162"/>
      <c r="D4" s="162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</row>
    <row r="5" spans="1:30" ht="15" customHeight="1" thickBot="1" x14ac:dyDescent="0.25">
      <c r="B5" s="164"/>
      <c r="C5" s="165"/>
      <c r="D5" s="165"/>
      <c r="E5" s="38"/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  <c r="Q5" s="38"/>
      <c r="R5" s="38"/>
      <c r="S5" s="38"/>
      <c r="T5" s="38"/>
      <c r="U5" s="38"/>
      <c r="V5" s="38"/>
      <c r="W5" s="38"/>
      <c r="X5" s="38"/>
      <c r="Y5" s="38"/>
      <c r="Z5" s="38"/>
      <c r="AA5" s="38"/>
      <c r="AB5" s="38"/>
    </row>
    <row r="6" spans="1:30" s="138" customFormat="1" ht="15" customHeight="1" x14ac:dyDescent="0.2">
      <c r="A6" s="137"/>
      <c r="B6" s="242"/>
      <c r="C6" s="243"/>
      <c r="D6" s="244"/>
      <c r="E6" s="144">
        <f ca="1">E7-IF(MONTH(E7)=2,IF(OR(YEAR(E7)=2008,YEAR(E7)=2012,YEAR(E7)=2016),29,28),IF(OR(MONTH(E7)=4,MONTH(E7)=6,MONTH(E7)=9,MONTH(E7)=11),30,31))+1</f>
        <v>42736</v>
      </c>
      <c r="F6" s="145">
        <f t="shared" ref="F6:AB6" ca="1" si="0">F7-IF(MONTH(F7)=2,IF(OR(YEAR(F7)=2008,YEAR(F7)=2012,YEAR(F7)=2016),29,28),IF(OR(MONTH(F7)=4,MONTH(F7)=6,MONTH(F7)=9,MONTH(F7)=11),30,31))+1</f>
        <v>42767</v>
      </c>
      <c r="G6" s="145">
        <f t="shared" ca="1" si="0"/>
        <v>42795</v>
      </c>
      <c r="H6" s="145">
        <f t="shared" ca="1" si="0"/>
        <v>42826</v>
      </c>
      <c r="I6" s="145">
        <f t="shared" ca="1" si="0"/>
        <v>42856</v>
      </c>
      <c r="J6" s="145">
        <f t="shared" ca="1" si="0"/>
        <v>42887</v>
      </c>
      <c r="K6" s="145">
        <f t="shared" ca="1" si="0"/>
        <v>42917</v>
      </c>
      <c r="L6" s="145">
        <f t="shared" ca="1" si="0"/>
        <v>42948</v>
      </c>
      <c r="M6" s="145">
        <f t="shared" ca="1" si="0"/>
        <v>42979</v>
      </c>
      <c r="N6" s="145">
        <f t="shared" ca="1" si="0"/>
        <v>43009</v>
      </c>
      <c r="O6" s="145">
        <f t="shared" ca="1" si="0"/>
        <v>43040</v>
      </c>
      <c r="P6" s="145">
        <f t="shared" ca="1" si="0"/>
        <v>43070</v>
      </c>
      <c r="Q6" s="145">
        <f t="shared" ca="1" si="0"/>
        <v>43101</v>
      </c>
      <c r="R6" s="145">
        <f t="shared" ca="1" si="0"/>
        <v>43132</v>
      </c>
      <c r="S6" s="145">
        <f t="shared" ca="1" si="0"/>
        <v>43160</v>
      </c>
      <c r="T6" s="145">
        <f t="shared" ca="1" si="0"/>
        <v>43191</v>
      </c>
      <c r="U6" s="145">
        <f t="shared" ca="1" si="0"/>
        <v>43221</v>
      </c>
      <c r="V6" s="145">
        <f t="shared" ca="1" si="0"/>
        <v>43252</v>
      </c>
      <c r="W6" s="145">
        <f t="shared" ca="1" si="0"/>
        <v>43282</v>
      </c>
      <c r="X6" s="145">
        <f t="shared" ca="1" si="0"/>
        <v>43313</v>
      </c>
      <c r="Y6" s="145">
        <f t="shared" ca="1" si="0"/>
        <v>43344</v>
      </c>
      <c r="Z6" s="145">
        <f t="shared" ca="1" si="0"/>
        <v>43374</v>
      </c>
      <c r="AA6" s="145">
        <f t="shared" ca="1" si="0"/>
        <v>43405</v>
      </c>
      <c r="AB6" s="145">
        <f t="shared" ca="1" si="0"/>
        <v>43435</v>
      </c>
    </row>
    <row r="7" spans="1:30" s="138" customFormat="1" ht="15" customHeight="1" thickBot="1" x14ac:dyDescent="0.25">
      <c r="A7" s="137"/>
      <c r="B7" s="245"/>
      <c r="C7" s="246"/>
      <c r="D7" s="247"/>
      <c r="E7" s="146">
        <f t="shared" ref="E7:AA7" ca="1" si="1">F6-1</f>
        <v>42766</v>
      </c>
      <c r="F7" s="147">
        <f t="shared" ca="1" si="1"/>
        <v>42794</v>
      </c>
      <c r="G7" s="147">
        <f t="shared" ca="1" si="1"/>
        <v>42825</v>
      </c>
      <c r="H7" s="147">
        <f t="shared" ca="1" si="1"/>
        <v>42855</v>
      </c>
      <c r="I7" s="147">
        <f t="shared" ca="1" si="1"/>
        <v>42886</v>
      </c>
      <c r="J7" s="147">
        <f t="shared" ca="1" si="1"/>
        <v>42916</v>
      </c>
      <c r="K7" s="147">
        <f t="shared" ca="1" si="1"/>
        <v>42947</v>
      </c>
      <c r="L7" s="147">
        <f t="shared" ca="1" si="1"/>
        <v>42978</v>
      </c>
      <c r="M7" s="147">
        <f t="shared" ca="1" si="1"/>
        <v>43008</v>
      </c>
      <c r="N7" s="147">
        <f t="shared" ca="1" si="1"/>
        <v>43039</v>
      </c>
      <c r="O7" s="147">
        <f t="shared" ca="1" si="1"/>
        <v>43069</v>
      </c>
      <c r="P7" s="147">
        <f t="shared" ca="1" si="1"/>
        <v>43100</v>
      </c>
      <c r="Q7" s="147">
        <f t="shared" ca="1" si="1"/>
        <v>43131</v>
      </c>
      <c r="R7" s="147">
        <f t="shared" ca="1" si="1"/>
        <v>43159</v>
      </c>
      <c r="S7" s="147">
        <f t="shared" ca="1" si="1"/>
        <v>43190</v>
      </c>
      <c r="T7" s="147">
        <f t="shared" ca="1" si="1"/>
        <v>43220</v>
      </c>
      <c r="U7" s="147">
        <f t="shared" ca="1" si="1"/>
        <v>43251</v>
      </c>
      <c r="V7" s="147">
        <f t="shared" ca="1" si="1"/>
        <v>43281</v>
      </c>
      <c r="W7" s="147">
        <f t="shared" ca="1" si="1"/>
        <v>43312</v>
      </c>
      <c r="X7" s="147">
        <f t="shared" ca="1" si="1"/>
        <v>43343</v>
      </c>
      <c r="Y7" s="147">
        <f t="shared" ca="1" si="1"/>
        <v>43373</v>
      </c>
      <c r="Z7" s="147">
        <f t="shared" ca="1" si="1"/>
        <v>43404</v>
      </c>
      <c r="AA7" s="147">
        <f t="shared" ca="1" si="1"/>
        <v>43434</v>
      </c>
      <c r="AB7" s="147">
        <f ca="1">D3</f>
        <v>43465</v>
      </c>
    </row>
    <row r="8" spans="1:30" s="138" customFormat="1" ht="15" customHeight="1" thickBot="1" x14ac:dyDescent="0.25">
      <c r="B8" s="166" t="s">
        <v>0</v>
      </c>
      <c r="C8" s="156" t="s">
        <v>63</v>
      </c>
      <c r="D8" s="167" t="s">
        <v>101</v>
      </c>
      <c r="E8" s="148">
        <f t="shared" ref="E8:AB8" ca="1" si="2">E6</f>
        <v>42736</v>
      </c>
      <c r="F8" s="60">
        <f t="shared" ca="1" si="2"/>
        <v>42767</v>
      </c>
      <c r="G8" s="60">
        <f t="shared" ca="1" si="2"/>
        <v>42795</v>
      </c>
      <c r="H8" s="60">
        <f t="shared" ca="1" si="2"/>
        <v>42826</v>
      </c>
      <c r="I8" s="60">
        <f t="shared" ca="1" si="2"/>
        <v>42856</v>
      </c>
      <c r="J8" s="60">
        <f t="shared" ca="1" si="2"/>
        <v>42887</v>
      </c>
      <c r="K8" s="60">
        <f t="shared" ca="1" si="2"/>
        <v>42917</v>
      </c>
      <c r="L8" s="60">
        <f t="shared" ca="1" si="2"/>
        <v>42948</v>
      </c>
      <c r="M8" s="60">
        <f t="shared" ca="1" si="2"/>
        <v>42979</v>
      </c>
      <c r="N8" s="60">
        <f t="shared" ca="1" si="2"/>
        <v>43009</v>
      </c>
      <c r="O8" s="60">
        <f t="shared" ca="1" si="2"/>
        <v>43040</v>
      </c>
      <c r="P8" s="60">
        <f t="shared" ca="1" si="2"/>
        <v>43070</v>
      </c>
      <c r="Q8" s="60">
        <f t="shared" ca="1" si="2"/>
        <v>43101</v>
      </c>
      <c r="R8" s="60">
        <f t="shared" ca="1" si="2"/>
        <v>43132</v>
      </c>
      <c r="S8" s="60">
        <f t="shared" ca="1" si="2"/>
        <v>43160</v>
      </c>
      <c r="T8" s="60">
        <f t="shared" ca="1" si="2"/>
        <v>43191</v>
      </c>
      <c r="U8" s="60">
        <f t="shared" ca="1" si="2"/>
        <v>43221</v>
      </c>
      <c r="V8" s="60">
        <f t="shared" ca="1" si="2"/>
        <v>43252</v>
      </c>
      <c r="W8" s="60">
        <f t="shared" ca="1" si="2"/>
        <v>43282</v>
      </c>
      <c r="X8" s="60">
        <f t="shared" ca="1" si="2"/>
        <v>43313</v>
      </c>
      <c r="Y8" s="60">
        <f t="shared" ca="1" si="2"/>
        <v>43344</v>
      </c>
      <c r="Z8" s="60">
        <f t="shared" ca="1" si="2"/>
        <v>43374</v>
      </c>
      <c r="AA8" s="60">
        <f t="shared" ca="1" si="2"/>
        <v>43405</v>
      </c>
      <c r="AB8" s="60">
        <f t="shared" ca="1" si="2"/>
        <v>43435</v>
      </c>
    </row>
    <row r="9" spans="1:30" ht="15" customHeight="1" thickBot="1" x14ac:dyDescent="0.25">
      <c r="B9" s="168"/>
      <c r="C9" s="169" t="s">
        <v>103</v>
      </c>
      <c r="D9" s="170" t="s">
        <v>86</v>
      </c>
      <c r="E9" s="149">
        <f t="shared" ref="E9:N10" ca="1" si="3">AbraSale(URL,Username,Password,$D9,E$6,E$7)/1000</f>
        <v>28.84</v>
      </c>
      <c r="F9" s="149">
        <f t="shared" ca="1" si="3"/>
        <v>28.543700000000001</v>
      </c>
      <c r="G9" s="149">
        <f t="shared" ca="1" si="3"/>
        <v>39.680999999999997</v>
      </c>
      <c r="H9" s="149">
        <f t="shared" ca="1" si="3"/>
        <v>28.494499999999999</v>
      </c>
      <c r="I9" s="149">
        <f t="shared" ca="1" si="3"/>
        <v>33.405000000000001</v>
      </c>
      <c r="J9" s="149">
        <f t="shared" ca="1" si="3"/>
        <v>32.275500000000001</v>
      </c>
      <c r="K9" s="149">
        <f t="shared" ca="1" si="3"/>
        <v>25.109000000000002</v>
      </c>
      <c r="L9" s="149">
        <f t="shared" ca="1" si="3"/>
        <v>25.003499999999999</v>
      </c>
      <c r="M9" s="149">
        <f t="shared" ca="1" si="3"/>
        <v>30.5642</v>
      </c>
      <c r="N9" s="149">
        <f t="shared" ca="1" si="3"/>
        <v>27.687200000000001</v>
      </c>
      <c r="O9" s="149">
        <f t="shared" ref="O9:AB10" ca="1" si="4">AbraSale(URL,Username,Password,$D9,O$6,O$7)/1000</f>
        <v>22.764599999999998</v>
      </c>
      <c r="P9" s="149">
        <f t="shared" ca="1" si="4"/>
        <v>20.879000000000001</v>
      </c>
      <c r="Q9" s="149">
        <f t="shared" ca="1" si="4"/>
        <v>39.531800000000004</v>
      </c>
      <c r="R9" s="149">
        <f t="shared" ca="1" si="4"/>
        <v>23.730400000000003</v>
      </c>
      <c r="S9" s="149">
        <f t="shared" ca="1" si="4"/>
        <v>22.6647</v>
      </c>
      <c r="T9" s="149">
        <f t="shared" ca="1" si="4"/>
        <v>25.734999999999999</v>
      </c>
      <c r="U9" s="149">
        <f t="shared" ca="1" si="4"/>
        <v>34.337000000000003</v>
      </c>
      <c r="V9" s="149">
        <f t="shared" ca="1" si="4"/>
        <v>31.862680000000001</v>
      </c>
      <c r="W9" s="149">
        <f t="shared" ca="1" si="4"/>
        <v>24.2</v>
      </c>
      <c r="X9" s="149">
        <f t="shared" ca="1" si="4"/>
        <v>29.811</v>
      </c>
      <c r="Y9" s="149">
        <f t="shared" ca="1" si="4"/>
        <v>21.311</v>
      </c>
      <c r="Z9" s="149">
        <f t="shared" ca="1" si="4"/>
        <v>38.104599999999998</v>
      </c>
      <c r="AA9" s="149">
        <f t="shared" ca="1" si="4"/>
        <v>33.650100000000002</v>
      </c>
      <c r="AB9" s="149">
        <f t="shared" ca="1" si="4"/>
        <v>23.562000000000001</v>
      </c>
      <c r="AC9" s="150"/>
      <c r="AD9" s="138"/>
    </row>
    <row r="10" spans="1:30" ht="15" customHeight="1" thickBot="1" x14ac:dyDescent="0.25">
      <c r="B10" s="171"/>
      <c r="C10" s="172" t="s">
        <v>104</v>
      </c>
      <c r="D10" s="173" t="s">
        <v>53</v>
      </c>
      <c r="E10" s="149">
        <f t="shared" ca="1" si="3"/>
        <v>18224.176760000002</v>
      </c>
      <c r="F10" s="149">
        <f t="shared" ca="1" si="3"/>
        <v>18194.10094</v>
      </c>
      <c r="G10" s="149">
        <f t="shared" ca="1" si="3"/>
        <v>24597.111870000001</v>
      </c>
      <c r="H10" s="149">
        <f t="shared" ca="1" si="3"/>
        <v>19531.072039999999</v>
      </c>
      <c r="I10" s="149">
        <f t="shared" ca="1" si="3"/>
        <v>22936.207690000003</v>
      </c>
      <c r="J10" s="149">
        <f t="shared" ca="1" si="3"/>
        <v>18891.573769999999</v>
      </c>
      <c r="K10" s="149">
        <f t="shared" ca="1" si="3"/>
        <v>18267.563030000001</v>
      </c>
      <c r="L10" s="149">
        <f t="shared" ca="1" si="3"/>
        <v>20597.285359999998</v>
      </c>
      <c r="M10" s="149">
        <f t="shared" ca="1" si="3"/>
        <v>19155.685460000001</v>
      </c>
      <c r="N10" s="149">
        <f t="shared" ca="1" si="3"/>
        <v>21012.614600000001</v>
      </c>
      <c r="O10" s="149">
        <f t="shared" ca="1" si="4"/>
        <v>18696.901379999999</v>
      </c>
      <c r="P10" s="149">
        <f t="shared" ca="1" si="4"/>
        <v>13829.15307</v>
      </c>
      <c r="Q10" s="149">
        <f t="shared" ca="1" si="4"/>
        <v>28696.167000000001</v>
      </c>
      <c r="R10" s="149">
        <f t="shared" ca="1" si="4"/>
        <v>18425.401300000001</v>
      </c>
      <c r="S10" s="149">
        <f t="shared" ca="1" si="4"/>
        <v>18131.689269999999</v>
      </c>
      <c r="T10" s="149">
        <f t="shared" ca="1" si="4"/>
        <v>16459.205099999999</v>
      </c>
      <c r="U10" s="149">
        <f t="shared" ca="1" si="4"/>
        <v>23430.481329999999</v>
      </c>
      <c r="V10" s="149">
        <f t="shared" ca="1" si="4"/>
        <v>22842.317859999999</v>
      </c>
      <c r="W10" s="149">
        <f t="shared" ca="1" si="4"/>
        <v>18201.113260000002</v>
      </c>
      <c r="X10" s="149">
        <f t="shared" ca="1" si="4"/>
        <v>20331.243829999999</v>
      </c>
      <c r="Y10" s="149">
        <f t="shared" ca="1" si="4"/>
        <v>17130.39486</v>
      </c>
      <c r="Z10" s="149">
        <f t="shared" ca="1" si="4"/>
        <v>22971.675440000003</v>
      </c>
      <c r="AA10" s="149">
        <f t="shared" ca="1" si="4"/>
        <v>21545.777760000001</v>
      </c>
      <c r="AB10" s="149">
        <f t="shared" ca="1" si="4"/>
        <v>17304.713359999998</v>
      </c>
      <c r="AC10" s="150"/>
    </row>
    <row r="11" spans="1:30" ht="15" customHeight="1" thickBot="1" x14ac:dyDescent="0.25">
      <c r="B11" s="229" t="s">
        <v>87</v>
      </c>
      <c r="C11" s="239"/>
      <c r="D11" s="230"/>
      <c r="E11" s="151">
        <f ca="1">E10/E9</f>
        <v>631.90626768377263</v>
      </c>
      <c r="F11" s="151">
        <f t="shared" ref="F11:AB11" ca="1" si="5">F10/F9</f>
        <v>637.41214138321243</v>
      </c>
      <c r="G11" s="151">
        <f t="shared" ca="1" si="5"/>
        <v>619.87127012928113</v>
      </c>
      <c r="H11" s="151">
        <f t="shared" ca="1" si="5"/>
        <v>685.4330498868203</v>
      </c>
      <c r="I11" s="151">
        <f t="shared" ca="1" si="5"/>
        <v>686.61001915880865</v>
      </c>
      <c r="J11" s="151">
        <f t="shared" ca="1" si="5"/>
        <v>585.32242010193488</v>
      </c>
      <c r="K11" s="151">
        <f t="shared" ca="1" si="5"/>
        <v>727.53048827113787</v>
      </c>
      <c r="L11" s="151">
        <f t="shared" ca="1" si="5"/>
        <v>823.77608574799524</v>
      </c>
      <c r="M11" s="151">
        <f t="shared" ca="1" si="5"/>
        <v>626.73603300593504</v>
      </c>
      <c r="N11" s="151">
        <f t="shared" ca="1" si="5"/>
        <v>758.92884076396319</v>
      </c>
      <c r="O11" s="151">
        <f t="shared" ca="1" si="5"/>
        <v>821.31473340186085</v>
      </c>
      <c r="P11" s="151">
        <f t="shared" ca="1" si="5"/>
        <v>662.3474816801571</v>
      </c>
      <c r="Q11" s="151">
        <f t="shared" ca="1" si="5"/>
        <v>725.90084438350891</v>
      </c>
      <c r="R11" s="151">
        <f t="shared" ca="1" si="5"/>
        <v>776.4471437481036</v>
      </c>
      <c r="S11" s="151">
        <f t="shared" ca="1" si="5"/>
        <v>799.99687928805588</v>
      </c>
      <c r="T11" s="151">
        <f t="shared" ca="1" si="5"/>
        <v>639.56499319992224</v>
      </c>
      <c r="U11" s="151">
        <f t="shared" ca="1" si="5"/>
        <v>682.36832949879124</v>
      </c>
      <c r="V11" s="151">
        <f t="shared" ca="1" si="5"/>
        <v>716.89882520867673</v>
      </c>
      <c r="W11" s="151">
        <f t="shared" ca="1" si="5"/>
        <v>752.11211818181823</v>
      </c>
      <c r="X11" s="151">
        <f t="shared" ca="1" si="5"/>
        <v>682.00475763979739</v>
      </c>
      <c r="Y11" s="151">
        <f t="shared" ca="1" si="5"/>
        <v>803.82876730327064</v>
      </c>
      <c r="Z11" s="151">
        <f t="shared" ca="1" si="5"/>
        <v>602.85832786592709</v>
      </c>
      <c r="AA11" s="151">
        <f t="shared" ca="1" si="5"/>
        <v>640.28866957304729</v>
      </c>
      <c r="AB11" s="151">
        <f t="shared" ca="1" si="5"/>
        <v>734.43312791783364</v>
      </c>
    </row>
    <row r="12" spans="1:30" ht="15" customHeight="1" x14ac:dyDescent="0.2">
      <c r="B12" s="70"/>
      <c r="C12" s="70"/>
      <c r="D12" s="70"/>
      <c r="E12" s="152"/>
      <c r="F12" s="152"/>
      <c r="G12" s="152"/>
      <c r="H12" s="152"/>
      <c r="I12" s="152"/>
      <c r="J12" s="152"/>
      <c r="K12" s="152"/>
      <c r="L12" s="152"/>
      <c r="M12" s="152"/>
      <c r="N12" s="152"/>
      <c r="O12" s="152"/>
      <c r="P12" s="152"/>
      <c r="Q12" s="152"/>
      <c r="R12" s="152"/>
      <c r="S12" s="152"/>
      <c r="T12" s="152"/>
      <c r="U12" s="152"/>
      <c r="V12" s="152"/>
      <c r="W12" s="152"/>
      <c r="X12" s="152"/>
      <c r="Y12" s="152"/>
      <c r="Z12" s="152"/>
      <c r="AA12" s="152"/>
      <c r="AB12" s="152"/>
    </row>
    <row r="13" spans="1:30" x14ac:dyDescent="0.2">
      <c r="B13" s="174"/>
      <c r="C13" s="174"/>
      <c r="D13" s="72"/>
    </row>
    <row r="14" spans="1:30" x14ac:dyDescent="0.2">
      <c r="B14" s="72"/>
      <c r="C14" s="72"/>
      <c r="D14" s="72"/>
    </row>
    <row r="15" spans="1:30" x14ac:dyDescent="0.2">
      <c r="B15" s="153"/>
      <c r="C15" s="153"/>
    </row>
    <row r="17" spans="2:3" x14ac:dyDescent="0.2">
      <c r="B17" s="154"/>
      <c r="C17" s="154"/>
    </row>
    <row r="18" spans="2:3" x14ac:dyDescent="0.2">
      <c r="B18" s="155"/>
      <c r="C18" s="155"/>
    </row>
    <row r="19" spans="2:3" x14ac:dyDescent="0.2">
      <c r="B19" s="154"/>
      <c r="C19" s="154"/>
    </row>
  </sheetData>
  <dataConsolidate/>
  <mergeCells count="2">
    <mergeCell ref="B6:D7"/>
    <mergeCell ref="B11:D11"/>
  </mergeCells>
  <pageMargins left="0.7" right="0.7" top="0.78740157499999996" bottom="0.78740157499999996" header="0.3" footer="0.3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List8"/>
  <dimension ref="A1:GI35"/>
  <sheetViews>
    <sheetView topLeftCell="A4" zoomScale="55" zoomScaleNormal="55" zoomScalePageLayoutView="130" workbookViewId="0">
      <selection activeCell="AJ47" sqref="AJ47"/>
    </sheetView>
  </sheetViews>
  <sheetFormatPr defaultColWidth="9.140625" defaultRowHeight="15" outlineLevelCol="1" x14ac:dyDescent="0.2"/>
  <cols>
    <col min="1" max="1" width="1.7109375" style="175" customWidth="1"/>
    <col min="2" max="2" width="30.28515625" style="72" bestFit="1" customWidth="1"/>
    <col min="3" max="3" width="22.85546875" style="72" customWidth="1"/>
    <col min="4" max="4" width="12.7109375" style="72" customWidth="1"/>
    <col min="5" max="7" width="12.7109375" style="178" customWidth="1"/>
    <col min="8" max="21" width="12.7109375" style="178" hidden="1" customWidth="1" outlineLevel="1"/>
    <col min="22" max="22" width="12.7109375" style="179" hidden="1" customWidth="1" outlineLevel="1"/>
    <col min="23" max="27" width="12.7109375" style="180" hidden="1" customWidth="1" outlineLevel="1"/>
    <col min="28" max="28" width="12.7109375" style="178" hidden="1" customWidth="1" outlineLevel="1"/>
    <col min="29" max="29" width="15.7109375" style="178" customWidth="1" collapsed="1"/>
    <col min="30" max="191" width="9.140625" style="178"/>
    <col min="192" max="16384" width="9.140625" style="181"/>
  </cols>
  <sheetData>
    <row r="1" spans="1:30" ht="10.35" customHeight="1" thickBot="1" x14ac:dyDescent="0.25"/>
    <row r="2" spans="1:30" ht="15" customHeight="1" x14ac:dyDescent="0.2">
      <c r="B2" s="159" t="s">
        <v>64</v>
      </c>
      <c r="C2" s="160"/>
      <c r="D2" s="161"/>
      <c r="E2" s="161"/>
      <c r="F2" s="161"/>
      <c r="G2" s="161"/>
      <c r="H2" s="161"/>
      <c r="I2" s="161"/>
      <c r="J2" s="161"/>
      <c r="K2" s="161"/>
      <c r="L2" s="161"/>
      <c r="M2" s="161"/>
      <c r="N2" s="161"/>
      <c r="O2" s="161"/>
      <c r="P2" s="161"/>
      <c r="Q2" s="161"/>
      <c r="R2" s="161"/>
      <c r="S2" s="161"/>
      <c r="T2" s="161"/>
      <c r="U2" s="161"/>
      <c r="V2" s="161"/>
      <c r="W2" s="161"/>
      <c r="X2" s="161"/>
      <c r="Y2" s="161"/>
      <c r="Z2" s="161"/>
      <c r="AA2" s="161"/>
      <c r="AB2" s="161"/>
    </row>
    <row r="3" spans="1:30" ht="15" customHeight="1" x14ac:dyDescent="0.2">
      <c r="B3" s="40" t="s">
        <v>105</v>
      </c>
      <c r="C3" s="162" t="s">
        <v>106</v>
      </c>
      <c r="D3" s="163">
        <v>42369</v>
      </c>
      <c r="E3" s="162"/>
      <c r="F3" s="162"/>
      <c r="G3" s="162"/>
      <c r="H3" s="162"/>
      <c r="I3" s="162"/>
      <c r="J3" s="162"/>
      <c r="K3" s="162"/>
      <c r="L3" s="162"/>
      <c r="M3" s="162"/>
      <c r="N3" s="162"/>
      <c r="O3" s="162"/>
      <c r="P3" s="162"/>
      <c r="Q3" s="162"/>
      <c r="R3" s="162"/>
      <c r="S3" s="162"/>
      <c r="T3" s="162"/>
      <c r="U3" s="162"/>
      <c r="V3" s="162"/>
      <c r="W3" s="162"/>
      <c r="X3" s="162"/>
      <c r="Y3" s="162"/>
      <c r="Z3" s="162"/>
      <c r="AA3" s="162"/>
      <c r="AB3" s="162"/>
    </row>
    <row r="4" spans="1:30" ht="15" customHeight="1" x14ac:dyDescent="0.2">
      <c r="B4" s="40"/>
      <c r="C4" s="162"/>
      <c r="D4" s="162"/>
      <c r="E4" s="162"/>
      <c r="F4" s="162"/>
      <c r="G4" s="162"/>
      <c r="H4" s="162"/>
      <c r="I4" s="162"/>
      <c r="J4" s="162"/>
      <c r="K4" s="162"/>
      <c r="L4" s="162"/>
      <c r="M4" s="162"/>
      <c r="N4" s="162"/>
      <c r="O4" s="162"/>
      <c r="P4" s="162"/>
      <c r="Q4" s="162"/>
      <c r="R4" s="162"/>
      <c r="S4" s="162"/>
      <c r="T4" s="162"/>
      <c r="U4" s="162"/>
      <c r="V4" s="162"/>
      <c r="W4" s="162"/>
      <c r="X4" s="162"/>
      <c r="Y4" s="162"/>
      <c r="Z4" s="162"/>
      <c r="AA4" s="162"/>
      <c r="AB4" s="162"/>
    </row>
    <row r="5" spans="1:30" ht="15" customHeight="1" thickBot="1" x14ac:dyDescent="0.25">
      <c r="B5" s="164"/>
      <c r="C5" s="165"/>
      <c r="D5" s="165"/>
      <c r="E5" s="162"/>
      <c r="F5" s="162"/>
      <c r="G5" s="162"/>
      <c r="H5" s="162"/>
      <c r="I5" s="162"/>
      <c r="J5" s="162"/>
      <c r="K5" s="162"/>
      <c r="L5" s="162"/>
      <c r="M5" s="162"/>
      <c r="N5" s="162"/>
      <c r="O5" s="162"/>
      <c r="P5" s="162"/>
      <c r="Q5" s="162"/>
      <c r="R5" s="162"/>
      <c r="S5" s="162"/>
      <c r="T5" s="162"/>
      <c r="U5" s="162"/>
      <c r="V5" s="162"/>
      <c r="W5" s="162"/>
      <c r="X5" s="162"/>
      <c r="Y5" s="162"/>
      <c r="Z5" s="162"/>
      <c r="AA5" s="162"/>
      <c r="AB5" s="162"/>
    </row>
    <row r="6" spans="1:30" s="177" customFormat="1" ht="15" customHeight="1" x14ac:dyDescent="0.2">
      <c r="A6" s="176"/>
      <c r="B6" s="242"/>
      <c r="C6" s="243"/>
      <c r="D6" s="244"/>
      <c r="E6" s="182">
        <f ca="1">E7-IF(MONTH(E7)=2,IF(OR(YEAR(E7)=2008,YEAR(E7)=2012,YEAR(E7)=2016),29,28),IF(OR(MONTH(E7)=4,MONTH(E7)=6,MONTH(E7)=9,MONTH(E7)=11),30,31))+1</f>
        <v>41640</v>
      </c>
      <c r="F6" s="183">
        <f t="shared" ref="F6:AB6" ca="1" si="0">F7-IF(MONTH(F7)=2,IF(OR(YEAR(F7)=2008,YEAR(F7)=2012,YEAR(F7)=2016),29,28),IF(OR(MONTH(F7)=4,MONTH(F7)=6,MONTH(F7)=9,MONTH(F7)=11),30,31))+1</f>
        <v>41671</v>
      </c>
      <c r="G6" s="183">
        <f t="shared" ca="1" si="0"/>
        <v>41699</v>
      </c>
      <c r="H6" s="183">
        <f t="shared" ca="1" si="0"/>
        <v>41730</v>
      </c>
      <c r="I6" s="183">
        <f t="shared" ca="1" si="0"/>
        <v>41760</v>
      </c>
      <c r="J6" s="183">
        <f t="shared" ca="1" si="0"/>
        <v>41791</v>
      </c>
      <c r="K6" s="183">
        <f t="shared" ca="1" si="0"/>
        <v>41821</v>
      </c>
      <c r="L6" s="183">
        <f t="shared" ca="1" si="0"/>
        <v>41852</v>
      </c>
      <c r="M6" s="183">
        <f t="shared" ca="1" si="0"/>
        <v>41883</v>
      </c>
      <c r="N6" s="183">
        <f t="shared" ca="1" si="0"/>
        <v>41913</v>
      </c>
      <c r="O6" s="183">
        <f t="shared" ca="1" si="0"/>
        <v>41944</v>
      </c>
      <c r="P6" s="183">
        <f t="shared" ca="1" si="0"/>
        <v>41974</v>
      </c>
      <c r="Q6" s="183">
        <f t="shared" ca="1" si="0"/>
        <v>42005</v>
      </c>
      <c r="R6" s="183">
        <f t="shared" ca="1" si="0"/>
        <v>42036</v>
      </c>
      <c r="S6" s="183">
        <f t="shared" ca="1" si="0"/>
        <v>42064</v>
      </c>
      <c r="T6" s="183">
        <f t="shared" ca="1" si="0"/>
        <v>42095</v>
      </c>
      <c r="U6" s="183">
        <f t="shared" ca="1" si="0"/>
        <v>42125</v>
      </c>
      <c r="V6" s="183">
        <f t="shared" ca="1" si="0"/>
        <v>42156</v>
      </c>
      <c r="W6" s="183">
        <f t="shared" ca="1" si="0"/>
        <v>42186</v>
      </c>
      <c r="X6" s="183">
        <f t="shared" ca="1" si="0"/>
        <v>42217</v>
      </c>
      <c r="Y6" s="183">
        <f t="shared" ca="1" si="0"/>
        <v>42248</v>
      </c>
      <c r="Z6" s="183">
        <f t="shared" ca="1" si="0"/>
        <v>42278</v>
      </c>
      <c r="AA6" s="183">
        <f t="shared" ca="1" si="0"/>
        <v>42309</v>
      </c>
      <c r="AB6" s="183">
        <f t="shared" ca="1" si="0"/>
        <v>42339</v>
      </c>
    </row>
    <row r="7" spans="1:30" s="177" customFormat="1" ht="15" customHeight="1" thickBot="1" x14ac:dyDescent="0.25">
      <c r="A7" s="176"/>
      <c r="B7" s="245"/>
      <c r="C7" s="246"/>
      <c r="D7" s="247"/>
      <c r="E7" s="184">
        <f t="shared" ref="E7:AA7" ca="1" si="1">F6-1</f>
        <v>41670</v>
      </c>
      <c r="F7" s="185">
        <f t="shared" ca="1" si="1"/>
        <v>41698</v>
      </c>
      <c r="G7" s="185">
        <f t="shared" ca="1" si="1"/>
        <v>41729</v>
      </c>
      <c r="H7" s="185">
        <f t="shared" ca="1" si="1"/>
        <v>41759</v>
      </c>
      <c r="I7" s="185">
        <f t="shared" ca="1" si="1"/>
        <v>41790</v>
      </c>
      <c r="J7" s="185">
        <f t="shared" ca="1" si="1"/>
        <v>41820</v>
      </c>
      <c r="K7" s="185">
        <f t="shared" ca="1" si="1"/>
        <v>41851</v>
      </c>
      <c r="L7" s="185">
        <f t="shared" ca="1" si="1"/>
        <v>41882</v>
      </c>
      <c r="M7" s="185">
        <f t="shared" ca="1" si="1"/>
        <v>41912</v>
      </c>
      <c r="N7" s="185">
        <f t="shared" ca="1" si="1"/>
        <v>41943</v>
      </c>
      <c r="O7" s="185">
        <f t="shared" ca="1" si="1"/>
        <v>41973</v>
      </c>
      <c r="P7" s="185">
        <f t="shared" ca="1" si="1"/>
        <v>42004</v>
      </c>
      <c r="Q7" s="185">
        <f t="shared" ca="1" si="1"/>
        <v>42035</v>
      </c>
      <c r="R7" s="185">
        <f t="shared" ca="1" si="1"/>
        <v>42063</v>
      </c>
      <c r="S7" s="185">
        <f t="shared" ca="1" si="1"/>
        <v>42094</v>
      </c>
      <c r="T7" s="185">
        <f t="shared" ca="1" si="1"/>
        <v>42124</v>
      </c>
      <c r="U7" s="185">
        <f t="shared" ca="1" si="1"/>
        <v>42155</v>
      </c>
      <c r="V7" s="185">
        <f t="shared" ca="1" si="1"/>
        <v>42185</v>
      </c>
      <c r="W7" s="185">
        <f t="shared" ca="1" si="1"/>
        <v>42216</v>
      </c>
      <c r="X7" s="185">
        <f t="shared" ca="1" si="1"/>
        <v>42247</v>
      </c>
      <c r="Y7" s="185">
        <f t="shared" ca="1" si="1"/>
        <v>42277</v>
      </c>
      <c r="Z7" s="185">
        <f t="shared" ca="1" si="1"/>
        <v>42308</v>
      </c>
      <c r="AA7" s="185">
        <f t="shared" ca="1" si="1"/>
        <v>42338</v>
      </c>
      <c r="AB7" s="185">
        <f ca="1">D3</f>
        <v>42369</v>
      </c>
    </row>
    <row r="8" spans="1:30" s="177" customFormat="1" ht="15" customHeight="1" thickBot="1" x14ac:dyDescent="0.25">
      <c r="B8" s="166" t="s">
        <v>0</v>
      </c>
      <c r="C8" s="158" t="s">
        <v>63</v>
      </c>
      <c r="D8" s="167" t="s">
        <v>101</v>
      </c>
      <c r="E8" s="186">
        <f t="shared" ref="E8:AB8" ca="1" si="2">E6</f>
        <v>41640</v>
      </c>
      <c r="F8" s="187">
        <f t="shared" ca="1" si="2"/>
        <v>41671</v>
      </c>
      <c r="G8" s="187">
        <f t="shared" ca="1" si="2"/>
        <v>41699</v>
      </c>
      <c r="H8" s="187">
        <f t="shared" ca="1" si="2"/>
        <v>41730</v>
      </c>
      <c r="I8" s="187">
        <f t="shared" ca="1" si="2"/>
        <v>41760</v>
      </c>
      <c r="J8" s="187">
        <f t="shared" ca="1" si="2"/>
        <v>41791</v>
      </c>
      <c r="K8" s="187">
        <f t="shared" ca="1" si="2"/>
        <v>41821</v>
      </c>
      <c r="L8" s="187">
        <f t="shared" ca="1" si="2"/>
        <v>41852</v>
      </c>
      <c r="M8" s="187">
        <f t="shared" ca="1" si="2"/>
        <v>41883</v>
      </c>
      <c r="N8" s="187">
        <f t="shared" ca="1" si="2"/>
        <v>41913</v>
      </c>
      <c r="O8" s="187">
        <f t="shared" ca="1" si="2"/>
        <v>41944</v>
      </c>
      <c r="P8" s="187">
        <f t="shared" ca="1" si="2"/>
        <v>41974</v>
      </c>
      <c r="Q8" s="187">
        <f t="shared" ca="1" si="2"/>
        <v>42005</v>
      </c>
      <c r="R8" s="187">
        <f t="shared" ca="1" si="2"/>
        <v>42036</v>
      </c>
      <c r="S8" s="187">
        <f t="shared" ca="1" si="2"/>
        <v>42064</v>
      </c>
      <c r="T8" s="187">
        <f t="shared" ca="1" si="2"/>
        <v>42095</v>
      </c>
      <c r="U8" s="187">
        <f t="shared" ca="1" si="2"/>
        <v>42125</v>
      </c>
      <c r="V8" s="187">
        <f t="shared" ca="1" si="2"/>
        <v>42156</v>
      </c>
      <c r="W8" s="187">
        <f t="shared" ca="1" si="2"/>
        <v>42186</v>
      </c>
      <c r="X8" s="187">
        <f t="shared" ca="1" si="2"/>
        <v>42217</v>
      </c>
      <c r="Y8" s="187">
        <f t="shared" ca="1" si="2"/>
        <v>42248</v>
      </c>
      <c r="Z8" s="187">
        <f t="shared" ca="1" si="2"/>
        <v>42278</v>
      </c>
      <c r="AA8" s="187">
        <f t="shared" ca="1" si="2"/>
        <v>42309</v>
      </c>
      <c r="AB8" s="187">
        <f t="shared" ca="1" si="2"/>
        <v>42339</v>
      </c>
    </row>
    <row r="9" spans="1:30" ht="15" customHeight="1" thickBot="1" x14ac:dyDescent="0.25">
      <c r="B9" s="168"/>
      <c r="C9" s="169" t="s">
        <v>37</v>
      </c>
      <c r="D9" s="170" t="s">
        <v>66</v>
      </c>
      <c r="E9" s="188">
        <f t="shared" ref="E9:N12" ca="1" si="3">AbraReceivable(URL,Username,Password,$D9,E$6,E$7)/1000</f>
        <v>0</v>
      </c>
      <c r="F9" s="188">
        <f t="shared" ca="1" si="3"/>
        <v>0</v>
      </c>
      <c r="G9" s="188">
        <f t="shared" ca="1" si="3"/>
        <v>0</v>
      </c>
      <c r="H9" s="188">
        <f t="shared" ca="1" si="3"/>
        <v>0</v>
      </c>
      <c r="I9" s="188">
        <f t="shared" ca="1" si="3"/>
        <v>0</v>
      </c>
      <c r="J9" s="188">
        <f t="shared" ca="1" si="3"/>
        <v>0</v>
      </c>
      <c r="K9" s="188">
        <f t="shared" ca="1" si="3"/>
        <v>0</v>
      </c>
      <c r="L9" s="188">
        <f t="shared" ca="1" si="3"/>
        <v>0</v>
      </c>
      <c r="M9" s="188">
        <f t="shared" ca="1" si="3"/>
        <v>0</v>
      </c>
      <c r="N9" s="188">
        <f t="shared" ca="1" si="3"/>
        <v>0</v>
      </c>
      <c r="O9" s="188">
        <f t="shared" ref="O9:AB12" ca="1" si="4">AbraReceivable(URL,Username,Password,$D9,O$6,O$7)/1000</f>
        <v>25.337</v>
      </c>
      <c r="P9" s="188">
        <f t="shared" ca="1" si="4"/>
        <v>0</v>
      </c>
      <c r="Q9" s="188">
        <f t="shared" ca="1" si="4"/>
        <v>0</v>
      </c>
      <c r="R9" s="188">
        <f t="shared" ca="1" si="4"/>
        <v>11.785</v>
      </c>
      <c r="S9" s="188">
        <f t="shared" ca="1" si="4"/>
        <v>32.652000000000001</v>
      </c>
      <c r="T9" s="188">
        <f t="shared" ca="1" si="4"/>
        <v>0</v>
      </c>
      <c r="U9" s="188">
        <f t="shared" ca="1" si="4"/>
        <v>19.367999999999999</v>
      </c>
      <c r="V9" s="188">
        <f t="shared" ca="1" si="4"/>
        <v>32.58</v>
      </c>
      <c r="W9" s="188">
        <f t="shared" ca="1" si="4"/>
        <v>23.907</v>
      </c>
      <c r="X9" s="188">
        <f t="shared" ca="1" si="4"/>
        <v>0</v>
      </c>
      <c r="Y9" s="188">
        <f t="shared" ca="1" si="4"/>
        <v>26.745000000000001</v>
      </c>
      <c r="Z9" s="188">
        <f t="shared" ca="1" si="4"/>
        <v>0</v>
      </c>
      <c r="AA9" s="188">
        <f t="shared" ca="1" si="4"/>
        <v>0</v>
      </c>
      <c r="AB9" s="188">
        <f t="shared" ca="1" si="4"/>
        <v>16.948</v>
      </c>
      <c r="AC9" s="189"/>
      <c r="AD9" s="177"/>
    </row>
    <row r="10" spans="1:30" ht="15" customHeight="1" thickBot="1" x14ac:dyDescent="0.25">
      <c r="B10" s="190"/>
      <c r="C10" s="191" t="s">
        <v>107</v>
      </c>
      <c r="D10" s="192" t="s">
        <v>67</v>
      </c>
      <c r="E10" s="188">
        <f t="shared" ca="1" si="3"/>
        <v>0</v>
      </c>
      <c r="F10" s="188">
        <f t="shared" ca="1" si="3"/>
        <v>0</v>
      </c>
      <c r="G10" s="188">
        <f t="shared" ca="1" si="3"/>
        <v>0</v>
      </c>
      <c r="H10" s="188">
        <f t="shared" ca="1" si="3"/>
        <v>0</v>
      </c>
      <c r="I10" s="188">
        <f t="shared" ca="1" si="3"/>
        <v>0</v>
      </c>
      <c r="J10" s="188">
        <f t="shared" ca="1" si="3"/>
        <v>0</v>
      </c>
      <c r="K10" s="188">
        <f t="shared" ca="1" si="3"/>
        <v>0</v>
      </c>
      <c r="L10" s="188">
        <f t="shared" ca="1" si="3"/>
        <v>0</v>
      </c>
      <c r="M10" s="188">
        <f t="shared" ca="1" si="3"/>
        <v>0</v>
      </c>
      <c r="N10" s="188">
        <f t="shared" ca="1" si="3"/>
        <v>0</v>
      </c>
      <c r="O10" s="188">
        <f t="shared" ca="1" si="4"/>
        <v>0</v>
      </c>
      <c r="P10" s="188">
        <f t="shared" ca="1" si="4"/>
        <v>0</v>
      </c>
      <c r="Q10" s="188">
        <f t="shared" ca="1" si="4"/>
        <v>0</v>
      </c>
      <c r="R10" s="188">
        <f t="shared" ca="1" si="4"/>
        <v>0</v>
      </c>
      <c r="S10" s="188">
        <f t="shared" ca="1" si="4"/>
        <v>0</v>
      </c>
      <c r="T10" s="188">
        <f t="shared" ca="1" si="4"/>
        <v>0</v>
      </c>
      <c r="U10" s="188">
        <f t="shared" ca="1" si="4"/>
        <v>0</v>
      </c>
      <c r="V10" s="188">
        <f t="shared" ca="1" si="4"/>
        <v>0</v>
      </c>
      <c r="W10" s="188">
        <f t="shared" ca="1" si="4"/>
        <v>0</v>
      </c>
      <c r="X10" s="188">
        <f t="shared" ca="1" si="4"/>
        <v>0</v>
      </c>
      <c r="Y10" s="188">
        <f t="shared" ca="1" si="4"/>
        <v>0</v>
      </c>
      <c r="Z10" s="188">
        <f t="shared" ca="1" si="4"/>
        <v>0</v>
      </c>
      <c r="AA10" s="188">
        <f t="shared" ca="1" si="4"/>
        <v>0</v>
      </c>
      <c r="AB10" s="188">
        <f t="shared" ca="1" si="4"/>
        <v>0</v>
      </c>
      <c r="AC10" s="189"/>
      <c r="AD10" s="177"/>
    </row>
    <row r="11" spans="1:30" ht="15" customHeight="1" thickBot="1" x14ac:dyDescent="0.25">
      <c r="B11" s="190"/>
      <c r="C11" s="191" t="s">
        <v>108</v>
      </c>
      <c r="D11" s="192" t="s">
        <v>68</v>
      </c>
      <c r="E11" s="188">
        <f t="shared" ca="1" si="3"/>
        <v>0</v>
      </c>
      <c r="F11" s="188">
        <f t="shared" ca="1" si="3"/>
        <v>0</v>
      </c>
      <c r="G11" s="188">
        <f t="shared" ca="1" si="3"/>
        <v>0</v>
      </c>
      <c r="H11" s="188">
        <f t="shared" ca="1" si="3"/>
        <v>0</v>
      </c>
      <c r="I11" s="188">
        <f t="shared" ca="1" si="3"/>
        <v>0</v>
      </c>
      <c r="J11" s="188">
        <f t="shared" ca="1" si="3"/>
        <v>0</v>
      </c>
      <c r="K11" s="188">
        <f t="shared" ca="1" si="3"/>
        <v>0</v>
      </c>
      <c r="L11" s="188">
        <f t="shared" ca="1" si="3"/>
        <v>0</v>
      </c>
      <c r="M11" s="188">
        <f t="shared" ca="1" si="3"/>
        <v>0</v>
      </c>
      <c r="N11" s="188">
        <f t="shared" ca="1" si="3"/>
        <v>0</v>
      </c>
      <c r="O11" s="188">
        <f t="shared" ca="1" si="4"/>
        <v>25.337</v>
      </c>
      <c r="P11" s="188">
        <f t="shared" ca="1" si="4"/>
        <v>0</v>
      </c>
      <c r="Q11" s="188">
        <f t="shared" ca="1" si="4"/>
        <v>0</v>
      </c>
      <c r="R11" s="188">
        <f t="shared" ca="1" si="4"/>
        <v>11.785</v>
      </c>
      <c r="S11" s="188">
        <f t="shared" ca="1" si="4"/>
        <v>32.652000000000001</v>
      </c>
      <c r="T11" s="188">
        <f t="shared" ca="1" si="4"/>
        <v>0</v>
      </c>
      <c r="U11" s="188">
        <f t="shared" ca="1" si="4"/>
        <v>19.367999999999999</v>
      </c>
      <c r="V11" s="188">
        <f t="shared" ca="1" si="4"/>
        <v>32.58</v>
      </c>
      <c r="W11" s="188">
        <f t="shared" ca="1" si="4"/>
        <v>23.907</v>
      </c>
      <c r="X11" s="188">
        <f t="shared" ca="1" si="4"/>
        <v>0</v>
      </c>
      <c r="Y11" s="188">
        <f t="shared" ca="1" si="4"/>
        <v>26.745000000000001</v>
      </c>
      <c r="Z11" s="188">
        <f t="shared" ca="1" si="4"/>
        <v>0</v>
      </c>
      <c r="AA11" s="188">
        <f t="shared" ca="1" si="4"/>
        <v>0</v>
      </c>
      <c r="AB11" s="188">
        <f t="shared" ca="1" si="4"/>
        <v>16.948</v>
      </c>
      <c r="AC11" s="189"/>
      <c r="AD11" s="177"/>
    </row>
    <row r="12" spans="1:30" ht="15" customHeight="1" x14ac:dyDescent="0.2">
      <c r="B12" s="171"/>
      <c r="C12" s="172" t="s">
        <v>109</v>
      </c>
      <c r="D12" s="173" t="s">
        <v>69</v>
      </c>
      <c r="E12" s="188">
        <f t="shared" ca="1" si="3"/>
        <v>0</v>
      </c>
      <c r="F12" s="188">
        <f t="shared" ca="1" si="3"/>
        <v>0</v>
      </c>
      <c r="G12" s="188">
        <f t="shared" ca="1" si="3"/>
        <v>0</v>
      </c>
      <c r="H12" s="188">
        <f t="shared" ca="1" si="3"/>
        <v>0</v>
      </c>
      <c r="I12" s="188">
        <f t="shared" ca="1" si="3"/>
        <v>0</v>
      </c>
      <c r="J12" s="188">
        <f t="shared" ca="1" si="3"/>
        <v>0</v>
      </c>
      <c r="K12" s="188">
        <f t="shared" ca="1" si="3"/>
        <v>0</v>
      </c>
      <c r="L12" s="188">
        <f t="shared" ca="1" si="3"/>
        <v>0</v>
      </c>
      <c r="M12" s="188">
        <f t="shared" ca="1" si="3"/>
        <v>0</v>
      </c>
      <c r="N12" s="188">
        <f t="shared" ca="1" si="3"/>
        <v>0</v>
      </c>
      <c r="O12" s="188">
        <f t="shared" ca="1" si="4"/>
        <v>0</v>
      </c>
      <c r="P12" s="188">
        <f t="shared" ca="1" si="4"/>
        <v>0</v>
      </c>
      <c r="Q12" s="188">
        <f t="shared" ca="1" si="4"/>
        <v>0</v>
      </c>
      <c r="R12" s="188">
        <f t="shared" ca="1" si="4"/>
        <v>0</v>
      </c>
      <c r="S12" s="188">
        <f t="shared" ca="1" si="4"/>
        <v>0</v>
      </c>
      <c r="T12" s="188">
        <f t="shared" ca="1" si="4"/>
        <v>0</v>
      </c>
      <c r="U12" s="188">
        <f t="shared" ca="1" si="4"/>
        <v>0</v>
      </c>
      <c r="V12" s="188">
        <f t="shared" ca="1" si="4"/>
        <v>0</v>
      </c>
      <c r="W12" s="188">
        <f t="shared" ca="1" si="4"/>
        <v>0</v>
      </c>
      <c r="X12" s="188">
        <f t="shared" ca="1" si="4"/>
        <v>0</v>
      </c>
      <c r="Y12" s="188">
        <f t="shared" ca="1" si="4"/>
        <v>0</v>
      </c>
      <c r="Z12" s="188">
        <f t="shared" ca="1" si="4"/>
        <v>0</v>
      </c>
      <c r="AA12" s="188">
        <f t="shared" ca="1" si="4"/>
        <v>0</v>
      </c>
      <c r="AB12" s="188">
        <f t="shared" ca="1" si="4"/>
        <v>0</v>
      </c>
      <c r="AC12" s="189"/>
    </row>
    <row r="13" spans="1:30" ht="15" customHeight="1" x14ac:dyDescent="0.2">
      <c r="B13" s="70"/>
      <c r="C13" s="70"/>
      <c r="D13" s="70"/>
      <c r="E13" s="193"/>
      <c r="F13" s="193"/>
      <c r="G13" s="193"/>
      <c r="H13" s="193"/>
      <c r="I13" s="193"/>
      <c r="J13" s="193"/>
      <c r="K13" s="193"/>
      <c r="L13" s="193"/>
      <c r="M13" s="193"/>
      <c r="N13" s="193"/>
      <c r="O13" s="193"/>
      <c r="P13" s="193"/>
      <c r="Q13" s="193"/>
      <c r="R13" s="193"/>
      <c r="S13" s="193"/>
      <c r="T13" s="193"/>
      <c r="U13" s="193"/>
      <c r="V13" s="193"/>
      <c r="W13" s="193"/>
      <c r="X13" s="193"/>
      <c r="Y13" s="193"/>
      <c r="Z13" s="193"/>
      <c r="AA13" s="193"/>
      <c r="AB13" s="193"/>
    </row>
    <row r="14" spans="1:30" ht="15" customHeight="1" x14ac:dyDescent="0.2">
      <c r="B14" s="70"/>
      <c r="C14" s="70"/>
      <c r="D14" s="70"/>
      <c r="E14" s="193"/>
      <c r="F14" s="193"/>
      <c r="G14" s="193"/>
      <c r="H14" s="193"/>
      <c r="I14" s="193"/>
      <c r="J14" s="193"/>
      <c r="K14" s="193"/>
      <c r="L14" s="193"/>
      <c r="M14" s="193"/>
      <c r="N14" s="193"/>
      <c r="O14" s="193"/>
      <c r="P14" s="193"/>
      <c r="Q14" s="193"/>
      <c r="R14" s="193"/>
      <c r="S14" s="193"/>
      <c r="T14" s="193"/>
      <c r="U14" s="193"/>
      <c r="V14" s="193"/>
      <c r="W14" s="193"/>
      <c r="X14" s="193"/>
      <c r="Y14" s="193"/>
      <c r="Z14" s="193"/>
      <c r="AA14" s="193"/>
      <c r="AB14" s="193"/>
    </row>
    <row r="15" spans="1:30" ht="15.75" thickBot="1" x14ac:dyDescent="0.25">
      <c r="B15" s="174"/>
      <c r="C15" s="174"/>
    </row>
    <row r="16" spans="1:30" x14ac:dyDescent="0.2">
      <c r="B16" s="159" t="s">
        <v>65</v>
      </c>
      <c r="C16" s="160"/>
      <c r="D16" s="161"/>
      <c r="E16" s="161"/>
      <c r="F16" s="161"/>
      <c r="G16" s="161"/>
      <c r="H16" s="161"/>
      <c r="I16" s="161"/>
      <c r="J16" s="161"/>
      <c r="K16" s="161"/>
      <c r="L16" s="161"/>
      <c r="M16" s="161"/>
      <c r="N16" s="161"/>
      <c r="O16" s="161"/>
      <c r="P16" s="161"/>
      <c r="Q16" s="161"/>
      <c r="R16" s="161"/>
      <c r="S16" s="161"/>
      <c r="T16" s="161"/>
      <c r="U16" s="161"/>
      <c r="V16" s="161"/>
      <c r="W16" s="161"/>
      <c r="X16" s="161"/>
      <c r="Y16" s="161"/>
      <c r="Z16" s="161"/>
      <c r="AA16" s="161"/>
      <c r="AB16" s="161"/>
    </row>
    <row r="17" spans="2:29" x14ac:dyDescent="0.2">
      <c r="B17" s="40" t="s">
        <v>110</v>
      </c>
      <c r="C17" s="162" t="s">
        <v>99</v>
      </c>
      <c r="D17" s="163">
        <v>42369</v>
      </c>
      <c r="E17" s="162"/>
      <c r="F17" s="162"/>
      <c r="G17" s="162"/>
      <c r="H17" s="162"/>
      <c r="I17" s="162"/>
      <c r="J17" s="162"/>
      <c r="K17" s="162"/>
      <c r="L17" s="162"/>
      <c r="M17" s="162"/>
      <c r="N17" s="162"/>
      <c r="O17" s="162"/>
      <c r="P17" s="162"/>
      <c r="Q17" s="162"/>
      <c r="R17" s="162"/>
      <c r="S17" s="162"/>
      <c r="T17" s="162"/>
      <c r="U17" s="162"/>
      <c r="V17" s="162"/>
      <c r="W17" s="162"/>
      <c r="X17" s="162"/>
      <c r="Y17" s="162"/>
      <c r="Z17" s="162"/>
      <c r="AA17" s="162"/>
      <c r="AB17" s="162"/>
    </row>
    <row r="18" spans="2:29" x14ac:dyDescent="0.2">
      <c r="B18" s="40"/>
      <c r="C18" s="162"/>
      <c r="D18" s="162"/>
      <c r="E18" s="162"/>
      <c r="F18" s="162"/>
      <c r="G18" s="162"/>
      <c r="H18" s="162"/>
      <c r="I18" s="162"/>
      <c r="J18" s="162"/>
      <c r="K18" s="162"/>
      <c r="L18" s="162"/>
      <c r="M18" s="162"/>
      <c r="N18" s="162"/>
      <c r="O18" s="162"/>
      <c r="P18" s="162"/>
      <c r="Q18" s="162"/>
      <c r="R18" s="162"/>
      <c r="S18" s="162"/>
      <c r="T18" s="162"/>
      <c r="U18" s="162"/>
      <c r="V18" s="162"/>
      <c r="W18" s="162"/>
      <c r="X18" s="162"/>
      <c r="Y18" s="162"/>
      <c r="Z18" s="162"/>
      <c r="AA18" s="162"/>
      <c r="AB18" s="162"/>
    </row>
    <row r="19" spans="2:29" ht="15.75" thickBot="1" x14ac:dyDescent="0.25">
      <c r="B19" s="164"/>
      <c r="C19" s="165"/>
      <c r="D19" s="165"/>
      <c r="E19" s="162"/>
      <c r="F19" s="162"/>
      <c r="G19" s="162"/>
      <c r="H19" s="162"/>
      <c r="I19" s="162"/>
      <c r="J19" s="162"/>
      <c r="K19" s="162"/>
      <c r="L19" s="162"/>
      <c r="M19" s="162"/>
      <c r="N19" s="162"/>
      <c r="O19" s="162"/>
      <c r="P19" s="162"/>
      <c r="Q19" s="162"/>
      <c r="R19" s="162"/>
      <c r="S19" s="162"/>
      <c r="T19" s="162"/>
      <c r="U19" s="162"/>
      <c r="V19" s="162"/>
      <c r="W19" s="162"/>
      <c r="X19" s="162"/>
      <c r="Y19" s="162"/>
      <c r="Z19" s="162"/>
      <c r="AA19" s="162"/>
      <c r="AB19" s="162"/>
    </row>
    <row r="20" spans="2:29" x14ac:dyDescent="0.2">
      <c r="B20" s="242"/>
      <c r="C20" s="243"/>
      <c r="D20" s="244"/>
      <c r="E20" s="182">
        <f ca="1">E21-IF(MONTH(E21)=2,IF(OR(YEAR(E21)=2008,YEAR(E21)=2012,YEAR(E21)=2016),29,28),IF(OR(MONTH(E21)=4,MONTH(E21)=6,MONTH(E21)=9,MONTH(E21)=11),30,31))+1</f>
        <v>41640</v>
      </c>
      <c r="F20" s="183">
        <f t="shared" ref="F20:AB20" ca="1" si="5">F21-IF(MONTH(F21)=2,IF(OR(YEAR(F21)=2008,YEAR(F21)=2012,YEAR(F21)=2016),29,28),IF(OR(MONTH(F21)=4,MONTH(F21)=6,MONTH(F21)=9,MONTH(F21)=11),30,31))+1</f>
        <v>41671</v>
      </c>
      <c r="G20" s="183">
        <f t="shared" ca="1" si="5"/>
        <v>41699</v>
      </c>
      <c r="H20" s="183">
        <f t="shared" ca="1" si="5"/>
        <v>41730</v>
      </c>
      <c r="I20" s="183">
        <f t="shared" ca="1" si="5"/>
        <v>41760</v>
      </c>
      <c r="J20" s="183">
        <f t="shared" ca="1" si="5"/>
        <v>41791</v>
      </c>
      <c r="K20" s="183">
        <f t="shared" ca="1" si="5"/>
        <v>41821</v>
      </c>
      <c r="L20" s="183">
        <f t="shared" ca="1" si="5"/>
        <v>41852</v>
      </c>
      <c r="M20" s="183">
        <f t="shared" ca="1" si="5"/>
        <v>41883</v>
      </c>
      <c r="N20" s="183">
        <f t="shared" ca="1" si="5"/>
        <v>41913</v>
      </c>
      <c r="O20" s="183">
        <f t="shared" ca="1" si="5"/>
        <v>41944</v>
      </c>
      <c r="P20" s="183">
        <f t="shared" ca="1" si="5"/>
        <v>41974</v>
      </c>
      <c r="Q20" s="183">
        <f t="shared" ca="1" si="5"/>
        <v>42005</v>
      </c>
      <c r="R20" s="183">
        <f t="shared" ca="1" si="5"/>
        <v>42036</v>
      </c>
      <c r="S20" s="183">
        <f t="shared" ca="1" si="5"/>
        <v>42064</v>
      </c>
      <c r="T20" s="183">
        <f t="shared" ca="1" si="5"/>
        <v>42095</v>
      </c>
      <c r="U20" s="183">
        <f t="shared" ca="1" si="5"/>
        <v>42125</v>
      </c>
      <c r="V20" s="183">
        <f t="shared" ca="1" si="5"/>
        <v>42156</v>
      </c>
      <c r="W20" s="183">
        <f t="shared" ca="1" si="5"/>
        <v>42186</v>
      </c>
      <c r="X20" s="183">
        <f t="shared" ca="1" si="5"/>
        <v>42217</v>
      </c>
      <c r="Y20" s="183">
        <f t="shared" ca="1" si="5"/>
        <v>42248</v>
      </c>
      <c r="Z20" s="183">
        <f t="shared" ca="1" si="5"/>
        <v>42278</v>
      </c>
      <c r="AA20" s="183">
        <f t="shared" ca="1" si="5"/>
        <v>42309</v>
      </c>
      <c r="AB20" s="183">
        <f t="shared" ca="1" si="5"/>
        <v>42339</v>
      </c>
      <c r="AC20" s="177"/>
    </row>
    <row r="21" spans="2:29" ht="15.75" thickBot="1" x14ac:dyDescent="0.25">
      <c r="B21" s="245"/>
      <c r="C21" s="246"/>
      <c r="D21" s="247"/>
      <c r="E21" s="184">
        <f t="shared" ref="E21" ca="1" si="6">F20-1</f>
        <v>41670</v>
      </c>
      <c r="F21" s="185">
        <f t="shared" ref="F21" ca="1" si="7">G20-1</f>
        <v>41698</v>
      </c>
      <c r="G21" s="185">
        <f t="shared" ref="G21" ca="1" si="8">H20-1</f>
        <v>41729</v>
      </c>
      <c r="H21" s="185">
        <f t="shared" ref="H21" ca="1" si="9">I20-1</f>
        <v>41759</v>
      </c>
      <c r="I21" s="185">
        <f t="shared" ref="I21" ca="1" si="10">J20-1</f>
        <v>41790</v>
      </c>
      <c r="J21" s="185">
        <f t="shared" ref="J21" ca="1" si="11">K20-1</f>
        <v>41820</v>
      </c>
      <c r="K21" s="185">
        <f t="shared" ref="K21" ca="1" si="12">L20-1</f>
        <v>41851</v>
      </c>
      <c r="L21" s="185">
        <f t="shared" ref="L21" ca="1" si="13">M20-1</f>
        <v>41882</v>
      </c>
      <c r="M21" s="185">
        <f t="shared" ref="M21" ca="1" si="14">N20-1</f>
        <v>41912</v>
      </c>
      <c r="N21" s="185">
        <f t="shared" ref="N21" ca="1" si="15">O20-1</f>
        <v>41943</v>
      </c>
      <c r="O21" s="185">
        <f t="shared" ref="O21" ca="1" si="16">P20-1</f>
        <v>41973</v>
      </c>
      <c r="P21" s="185">
        <f t="shared" ref="P21" ca="1" si="17">Q20-1</f>
        <v>42004</v>
      </c>
      <c r="Q21" s="185">
        <f t="shared" ref="Q21" ca="1" si="18">R20-1</f>
        <v>42035</v>
      </c>
      <c r="R21" s="185">
        <f t="shared" ref="R21" ca="1" si="19">S20-1</f>
        <v>42063</v>
      </c>
      <c r="S21" s="185">
        <f t="shared" ref="S21" ca="1" si="20">T20-1</f>
        <v>42094</v>
      </c>
      <c r="T21" s="185">
        <f t="shared" ref="T21" ca="1" si="21">U20-1</f>
        <v>42124</v>
      </c>
      <c r="U21" s="185">
        <f t="shared" ref="U21" ca="1" si="22">V20-1</f>
        <v>42155</v>
      </c>
      <c r="V21" s="185">
        <f t="shared" ref="V21" ca="1" si="23">W20-1</f>
        <v>42185</v>
      </c>
      <c r="W21" s="185">
        <f t="shared" ref="W21" ca="1" si="24">X20-1</f>
        <v>42216</v>
      </c>
      <c r="X21" s="185">
        <f t="shared" ref="X21" ca="1" si="25">Y20-1</f>
        <v>42247</v>
      </c>
      <c r="Y21" s="185">
        <f t="shared" ref="Y21" ca="1" si="26">Z20-1</f>
        <v>42277</v>
      </c>
      <c r="Z21" s="185">
        <f t="shared" ref="Z21" ca="1" si="27">AA20-1</f>
        <v>42308</v>
      </c>
      <c r="AA21" s="185">
        <f t="shared" ref="AA21" ca="1" si="28">AB20-1</f>
        <v>42338</v>
      </c>
      <c r="AB21" s="185">
        <f ca="1">D17</f>
        <v>42369</v>
      </c>
      <c r="AC21" s="177"/>
    </row>
    <row r="22" spans="2:29" ht="15.75" thickBot="1" x14ac:dyDescent="0.25">
      <c r="B22" s="166" t="s">
        <v>0</v>
      </c>
      <c r="C22" s="158" t="s">
        <v>63</v>
      </c>
      <c r="D22" s="167" t="s">
        <v>101</v>
      </c>
      <c r="E22" s="186">
        <f t="shared" ref="E22:AB22" ca="1" si="29">E20</f>
        <v>41640</v>
      </c>
      <c r="F22" s="187">
        <f t="shared" ca="1" si="29"/>
        <v>41671</v>
      </c>
      <c r="G22" s="187">
        <f t="shared" ca="1" si="29"/>
        <v>41699</v>
      </c>
      <c r="H22" s="187">
        <f t="shared" ca="1" si="29"/>
        <v>41730</v>
      </c>
      <c r="I22" s="187">
        <f t="shared" ca="1" si="29"/>
        <v>41760</v>
      </c>
      <c r="J22" s="187">
        <f t="shared" ca="1" si="29"/>
        <v>41791</v>
      </c>
      <c r="K22" s="187">
        <f t="shared" ca="1" si="29"/>
        <v>41821</v>
      </c>
      <c r="L22" s="187">
        <f t="shared" ca="1" si="29"/>
        <v>41852</v>
      </c>
      <c r="M22" s="187">
        <f t="shared" ca="1" si="29"/>
        <v>41883</v>
      </c>
      <c r="N22" s="187">
        <f t="shared" ca="1" si="29"/>
        <v>41913</v>
      </c>
      <c r="O22" s="187">
        <f t="shared" ca="1" si="29"/>
        <v>41944</v>
      </c>
      <c r="P22" s="187">
        <f t="shared" ca="1" si="29"/>
        <v>41974</v>
      </c>
      <c r="Q22" s="187">
        <f t="shared" ca="1" si="29"/>
        <v>42005</v>
      </c>
      <c r="R22" s="187">
        <f t="shared" ca="1" si="29"/>
        <v>42036</v>
      </c>
      <c r="S22" s="187">
        <f t="shared" ca="1" si="29"/>
        <v>42064</v>
      </c>
      <c r="T22" s="187">
        <f t="shared" ca="1" si="29"/>
        <v>42095</v>
      </c>
      <c r="U22" s="187">
        <f t="shared" ca="1" si="29"/>
        <v>42125</v>
      </c>
      <c r="V22" s="187">
        <f t="shared" ca="1" si="29"/>
        <v>42156</v>
      </c>
      <c r="W22" s="187">
        <f t="shared" ca="1" si="29"/>
        <v>42186</v>
      </c>
      <c r="X22" s="187">
        <f t="shared" ca="1" si="29"/>
        <v>42217</v>
      </c>
      <c r="Y22" s="187">
        <f t="shared" ca="1" si="29"/>
        <v>42248</v>
      </c>
      <c r="Z22" s="187">
        <f t="shared" ca="1" si="29"/>
        <v>42278</v>
      </c>
      <c r="AA22" s="187">
        <f t="shared" ca="1" si="29"/>
        <v>42309</v>
      </c>
      <c r="AB22" s="187">
        <f t="shared" ca="1" si="29"/>
        <v>42339</v>
      </c>
      <c r="AC22" s="177"/>
    </row>
    <row r="23" spans="2:29" ht="15.75" thickBot="1" x14ac:dyDescent="0.25">
      <c r="B23" s="168"/>
      <c r="C23" s="169" t="s">
        <v>37</v>
      </c>
      <c r="D23" s="170" t="s">
        <v>66</v>
      </c>
      <c r="E23" s="188">
        <f t="shared" ref="E23:N26" ca="1" si="30">AbraPayable(URL,Username,Password,$D23,E$20,E$21)/1000</f>
        <v>0</v>
      </c>
      <c r="F23" s="188">
        <f t="shared" ca="1" si="30"/>
        <v>0</v>
      </c>
      <c r="G23" s="188">
        <f t="shared" ca="1" si="30"/>
        <v>0</v>
      </c>
      <c r="H23" s="188">
        <f t="shared" ca="1" si="30"/>
        <v>0</v>
      </c>
      <c r="I23" s="188">
        <f t="shared" ca="1" si="30"/>
        <v>0</v>
      </c>
      <c r="J23" s="188">
        <f t="shared" ca="1" si="30"/>
        <v>0</v>
      </c>
      <c r="K23" s="188">
        <f t="shared" ca="1" si="30"/>
        <v>0</v>
      </c>
      <c r="L23" s="188">
        <f t="shared" ca="1" si="30"/>
        <v>0</v>
      </c>
      <c r="M23" s="188">
        <f t="shared" ca="1" si="30"/>
        <v>0</v>
      </c>
      <c r="N23" s="188">
        <f t="shared" ca="1" si="30"/>
        <v>0</v>
      </c>
      <c r="O23" s="188">
        <f t="shared" ref="O23:AB26" ca="1" si="31">AbraPayable(URL,Username,Password,$D23,O$20,O$21)/1000</f>
        <v>0</v>
      </c>
      <c r="P23" s="188">
        <f t="shared" ca="1" si="31"/>
        <v>0</v>
      </c>
      <c r="Q23" s="188">
        <f t="shared" ca="1" si="31"/>
        <v>0</v>
      </c>
      <c r="R23" s="188">
        <f t="shared" ca="1" si="31"/>
        <v>0</v>
      </c>
      <c r="S23" s="188">
        <f t="shared" ca="1" si="31"/>
        <v>0</v>
      </c>
      <c r="T23" s="188">
        <f t="shared" ca="1" si="31"/>
        <v>0</v>
      </c>
      <c r="U23" s="188">
        <f t="shared" ca="1" si="31"/>
        <v>0</v>
      </c>
      <c r="V23" s="188">
        <f t="shared" ca="1" si="31"/>
        <v>0</v>
      </c>
      <c r="W23" s="188">
        <f t="shared" ca="1" si="31"/>
        <v>0</v>
      </c>
      <c r="X23" s="188">
        <f t="shared" ca="1" si="31"/>
        <v>0</v>
      </c>
      <c r="Y23" s="188">
        <f t="shared" ca="1" si="31"/>
        <v>0</v>
      </c>
      <c r="Z23" s="188">
        <f t="shared" ca="1" si="31"/>
        <v>0</v>
      </c>
      <c r="AA23" s="188">
        <f t="shared" ca="1" si="31"/>
        <v>0</v>
      </c>
      <c r="AB23" s="188">
        <f t="shared" ca="1" si="31"/>
        <v>0</v>
      </c>
      <c r="AC23" s="189"/>
    </row>
    <row r="24" spans="2:29" ht="15.75" thickBot="1" x14ac:dyDescent="0.25">
      <c r="B24" s="190"/>
      <c r="C24" s="191" t="s">
        <v>107</v>
      </c>
      <c r="D24" s="192" t="s">
        <v>67</v>
      </c>
      <c r="E24" s="188">
        <f t="shared" ca="1" si="30"/>
        <v>0</v>
      </c>
      <c r="F24" s="188">
        <f t="shared" ca="1" si="30"/>
        <v>0</v>
      </c>
      <c r="G24" s="188">
        <f t="shared" ca="1" si="30"/>
        <v>0</v>
      </c>
      <c r="H24" s="188">
        <f t="shared" ca="1" si="30"/>
        <v>0</v>
      </c>
      <c r="I24" s="188">
        <f t="shared" ca="1" si="30"/>
        <v>0</v>
      </c>
      <c r="J24" s="188">
        <f t="shared" ca="1" si="30"/>
        <v>0</v>
      </c>
      <c r="K24" s="188">
        <f t="shared" ca="1" si="30"/>
        <v>0</v>
      </c>
      <c r="L24" s="188">
        <f t="shared" ca="1" si="30"/>
        <v>0</v>
      </c>
      <c r="M24" s="188">
        <f t="shared" ca="1" si="30"/>
        <v>0</v>
      </c>
      <c r="N24" s="188">
        <f t="shared" ca="1" si="30"/>
        <v>0</v>
      </c>
      <c r="O24" s="188">
        <f t="shared" ca="1" si="31"/>
        <v>0</v>
      </c>
      <c r="P24" s="188">
        <f t="shared" ca="1" si="31"/>
        <v>0</v>
      </c>
      <c r="Q24" s="188">
        <f t="shared" ca="1" si="31"/>
        <v>0</v>
      </c>
      <c r="R24" s="188">
        <f t="shared" ca="1" si="31"/>
        <v>0</v>
      </c>
      <c r="S24" s="188">
        <f t="shared" ca="1" si="31"/>
        <v>0</v>
      </c>
      <c r="T24" s="188">
        <f t="shared" ca="1" si="31"/>
        <v>0</v>
      </c>
      <c r="U24" s="188">
        <f t="shared" ca="1" si="31"/>
        <v>0</v>
      </c>
      <c r="V24" s="188">
        <f t="shared" ca="1" si="31"/>
        <v>0</v>
      </c>
      <c r="W24" s="188">
        <f t="shared" ca="1" si="31"/>
        <v>0</v>
      </c>
      <c r="X24" s="188">
        <f t="shared" ca="1" si="31"/>
        <v>0</v>
      </c>
      <c r="Y24" s="188">
        <f t="shared" ca="1" si="31"/>
        <v>0</v>
      </c>
      <c r="Z24" s="188">
        <f t="shared" ca="1" si="31"/>
        <v>0</v>
      </c>
      <c r="AA24" s="188">
        <f t="shared" ca="1" si="31"/>
        <v>0</v>
      </c>
      <c r="AB24" s="188">
        <f t="shared" ca="1" si="31"/>
        <v>0</v>
      </c>
      <c r="AC24" s="189"/>
    </row>
    <row r="25" spans="2:29" ht="15.75" thickBot="1" x14ac:dyDescent="0.25">
      <c r="B25" s="190"/>
      <c r="C25" s="191" t="s">
        <v>108</v>
      </c>
      <c r="D25" s="192" t="s">
        <v>68</v>
      </c>
      <c r="E25" s="188">
        <f t="shared" ca="1" si="30"/>
        <v>0</v>
      </c>
      <c r="F25" s="188">
        <f t="shared" ca="1" si="30"/>
        <v>0</v>
      </c>
      <c r="G25" s="188">
        <f t="shared" ca="1" si="30"/>
        <v>0</v>
      </c>
      <c r="H25" s="188">
        <f t="shared" ca="1" si="30"/>
        <v>0</v>
      </c>
      <c r="I25" s="188">
        <f t="shared" ca="1" si="30"/>
        <v>0</v>
      </c>
      <c r="J25" s="188">
        <f t="shared" ca="1" si="30"/>
        <v>0</v>
      </c>
      <c r="K25" s="188">
        <f t="shared" ca="1" si="30"/>
        <v>0</v>
      </c>
      <c r="L25" s="188">
        <f t="shared" ca="1" si="30"/>
        <v>0</v>
      </c>
      <c r="M25" s="188">
        <f t="shared" ca="1" si="30"/>
        <v>0</v>
      </c>
      <c r="N25" s="188">
        <f t="shared" ca="1" si="30"/>
        <v>0</v>
      </c>
      <c r="O25" s="188">
        <f t="shared" ca="1" si="31"/>
        <v>0</v>
      </c>
      <c r="P25" s="188">
        <f t="shared" ca="1" si="31"/>
        <v>0</v>
      </c>
      <c r="Q25" s="188">
        <f t="shared" ca="1" si="31"/>
        <v>0</v>
      </c>
      <c r="R25" s="188">
        <f t="shared" ca="1" si="31"/>
        <v>0</v>
      </c>
      <c r="S25" s="188">
        <f t="shared" ca="1" si="31"/>
        <v>0</v>
      </c>
      <c r="T25" s="188">
        <f t="shared" ca="1" si="31"/>
        <v>0</v>
      </c>
      <c r="U25" s="188">
        <f t="shared" ca="1" si="31"/>
        <v>0</v>
      </c>
      <c r="V25" s="188">
        <f t="shared" ca="1" si="31"/>
        <v>0</v>
      </c>
      <c r="W25" s="188">
        <f t="shared" ca="1" si="31"/>
        <v>0</v>
      </c>
      <c r="X25" s="188">
        <f t="shared" ca="1" si="31"/>
        <v>0</v>
      </c>
      <c r="Y25" s="188">
        <f t="shared" ca="1" si="31"/>
        <v>0</v>
      </c>
      <c r="Z25" s="188">
        <f t="shared" ca="1" si="31"/>
        <v>0</v>
      </c>
      <c r="AA25" s="188">
        <f t="shared" ca="1" si="31"/>
        <v>0</v>
      </c>
      <c r="AB25" s="188">
        <f t="shared" ca="1" si="31"/>
        <v>0</v>
      </c>
      <c r="AC25" s="189"/>
    </row>
    <row r="26" spans="2:29" x14ac:dyDescent="0.2">
      <c r="B26" s="171"/>
      <c r="C26" s="172" t="s">
        <v>109</v>
      </c>
      <c r="D26" s="173" t="s">
        <v>69</v>
      </c>
      <c r="E26" s="188">
        <f t="shared" ca="1" si="30"/>
        <v>0</v>
      </c>
      <c r="F26" s="188">
        <f t="shared" ca="1" si="30"/>
        <v>0</v>
      </c>
      <c r="G26" s="188">
        <f t="shared" ca="1" si="30"/>
        <v>0</v>
      </c>
      <c r="H26" s="188">
        <f t="shared" ca="1" si="30"/>
        <v>0</v>
      </c>
      <c r="I26" s="188">
        <f t="shared" ca="1" si="30"/>
        <v>0</v>
      </c>
      <c r="J26" s="188">
        <f t="shared" ca="1" si="30"/>
        <v>0</v>
      </c>
      <c r="K26" s="188">
        <f t="shared" ca="1" si="30"/>
        <v>0</v>
      </c>
      <c r="L26" s="188">
        <f t="shared" ca="1" si="30"/>
        <v>0</v>
      </c>
      <c r="M26" s="188">
        <f t="shared" ca="1" si="30"/>
        <v>0</v>
      </c>
      <c r="N26" s="188">
        <f t="shared" ca="1" si="30"/>
        <v>0</v>
      </c>
      <c r="O26" s="188">
        <f t="shared" ca="1" si="31"/>
        <v>0</v>
      </c>
      <c r="P26" s="188">
        <f t="shared" ca="1" si="31"/>
        <v>0</v>
      </c>
      <c r="Q26" s="188">
        <f t="shared" ca="1" si="31"/>
        <v>0</v>
      </c>
      <c r="R26" s="188">
        <f t="shared" ca="1" si="31"/>
        <v>0</v>
      </c>
      <c r="S26" s="188">
        <f t="shared" ca="1" si="31"/>
        <v>0</v>
      </c>
      <c r="T26" s="188">
        <f t="shared" ca="1" si="31"/>
        <v>0</v>
      </c>
      <c r="U26" s="188">
        <f t="shared" ca="1" si="31"/>
        <v>0</v>
      </c>
      <c r="V26" s="188">
        <f t="shared" ca="1" si="31"/>
        <v>0</v>
      </c>
      <c r="W26" s="188">
        <f t="shared" ca="1" si="31"/>
        <v>0</v>
      </c>
      <c r="X26" s="188">
        <f t="shared" ca="1" si="31"/>
        <v>0</v>
      </c>
      <c r="Y26" s="188">
        <f t="shared" ca="1" si="31"/>
        <v>0</v>
      </c>
      <c r="Z26" s="188">
        <f t="shared" ca="1" si="31"/>
        <v>0</v>
      </c>
      <c r="AA26" s="188">
        <f t="shared" ca="1" si="31"/>
        <v>0</v>
      </c>
      <c r="AB26" s="188">
        <f t="shared" ca="1" si="31"/>
        <v>0</v>
      </c>
      <c r="AC26" s="189"/>
    </row>
    <row r="27" spans="2:29" x14ac:dyDescent="0.2">
      <c r="B27" s="70"/>
      <c r="C27" s="70"/>
      <c r="D27" s="70"/>
      <c r="E27" s="193"/>
      <c r="F27" s="193"/>
      <c r="G27" s="193"/>
      <c r="H27" s="193"/>
      <c r="I27" s="193"/>
      <c r="J27" s="193"/>
      <c r="K27" s="193"/>
      <c r="L27" s="193"/>
      <c r="M27" s="193"/>
      <c r="N27" s="193"/>
      <c r="O27" s="193"/>
      <c r="P27" s="193"/>
      <c r="Q27" s="193"/>
      <c r="R27" s="193"/>
      <c r="S27" s="193"/>
      <c r="T27" s="193"/>
      <c r="U27" s="193"/>
      <c r="V27" s="193"/>
      <c r="W27" s="193"/>
      <c r="X27" s="193"/>
      <c r="Y27" s="193"/>
      <c r="Z27" s="193"/>
      <c r="AA27" s="193"/>
      <c r="AB27" s="193"/>
    </row>
    <row r="28" spans="2:29" x14ac:dyDescent="0.2">
      <c r="B28" s="70"/>
      <c r="C28" s="70"/>
      <c r="D28" s="70"/>
      <c r="E28" s="193"/>
      <c r="F28" s="193"/>
      <c r="G28" s="193"/>
      <c r="H28" s="193"/>
      <c r="I28" s="193"/>
      <c r="J28" s="193"/>
      <c r="K28" s="193"/>
      <c r="L28" s="193"/>
      <c r="M28" s="193"/>
      <c r="N28" s="193"/>
      <c r="O28" s="193"/>
      <c r="P28" s="193"/>
      <c r="Q28" s="193"/>
      <c r="R28" s="193"/>
      <c r="S28" s="193"/>
      <c r="T28" s="193"/>
      <c r="U28" s="193"/>
      <c r="V28" s="193"/>
      <c r="W28" s="193"/>
      <c r="X28" s="193"/>
      <c r="Y28" s="193"/>
      <c r="Z28" s="193"/>
      <c r="AA28" s="193"/>
      <c r="AB28" s="193"/>
    </row>
    <row r="30" spans="2:29" x14ac:dyDescent="0.2">
      <c r="B30" s="194"/>
      <c r="C30" s="194"/>
    </row>
    <row r="32" spans="2:29" x14ac:dyDescent="0.2">
      <c r="B32" s="195"/>
      <c r="C32" s="195"/>
    </row>
    <row r="33" spans="2:3" x14ac:dyDescent="0.2">
      <c r="B33" s="195"/>
      <c r="C33" s="195"/>
    </row>
    <row r="34" spans="2:3" x14ac:dyDescent="0.2">
      <c r="B34" s="195"/>
      <c r="C34" s="195"/>
    </row>
    <row r="35" spans="2:3" x14ac:dyDescent="0.2">
      <c r="B35" s="195"/>
      <c r="C35" s="195"/>
    </row>
  </sheetData>
  <mergeCells count="2">
    <mergeCell ref="B6:D7"/>
    <mergeCell ref="B20:D21"/>
  </mergeCells>
  <pageMargins left="0.7" right="0.7" top="0.78740157499999996" bottom="0.78740157499999996" header="0.3" footer="0.3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List9"/>
  <dimension ref="A1:GI36"/>
  <sheetViews>
    <sheetView zoomScale="40" zoomScaleNormal="40" zoomScalePageLayoutView="130" workbookViewId="0">
      <selection activeCell="AJ67" sqref="AJ67"/>
    </sheetView>
  </sheetViews>
  <sheetFormatPr defaultColWidth="9.140625" defaultRowHeight="15" outlineLevelCol="1" x14ac:dyDescent="0.2"/>
  <cols>
    <col min="1" max="1" width="1.7109375" style="41" customWidth="1"/>
    <col min="2" max="2" width="30.28515625" style="72" bestFit="1" customWidth="1"/>
    <col min="3" max="3" width="30.28515625" style="72" customWidth="1"/>
    <col min="4" max="4" width="12.7109375" style="72" customWidth="1"/>
    <col min="5" max="7" width="12.7109375" style="73" customWidth="1"/>
    <col min="8" max="21" width="12.7109375" style="73" hidden="1" customWidth="1" outlineLevel="1"/>
    <col min="22" max="22" width="12.7109375" style="74" hidden="1" customWidth="1" outlineLevel="1"/>
    <col min="23" max="27" width="12.7109375" style="75" hidden="1" customWidth="1" outlineLevel="1"/>
    <col min="28" max="28" width="12.7109375" style="73" hidden="1" customWidth="1" outlineLevel="1"/>
    <col min="29" max="29" width="9.140625" style="73" collapsed="1"/>
    <col min="30" max="191" width="9.140625" style="73"/>
    <col min="192" max="16384" width="9.140625" style="94"/>
  </cols>
  <sheetData>
    <row r="1" spans="1:30" ht="10.35" customHeight="1" thickBot="1" x14ac:dyDescent="0.25"/>
    <row r="2" spans="1:30" ht="15" customHeight="1" x14ac:dyDescent="0.2">
      <c r="B2" s="95" t="s">
        <v>116</v>
      </c>
      <c r="C2" s="87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6"/>
      <c r="R2" s="96"/>
      <c r="S2" s="96"/>
      <c r="T2" s="96"/>
      <c r="U2" s="96"/>
      <c r="V2" s="96"/>
      <c r="W2" s="96"/>
      <c r="X2" s="96"/>
      <c r="Y2" s="96"/>
      <c r="Z2" s="96"/>
      <c r="AA2" s="96"/>
      <c r="AB2" s="96"/>
    </row>
    <row r="3" spans="1:30" ht="15" customHeight="1" x14ac:dyDescent="0.2">
      <c r="B3" s="40" t="s">
        <v>115</v>
      </c>
      <c r="C3" s="38" t="s">
        <v>106</v>
      </c>
      <c r="D3" s="27">
        <v>39447</v>
      </c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8"/>
      <c r="V3" s="98"/>
      <c r="W3" s="98"/>
      <c r="X3" s="98"/>
      <c r="Y3" s="98"/>
      <c r="Z3" s="98"/>
      <c r="AA3" s="98"/>
      <c r="AB3" s="98"/>
    </row>
    <row r="4" spans="1:30" ht="15" customHeight="1" x14ac:dyDescent="0.2">
      <c r="B4" s="101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30" ht="15" customHeight="1" thickBot="1" x14ac:dyDescent="0.25">
      <c r="B5" s="102"/>
      <c r="C5" s="103"/>
      <c r="D5" s="103"/>
      <c r="E5" s="98"/>
      <c r="F5" s="98"/>
      <c r="G5" s="98"/>
      <c r="H5" s="98"/>
      <c r="I5" s="98"/>
      <c r="J5" s="98"/>
      <c r="K5" s="98"/>
      <c r="L5" s="98"/>
      <c r="M5" s="98"/>
      <c r="N5" s="98"/>
      <c r="O5" s="98"/>
      <c r="P5" s="98"/>
      <c r="Q5" s="98"/>
      <c r="R5" s="98"/>
      <c r="S5" s="98"/>
      <c r="T5" s="98"/>
      <c r="U5" s="98"/>
      <c r="V5" s="98"/>
      <c r="W5" s="98"/>
      <c r="X5" s="98"/>
      <c r="Y5" s="98"/>
      <c r="Z5" s="98"/>
      <c r="AA5" s="98"/>
      <c r="AB5" s="98"/>
    </row>
    <row r="6" spans="1:30" s="49" customFormat="1" ht="15" customHeight="1" x14ac:dyDescent="0.2">
      <c r="A6" s="47"/>
      <c r="B6" s="235"/>
      <c r="C6" s="240"/>
      <c r="D6" s="236"/>
      <c r="E6" s="54">
        <f ca="1">E7-IF(MONTH(E7)=2,IF(OR(YEAR(E7)=2008,YEAR(E7)=2012,YEAR(E7)=2016),29,28),IF(OR(MONTH(E7)=4,MONTH(E7)=6,MONTH(E7)=9,MONTH(E7)=11),30,31))+1</f>
        <v>38718</v>
      </c>
      <c r="F6" s="55">
        <f t="shared" ref="F6:AB6" ca="1" si="0">F7-IF(MONTH(F7)=2,IF(OR(YEAR(F7)=2008,YEAR(F7)=2012,YEAR(F7)=2016),29,28),IF(OR(MONTH(F7)=4,MONTH(F7)=6,MONTH(F7)=9,MONTH(F7)=11),30,31))+1</f>
        <v>38749</v>
      </c>
      <c r="G6" s="55">
        <f t="shared" ca="1" si="0"/>
        <v>38777</v>
      </c>
      <c r="H6" s="55">
        <f t="shared" ca="1" si="0"/>
        <v>38808</v>
      </c>
      <c r="I6" s="55">
        <f t="shared" ca="1" si="0"/>
        <v>38838</v>
      </c>
      <c r="J6" s="55">
        <f t="shared" ca="1" si="0"/>
        <v>38869</v>
      </c>
      <c r="K6" s="55">
        <f t="shared" ca="1" si="0"/>
        <v>38899</v>
      </c>
      <c r="L6" s="55">
        <f t="shared" ca="1" si="0"/>
        <v>38930</v>
      </c>
      <c r="M6" s="55">
        <f t="shared" ca="1" si="0"/>
        <v>38961</v>
      </c>
      <c r="N6" s="55">
        <f t="shared" ca="1" si="0"/>
        <v>38991</v>
      </c>
      <c r="O6" s="55">
        <f t="shared" ca="1" si="0"/>
        <v>39022</v>
      </c>
      <c r="P6" s="55">
        <f t="shared" ca="1" si="0"/>
        <v>39052</v>
      </c>
      <c r="Q6" s="55">
        <f t="shared" ca="1" si="0"/>
        <v>39083</v>
      </c>
      <c r="R6" s="55">
        <f t="shared" ca="1" si="0"/>
        <v>39114</v>
      </c>
      <c r="S6" s="55">
        <f t="shared" ca="1" si="0"/>
        <v>39142</v>
      </c>
      <c r="T6" s="55">
        <f t="shared" ca="1" si="0"/>
        <v>39173</v>
      </c>
      <c r="U6" s="55">
        <f t="shared" ca="1" si="0"/>
        <v>39203</v>
      </c>
      <c r="V6" s="55">
        <f t="shared" ca="1" si="0"/>
        <v>39234</v>
      </c>
      <c r="W6" s="55">
        <f t="shared" ca="1" si="0"/>
        <v>39264</v>
      </c>
      <c r="X6" s="55">
        <f t="shared" ca="1" si="0"/>
        <v>39295</v>
      </c>
      <c r="Y6" s="55">
        <f t="shared" ca="1" si="0"/>
        <v>39326</v>
      </c>
      <c r="Z6" s="55">
        <f t="shared" ca="1" si="0"/>
        <v>39356</v>
      </c>
      <c r="AA6" s="55">
        <f t="shared" ca="1" si="0"/>
        <v>39387</v>
      </c>
      <c r="AB6" s="55">
        <f t="shared" ca="1" si="0"/>
        <v>39417</v>
      </c>
    </row>
    <row r="7" spans="1:30" s="49" customFormat="1" ht="15" customHeight="1" thickBot="1" x14ac:dyDescent="0.25">
      <c r="A7" s="47"/>
      <c r="B7" s="237"/>
      <c r="C7" s="241"/>
      <c r="D7" s="238"/>
      <c r="E7" s="56">
        <f t="shared" ref="E7:AA7" ca="1" si="1">F6-1</f>
        <v>38748</v>
      </c>
      <c r="F7" s="57">
        <f t="shared" ca="1" si="1"/>
        <v>38776</v>
      </c>
      <c r="G7" s="57">
        <f t="shared" ca="1" si="1"/>
        <v>38807</v>
      </c>
      <c r="H7" s="57">
        <f t="shared" ca="1" si="1"/>
        <v>38837</v>
      </c>
      <c r="I7" s="57">
        <f t="shared" ca="1" si="1"/>
        <v>38868</v>
      </c>
      <c r="J7" s="57">
        <f t="shared" ca="1" si="1"/>
        <v>38898</v>
      </c>
      <c r="K7" s="57">
        <f t="shared" ca="1" si="1"/>
        <v>38929</v>
      </c>
      <c r="L7" s="57">
        <f t="shared" ca="1" si="1"/>
        <v>38960</v>
      </c>
      <c r="M7" s="57">
        <f t="shared" ca="1" si="1"/>
        <v>38990</v>
      </c>
      <c r="N7" s="57">
        <f t="shared" ca="1" si="1"/>
        <v>39021</v>
      </c>
      <c r="O7" s="57">
        <f t="shared" ca="1" si="1"/>
        <v>39051</v>
      </c>
      <c r="P7" s="57">
        <f t="shared" ca="1" si="1"/>
        <v>39082</v>
      </c>
      <c r="Q7" s="57">
        <f t="shared" ca="1" si="1"/>
        <v>39113</v>
      </c>
      <c r="R7" s="57">
        <f t="shared" ca="1" si="1"/>
        <v>39141</v>
      </c>
      <c r="S7" s="57">
        <f t="shared" ca="1" si="1"/>
        <v>39172</v>
      </c>
      <c r="T7" s="57">
        <f t="shared" ca="1" si="1"/>
        <v>39202</v>
      </c>
      <c r="U7" s="57">
        <f t="shared" ca="1" si="1"/>
        <v>39233</v>
      </c>
      <c r="V7" s="57">
        <f t="shared" ca="1" si="1"/>
        <v>39263</v>
      </c>
      <c r="W7" s="57">
        <f t="shared" ca="1" si="1"/>
        <v>39294</v>
      </c>
      <c r="X7" s="57">
        <f t="shared" ca="1" si="1"/>
        <v>39325</v>
      </c>
      <c r="Y7" s="57">
        <f t="shared" ca="1" si="1"/>
        <v>39355</v>
      </c>
      <c r="Z7" s="57">
        <f t="shared" ca="1" si="1"/>
        <v>39386</v>
      </c>
      <c r="AA7" s="57">
        <f t="shared" ca="1" si="1"/>
        <v>39416</v>
      </c>
      <c r="AB7" s="57">
        <f ca="1">D3</f>
        <v>39447</v>
      </c>
    </row>
    <row r="8" spans="1:30" s="49" customFormat="1" ht="15" customHeight="1" thickBot="1" x14ac:dyDescent="0.25">
      <c r="B8" s="31" t="s">
        <v>0</v>
      </c>
      <c r="C8" s="157" t="s">
        <v>63</v>
      </c>
      <c r="D8" s="32" t="s">
        <v>101</v>
      </c>
      <c r="E8" s="223">
        <f t="shared" ref="E8:AB8" ca="1" si="2">E6</f>
        <v>38718</v>
      </c>
      <c r="F8" s="59">
        <f t="shared" ca="1" si="2"/>
        <v>38749</v>
      </c>
      <c r="G8" s="59">
        <f t="shared" ca="1" si="2"/>
        <v>38777</v>
      </c>
      <c r="H8" s="60">
        <f t="shared" ca="1" si="2"/>
        <v>38808</v>
      </c>
      <c r="I8" s="60">
        <f t="shared" ca="1" si="2"/>
        <v>38838</v>
      </c>
      <c r="J8" s="60">
        <f t="shared" ca="1" si="2"/>
        <v>38869</v>
      </c>
      <c r="K8" s="60">
        <f t="shared" ca="1" si="2"/>
        <v>38899</v>
      </c>
      <c r="L8" s="60">
        <f t="shared" ca="1" si="2"/>
        <v>38930</v>
      </c>
      <c r="M8" s="60">
        <f t="shared" ca="1" si="2"/>
        <v>38961</v>
      </c>
      <c r="N8" s="60">
        <f t="shared" ca="1" si="2"/>
        <v>38991</v>
      </c>
      <c r="O8" s="60">
        <f t="shared" ca="1" si="2"/>
        <v>39022</v>
      </c>
      <c r="P8" s="60">
        <f t="shared" ca="1" si="2"/>
        <v>39052</v>
      </c>
      <c r="Q8" s="60">
        <f t="shared" ca="1" si="2"/>
        <v>39083</v>
      </c>
      <c r="R8" s="60">
        <f t="shared" ca="1" si="2"/>
        <v>39114</v>
      </c>
      <c r="S8" s="60">
        <f t="shared" ca="1" si="2"/>
        <v>39142</v>
      </c>
      <c r="T8" s="60">
        <f t="shared" ca="1" si="2"/>
        <v>39173</v>
      </c>
      <c r="U8" s="60">
        <f t="shared" ca="1" si="2"/>
        <v>39203</v>
      </c>
      <c r="V8" s="60">
        <f t="shared" ca="1" si="2"/>
        <v>39234</v>
      </c>
      <c r="W8" s="60">
        <f t="shared" ca="1" si="2"/>
        <v>39264</v>
      </c>
      <c r="X8" s="60">
        <f t="shared" ca="1" si="2"/>
        <v>39295</v>
      </c>
      <c r="Y8" s="60">
        <f t="shared" ca="1" si="2"/>
        <v>39326</v>
      </c>
      <c r="Z8" s="60">
        <f t="shared" ca="1" si="2"/>
        <v>39356</v>
      </c>
      <c r="AA8" s="60">
        <f t="shared" ca="1" si="2"/>
        <v>39387</v>
      </c>
      <c r="AB8" s="60">
        <f t="shared" ca="1" si="2"/>
        <v>39417</v>
      </c>
    </row>
    <row r="9" spans="1:30" ht="15" customHeight="1" x14ac:dyDescent="0.2">
      <c r="B9" s="61"/>
      <c r="C9" s="61" t="s">
        <v>75</v>
      </c>
      <c r="D9" s="221" t="s">
        <v>53</v>
      </c>
      <c r="E9" s="217">
        <f t="shared" ref="E9:T10" ca="1" si="3">AbraDepreciation(URL,Username,Password,$D9,E$6,E$7)/1000</f>
        <v>14.693</v>
      </c>
      <c r="F9" s="222">
        <f t="shared" ca="1" si="3"/>
        <v>14.693</v>
      </c>
      <c r="G9" s="213">
        <f t="shared" ca="1" si="3"/>
        <v>14.692</v>
      </c>
      <c r="H9" s="213">
        <f t="shared" ca="1" si="3"/>
        <v>14.692</v>
      </c>
      <c r="I9" s="213">
        <f t="shared" ca="1" si="3"/>
        <v>14.692</v>
      </c>
      <c r="J9" s="213">
        <f t="shared" ca="1" si="3"/>
        <v>14.692</v>
      </c>
      <c r="K9" s="213">
        <f t="shared" ca="1" si="3"/>
        <v>14.691000000000001</v>
      </c>
      <c r="L9" s="213">
        <f t="shared" ca="1" si="3"/>
        <v>14.691000000000001</v>
      </c>
      <c r="M9" s="213">
        <f t="shared" ca="1" si="3"/>
        <v>14.691000000000001</v>
      </c>
      <c r="N9" s="213">
        <f t="shared" ca="1" si="3"/>
        <v>14.691000000000001</v>
      </c>
      <c r="O9" s="213">
        <f t="shared" ca="1" si="3"/>
        <v>14.691000000000001</v>
      </c>
      <c r="P9" s="213">
        <f t="shared" ca="1" si="3"/>
        <v>14.691000000000001</v>
      </c>
      <c r="Q9" s="213">
        <f t="shared" ca="1" si="3"/>
        <v>12.766</v>
      </c>
      <c r="R9" s="213">
        <f t="shared" ca="1" si="3"/>
        <v>12.766</v>
      </c>
      <c r="S9" s="213">
        <f t="shared" ca="1" si="3"/>
        <v>12.766</v>
      </c>
      <c r="T9" s="213">
        <f t="shared" ca="1" si="3"/>
        <v>12.765000000000001</v>
      </c>
      <c r="U9" s="213">
        <f t="shared" ref="U9:AB9" ca="1" si="4">AbraDepreciation(URL,Username,Password,$D9,U$6,U$7)/1000</f>
        <v>12.763999999999999</v>
      </c>
      <c r="V9" s="213">
        <f t="shared" ca="1" si="4"/>
        <v>12.763999999999999</v>
      </c>
      <c r="W9" s="213">
        <f t="shared" ca="1" si="4"/>
        <v>12.763999999999999</v>
      </c>
      <c r="X9" s="213">
        <f t="shared" ca="1" si="4"/>
        <v>12.763999999999999</v>
      </c>
      <c r="Y9" s="213">
        <f t="shared" ca="1" si="4"/>
        <v>12.763999999999999</v>
      </c>
      <c r="Z9" s="213">
        <f t="shared" ca="1" si="4"/>
        <v>12.763999999999999</v>
      </c>
      <c r="AA9" s="213">
        <f t="shared" ca="1" si="4"/>
        <v>12.763999999999999</v>
      </c>
      <c r="AB9" s="213">
        <f t="shared" ca="1" si="4"/>
        <v>12.763999999999999</v>
      </c>
      <c r="AC9" s="49"/>
      <c r="AD9" s="49"/>
    </row>
    <row r="10" spans="1:30" ht="15" customHeight="1" thickBot="1" x14ac:dyDescent="0.25">
      <c r="B10" s="65"/>
      <c r="C10" s="65" t="s">
        <v>76</v>
      </c>
      <c r="D10" s="67" t="s">
        <v>66</v>
      </c>
      <c r="E10" s="196">
        <f t="shared" ca="1" si="3"/>
        <v>14.693</v>
      </c>
      <c r="F10" s="196">
        <f t="shared" ca="1" si="3"/>
        <v>14.693</v>
      </c>
      <c r="G10" s="196">
        <f t="shared" ca="1" si="3"/>
        <v>14.692</v>
      </c>
      <c r="H10" s="196">
        <f t="shared" ca="1" si="3"/>
        <v>14.692</v>
      </c>
      <c r="I10" s="196">
        <f t="shared" ca="1" si="3"/>
        <v>14.692</v>
      </c>
      <c r="J10" s="196">
        <f t="shared" ca="1" si="3"/>
        <v>14.692</v>
      </c>
      <c r="K10" s="196">
        <f t="shared" ca="1" si="3"/>
        <v>14.691000000000001</v>
      </c>
      <c r="L10" s="196">
        <f t="shared" ca="1" si="3"/>
        <v>14.691000000000001</v>
      </c>
      <c r="M10" s="196">
        <f t="shared" ca="1" si="3"/>
        <v>14.691000000000001</v>
      </c>
      <c r="N10" s="196">
        <f t="shared" ca="1" si="3"/>
        <v>14.691000000000001</v>
      </c>
      <c r="O10" s="196">
        <f t="shared" ref="O10:AB10" ca="1" si="5">AbraDepreciation(URL,Username,Password,$D10,O$6,O$7)/1000</f>
        <v>14.691000000000001</v>
      </c>
      <c r="P10" s="196">
        <f t="shared" ca="1" si="5"/>
        <v>14.691000000000001</v>
      </c>
      <c r="Q10" s="196">
        <f t="shared" ca="1" si="5"/>
        <v>12.766</v>
      </c>
      <c r="R10" s="196">
        <f t="shared" ca="1" si="5"/>
        <v>12.766</v>
      </c>
      <c r="S10" s="196">
        <f t="shared" ca="1" si="5"/>
        <v>12.766</v>
      </c>
      <c r="T10" s="196">
        <f t="shared" ca="1" si="5"/>
        <v>12.765000000000001</v>
      </c>
      <c r="U10" s="196">
        <f t="shared" ca="1" si="5"/>
        <v>12.763999999999999</v>
      </c>
      <c r="V10" s="196">
        <f t="shared" ca="1" si="5"/>
        <v>12.763999999999999</v>
      </c>
      <c r="W10" s="196">
        <f t="shared" ca="1" si="5"/>
        <v>12.763999999999999</v>
      </c>
      <c r="X10" s="196">
        <f t="shared" ca="1" si="5"/>
        <v>12.763999999999999</v>
      </c>
      <c r="Y10" s="196">
        <f t="shared" ca="1" si="5"/>
        <v>12.763999999999999</v>
      </c>
      <c r="Z10" s="196">
        <f t="shared" ca="1" si="5"/>
        <v>12.763999999999999</v>
      </c>
      <c r="AA10" s="196">
        <f t="shared" ca="1" si="5"/>
        <v>12.763999999999999</v>
      </c>
      <c r="AB10" s="196">
        <f t="shared" ca="1" si="5"/>
        <v>12.763999999999999</v>
      </c>
    </row>
    <row r="11" spans="1:30" ht="15" customHeight="1" thickBot="1" x14ac:dyDescent="0.25">
      <c r="B11" s="229" t="s">
        <v>70</v>
      </c>
      <c r="C11" s="239"/>
      <c r="D11" s="230"/>
      <c r="E11" s="68">
        <f ca="1">E9-E10</f>
        <v>0</v>
      </c>
      <c r="F11" s="68">
        <f t="shared" ref="F11:AB11" ca="1" si="6">F9-F10</f>
        <v>0</v>
      </c>
      <c r="G11" s="68">
        <f t="shared" ca="1" si="6"/>
        <v>0</v>
      </c>
      <c r="H11" s="68">
        <f t="shared" ca="1" si="6"/>
        <v>0</v>
      </c>
      <c r="I11" s="68">
        <f t="shared" ca="1" si="6"/>
        <v>0</v>
      </c>
      <c r="J11" s="68">
        <f t="shared" ca="1" si="6"/>
        <v>0</v>
      </c>
      <c r="K11" s="68">
        <f t="shared" ca="1" si="6"/>
        <v>0</v>
      </c>
      <c r="L11" s="68">
        <f t="shared" ca="1" si="6"/>
        <v>0</v>
      </c>
      <c r="M11" s="68">
        <f t="shared" ca="1" si="6"/>
        <v>0</v>
      </c>
      <c r="N11" s="68">
        <f t="shared" ca="1" si="6"/>
        <v>0</v>
      </c>
      <c r="O11" s="68">
        <f t="shared" ca="1" si="6"/>
        <v>0</v>
      </c>
      <c r="P11" s="68">
        <f t="shared" ca="1" si="6"/>
        <v>0</v>
      </c>
      <c r="Q11" s="68">
        <f t="shared" ca="1" si="6"/>
        <v>0</v>
      </c>
      <c r="R11" s="68">
        <f t="shared" ca="1" si="6"/>
        <v>0</v>
      </c>
      <c r="S11" s="68">
        <f t="shared" ca="1" si="6"/>
        <v>0</v>
      </c>
      <c r="T11" s="68">
        <f t="shared" ca="1" si="6"/>
        <v>0</v>
      </c>
      <c r="U11" s="68">
        <f t="shared" ca="1" si="6"/>
        <v>0</v>
      </c>
      <c r="V11" s="68">
        <f t="shared" ca="1" si="6"/>
        <v>0</v>
      </c>
      <c r="W11" s="68">
        <f t="shared" ca="1" si="6"/>
        <v>0</v>
      </c>
      <c r="X11" s="68">
        <f t="shared" ca="1" si="6"/>
        <v>0</v>
      </c>
      <c r="Y11" s="68">
        <f t="shared" ca="1" si="6"/>
        <v>0</v>
      </c>
      <c r="Z11" s="68">
        <f t="shared" ca="1" si="6"/>
        <v>0</v>
      </c>
      <c r="AA11" s="68">
        <f t="shared" ca="1" si="6"/>
        <v>0</v>
      </c>
      <c r="AB11" s="68">
        <f t="shared" ca="1" si="6"/>
        <v>0</v>
      </c>
    </row>
    <row r="12" spans="1:30" ht="15" customHeight="1" x14ac:dyDescent="0.2">
      <c r="B12" s="70"/>
      <c r="C12" s="70"/>
      <c r="D12" s="70"/>
      <c r="E12" s="71"/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  <c r="U12" s="71"/>
      <c r="V12" s="71"/>
      <c r="W12" s="71"/>
      <c r="X12" s="71"/>
      <c r="Y12" s="71"/>
      <c r="Z12" s="71"/>
      <c r="AA12" s="71"/>
      <c r="AB12" s="71"/>
    </row>
    <row r="13" spans="1:30" ht="15.75" thickBot="1" x14ac:dyDescent="0.25"/>
    <row r="14" spans="1:30" x14ac:dyDescent="0.2">
      <c r="B14" s="95" t="s">
        <v>117</v>
      </c>
      <c r="C14" s="87"/>
      <c r="D14" s="96"/>
      <c r="E14" s="96"/>
      <c r="F14" s="96"/>
      <c r="G14" s="96"/>
      <c r="H14" s="96"/>
      <c r="I14" s="96"/>
      <c r="J14" s="96"/>
      <c r="K14" s="96"/>
      <c r="L14" s="96"/>
      <c r="M14" s="96"/>
      <c r="N14" s="96"/>
      <c r="O14" s="96"/>
      <c r="P14" s="96"/>
      <c r="Q14" s="96"/>
      <c r="R14" s="96"/>
      <c r="S14" s="96"/>
      <c r="T14" s="96"/>
      <c r="U14" s="96"/>
      <c r="V14" s="96"/>
      <c r="W14" s="96"/>
      <c r="X14" s="96"/>
      <c r="Y14" s="96"/>
      <c r="Z14" s="96"/>
      <c r="AA14" s="96"/>
      <c r="AB14" s="96"/>
    </row>
    <row r="15" spans="1:30" x14ac:dyDescent="0.2">
      <c r="B15" s="40" t="s">
        <v>115</v>
      </c>
      <c r="C15" s="38" t="s">
        <v>106</v>
      </c>
      <c r="D15" s="27">
        <v>39447</v>
      </c>
      <c r="E15" s="98"/>
      <c r="F15" s="98"/>
      <c r="G15" s="98"/>
      <c r="H15" s="98"/>
      <c r="I15" s="98"/>
      <c r="J15" s="98"/>
      <c r="K15" s="98"/>
      <c r="L15" s="98"/>
      <c r="M15" s="98"/>
      <c r="N15" s="98"/>
      <c r="O15" s="98"/>
      <c r="P15" s="98"/>
      <c r="Q15" s="98"/>
      <c r="R15" s="98"/>
      <c r="S15" s="98"/>
      <c r="T15" s="98"/>
      <c r="U15" s="98"/>
      <c r="V15" s="98"/>
      <c r="W15" s="98"/>
      <c r="X15" s="98"/>
      <c r="Y15" s="98"/>
      <c r="Z15" s="98"/>
      <c r="AA15" s="98"/>
      <c r="AB15" s="98"/>
    </row>
    <row r="16" spans="1:30" x14ac:dyDescent="0.2">
      <c r="B16" s="101"/>
      <c r="C16" s="98"/>
      <c r="D16" s="98"/>
      <c r="E16" s="98"/>
      <c r="F16" s="98"/>
      <c r="G16" s="98"/>
      <c r="H16" s="98"/>
      <c r="I16" s="98"/>
      <c r="J16" s="98"/>
      <c r="K16" s="98"/>
      <c r="L16" s="98"/>
      <c r="M16" s="98"/>
      <c r="N16" s="98"/>
      <c r="O16" s="98"/>
      <c r="P16" s="98"/>
      <c r="Q16" s="98"/>
      <c r="R16" s="98"/>
      <c r="S16" s="98"/>
      <c r="T16" s="98"/>
      <c r="U16" s="98"/>
      <c r="V16" s="98"/>
      <c r="W16" s="98"/>
      <c r="X16" s="98"/>
      <c r="Y16" s="98"/>
      <c r="Z16" s="98"/>
      <c r="AA16" s="98"/>
      <c r="AB16" s="98"/>
    </row>
    <row r="17" spans="2:29" ht="15.75" thickBot="1" x14ac:dyDescent="0.25">
      <c r="B17" s="102"/>
      <c r="C17" s="103"/>
      <c r="D17" s="103"/>
      <c r="E17" s="98"/>
      <c r="F17" s="98"/>
      <c r="G17" s="98"/>
      <c r="H17" s="98"/>
      <c r="I17" s="98"/>
      <c r="J17" s="98"/>
      <c r="K17" s="98"/>
      <c r="L17" s="98"/>
      <c r="M17" s="98"/>
      <c r="N17" s="98"/>
      <c r="O17" s="98"/>
      <c r="P17" s="98"/>
      <c r="Q17" s="98"/>
      <c r="R17" s="98"/>
      <c r="S17" s="98"/>
      <c r="T17" s="98"/>
      <c r="U17" s="98"/>
      <c r="V17" s="98"/>
      <c r="W17" s="98"/>
      <c r="X17" s="98"/>
      <c r="Y17" s="98"/>
      <c r="Z17" s="98"/>
      <c r="AA17" s="98"/>
      <c r="AB17" s="98"/>
    </row>
    <row r="18" spans="2:29" x14ac:dyDescent="0.2">
      <c r="B18" s="235"/>
      <c r="C18" s="240"/>
      <c r="D18" s="236"/>
      <c r="E18" s="54">
        <f ca="1">E19-IF(MONTH(E19)=2,IF(OR(YEAR(E19)=2008,YEAR(E19)=2012,YEAR(E19)=2016),29,28),IF(OR(MONTH(E19)=4,MONTH(E19)=6,MONTH(E19)=9,MONTH(E19)=11),30,31))+1</f>
        <v>38718</v>
      </c>
      <c r="F18" s="55">
        <f t="shared" ref="F18:AB18" ca="1" si="7">F19-IF(MONTH(F19)=2,IF(OR(YEAR(F19)=2008,YEAR(F19)=2012,YEAR(F19)=2016),29,28),IF(OR(MONTH(F19)=4,MONTH(F19)=6,MONTH(F19)=9,MONTH(F19)=11),30,31))+1</f>
        <v>38749</v>
      </c>
      <c r="G18" s="55">
        <f t="shared" ca="1" si="7"/>
        <v>38777</v>
      </c>
      <c r="H18" s="55">
        <f t="shared" ca="1" si="7"/>
        <v>38808</v>
      </c>
      <c r="I18" s="55">
        <f t="shared" ca="1" si="7"/>
        <v>38838</v>
      </c>
      <c r="J18" s="55">
        <f t="shared" ca="1" si="7"/>
        <v>38869</v>
      </c>
      <c r="K18" s="55">
        <f t="shared" ca="1" si="7"/>
        <v>38899</v>
      </c>
      <c r="L18" s="55">
        <f t="shared" ca="1" si="7"/>
        <v>38930</v>
      </c>
      <c r="M18" s="55">
        <f t="shared" ca="1" si="7"/>
        <v>38961</v>
      </c>
      <c r="N18" s="55">
        <f t="shared" ca="1" si="7"/>
        <v>38991</v>
      </c>
      <c r="O18" s="55">
        <f t="shared" ca="1" si="7"/>
        <v>39022</v>
      </c>
      <c r="P18" s="55">
        <f t="shared" ca="1" si="7"/>
        <v>39052</v>
      </c>
      <c r="Q18" s="55">
        <f t="shared" ca="1" si="7"/>
        <v>39083</v>
      </c>
      <c r="R18" s="55">
        <f t="shared" ca="1" si="7"/>
        <v>39114</v>
      </c>
      <c r="S18" s="55">
        <f t="shared" ca="1" si="7"/>
        <v>39142</v>
      </c>
      <c r="T18" s="55">
        <f t="shared" ca="1" si="7"/>
        <v>39173</v>
      </c>
      <c r="U18" s="55">
        <f t="shared" ca="1" si="7"/>
        <v>39203</v>
      </c>
      <c r="V18" s="55">
        <f t="shared" ca="1" si="7"/>
        <v>39234</v>
      </c>
      <c r="W18" s="55">
        <f t="shared" ca="1" si="7"/>
        <v>39264</v>
      </c>
      <c r="X18" s="55">
        <f t="shared" ca="1" si="7"/>
        <v>39295</v>
      </c>
      <c r="Y18" s="55">
        <f t="shared" ca="1" si="7"/>
        <v>39326</v>
      </c>
      <c r="Z18" s="55">
        <f t="shared" ca="1" si="7"/>
        <v>39356</v>
      </c>
      <c r="AA18" s="55">
        <f t="shared" ca="1" si="7"/>
        <v>39387</v>
      </c>
      <c r="AB18" s="55">
        <f t="shared" ca="1" si="7"/>
        <v>39417</v>
      </c>
    </row>
    <row r="19" spans="2:29" ht="15.75" thickBot="1" x14ac:dyDescent="0.25">
      <c r="B19" s="237"/>
      <c r="C19" s="241"/>
      <c r="D19" s="238"/>
      <c r="E19" s="56">
        <f t="shared" ref="E19" ca="1" si="8">F18-1</f>
        <v>38748</v>
      </c>
      <c r="F19" s="57">
        <f t="shared" ref="F19" ca="1" si="9">G18-1</f>
        <v>38776</v>
      </c>
      <c r="G19" s="57">
        <f t="shared" ref="G19" ca="1" si="10">H18-1</f>
        <v>38807</v>
      </c>
      <c r="H19" s="57">
        <f t="shared" ref="H19" ca="1" si="11">I18-1</f>
        <v>38837</v>
      </c>
      <c r="I19" s="57">
        <f t="shared" ref="I19" ca="1" si="12">J18-1</f>
        <v>38868</v>
      </c>
      <c r="J19" s="57">
        <f t="shared" ref="J19" ca="1" si="13">K18-1</f>
        <v>38898</v>
      </c>
      <c r="K19" s="57">
        <f t="shared" ref="K19" ca="1" si="14">L18-1</f>
        <v>38929</v>
      </c>
      <c r="L19" s="57">
        <f t="shared" ref="L19" ca="1" si="15">M18-1</f>
        <v>38960</v>
      </c>
      <c r="M19" s="57">
        <f t="shared" ref="M19" ca="1" si="16">N18-1</f>
        <v>38990</v>
      </c>
      <c r="N19" s="57">
        <f t="shared" ref="N19" ca="1" si="17">O18-1</f>
        <v>39021</v>
      </c>
      <c r="O19" s="57">
        <f t="shared" ref="O19" ca="1" si="18">P18-1</f>
        <v>39051</v>
      </c>
      <c r="P19" s="57">
        <f t="shared" ref="P19" ca="1" si="19">Q18-1</f>
        <v>39082</v>
      </c>
      <c r="Q19" s="57">
        <f t="shared" ref="Q19" ca="1" si="20">R18-1</f>
        <v>39113</v>
      </c>
      <c r="R19" s="57">
        <f t="shared" ref="R19" ca="1" si="21">S18-1</f>
        <v>39141</v>
      </c>
      <c r="S19" s="57">
        <f t="shared" ref="S19" ca="1" si="22">T18-1</f>
        <v>39172</v>
      </c>
      <c r="T19" s="57">
        <f t="shared" ref="T19" ca="1" si="23">U18-1</f>
        <v>39202</v>
      </c>
      <c r="U19" s="57">
        <f t="shared" ref="U19" ca="1" si="24">V18-1</f>
        <v>39233</v>
      </c>
      <c r="V19" s="57">
        <f t="shared" ref="V19" ca="1" si="25">W18-1</f>
        <v>39263</v>
      </c>
      <c r="W19" s="57">
        <f t="shared" ref="W19" ca="1" si="26">X18-1</f>
        <v>39294</v>
      </c>
      <c r="X19" s="57">
        <f t="shared" ref="X19" ca="1" si="27">Y18-1</f>
        <v>39325</v>
      </c>
      <c r="Y19" s="57">
        <f t="shared" ref="Y19" ca="1" si="28">Z18-1</f>
        <v>39355</v>
      </c>
      <c r="Z19" s="57">
        <f t="shared" ref="Z19" ca="1" si="29">AA18-1</f>
        <v>39386</v>
      </c>
      <c r="AA19" s="57">
        <f t="shared" ref="AA19" ca="1" si="30">AB18-1</f>
        <v>39416</v>
      </c>
      <c r="AB19" s="57">
        <f ca="1">D15</f>
        <v>39447</v>
      </c>
    </row>
    <row r="20" spans="2:29" ht="15" customHeight="1" thickBot="1" x14ac:dyDescent="0.25">
      <c r="B20" s="31" t="s">
        <v>0</v>
      </c>
      <c r="C20" s="157" t="s">
        <v>63</v>
      </c>
      <c r="D20" s="32" t="s">
        <v>101</v>
      </c>
      <c r="E20" s="58">
        <f t="shared" ref="E20:AB20" ca="1" si="31">E18</f>
        <v>38718</v>
      </c>
      <c r="F20" s="59">
        <f t="shared" ca="1" si="31"/>
        <v>38749</v>
      </c>
      <c r="G20" s="59">
        <f t="shared" ca="1" si="31"/>
        <v>38777</v>
      </c>
      <c r="H20" s="60">
        <f t="shared" ca="1" si="31"/>
        <v>38808</v>
      </c>
      <c r="I20" s="60">
        <f t="shared" ca="1" si="31"/>
        <v>38838</v>
      </c>
      <c r="J20" s="60">
        <f t="shared" ca="1" si="31"/>
        <v>38869</v>
      </c>
      <c r="K20" s="60">
        <f t="shared" ca="1" si="31"/>
        <v>38899</v>
      </c>
      <c r="L20" s="60">
        <f t="shared" ca="1" si="31"/>
        <v>38930</v>
      </c>
      <c r="M20" s="60">
        <f t="shared" ca="1" si="31"/>
        <v>38961</v>
      </c>
      <c r="N20" s="60">
        <f t="shared" ca="1" si="31"/>
        <v>38991</v>
      </c>
      <c r="O20" s="60">
        <f t="shared" ca="1" si="31"/>
        <v>39022</v>
      </c>
      <c r="P20" s="60">
        <f t="shared" ca="1" si="31"/>
        <v>39052</v>
      </c>
      <c r="Q20" s="60">
        <f t="shared" ca="1" si="31"/>
        <v>39083</v>
      </c>
      <c r="R20" s="60">
        <f t="shared" ca="1" si="31"/>
        <v>39114</v>
      </c>
      <c r="S20" s="60">
        <f t="shared" ca="1" si="31"/>
        <v>39142</v>
      </c>
      <c r="T20" s="60">
        <f t="shared" ca="1" si="31"/>
        <v>39173</v>
      </c>
      <c r="U20" s="60">
        <f t="shared" ca="1" si="31"/>
        <v>39203</v>
      </c>
      <c r="V20" s="60">
        <f t="shared" ca="1" si="31"/>
        <v>39234</v>
      </c>
      <c r="W20" s="60">
        <f t="shared" ca="1" si="31"/>
        <v>39264</v>
      </c>
      <c r="X20" s="60">
        <f t="shared" ca="1" si="31"/>
        <v>39295</v>
      </c>
      <c r="Y20" s="60">
        <f t="shared" ca="1" si="31"/>
        <v>39326</v>
      </c>
      <c r="Z20" s="60">
        <f t="shared" ca="1" si="31"/>
        <v>39356</v>
      </c>
      <c r="AA20" s="60">
        <f t="shared" ca="1" si="31"/>
        <v>39387</v>
      </c>
      <c r="AB20" s="60">
        <f t="shared" ca="1" si="31"/>
        <v>39417</v>
      </c>
    </row>
    <row r="21" spans="2:29" x14ac:dyDescent="0.2">
      <c r="B21" s="80"/>
      <c r="C21" s="80" t="s">
        <v>111</v>
      </c>
      <c r="D21" s="82" t="s">
        <v>71</v>
      </c>
      <c r="E21" s="83">
        <f t="shared" ref="E21:N24" ca="1" si="32">AbraAsset(URL,Username,Password,$D21,E$19)/1000</f>
        <v>2265</v>
      </c>
      <c r="F21" s="83">
        <f t="shared" ca="1" si="32"/>
        <v>2265</v>
      </c>
      <c r="G21" s="83">
        <f t="shared" ca="1" si="32"/>
        <v>2265</v>
      </c>
      <c r="H21" s="83">
        <f t="shared" ca="1" si="32"/>
        <v>2265</v>
      </c>
      <c r="I21" s="83">
        <f t="shared" ca="1" si="32"/>
        <v>2265</v>
      </c>
      <c r="J21" s="83">
        <f t="shared" ca="1" si="32"/>
        <v>2265</v>
      </c>
      <c r="K21" s="83">
        <f t="shared" ca="1" si="32"/>
        <v>2265</v>
      </c>
      <c r="L21" s="83">
        <f t="shared" ca="1" si="32"/>
        <v>2265</v>
      </c>
      <c r="M21" s="83">
        <f t="shared" ca="1" si="32"/>
        <v>2265</v>
      </c>
      <c r="N21" s="83">
        <f t="shared" ca="1" si="32"/>
        <v>2265</v>
      </c>
      <c r="O21" s="83">
        <f t="shared" ref="O21:AB24" ca="1" si="33">AbraAsset(URL,Username,Password,$D21,O$19)/1000</f>
        <v>2265</v>
      </c>
      <c r="P21" s="83">
        <f t="shared" ca="1" si="33"/>
        <v>2265</v>
      </c>
      <c r="Q21" s="83">
        <f t="shared" ca="1" si="33"/>
        <v>2265</v>
      </c>
      <c r="R21" s="83">
        <f t="shared" ca="1" si="33"/>
        <v>2265</v>
      </c>
      <c r="S21" s="83">
        <f t="shared" ca="1" si="33"/>
        <v>2265</v>
      </c>
      <c r="T21" s="83">
        <f t="shared" ca="1" si="33"/>
        <v>2265</v>
      </c>
      <c r="U21" s="83">
        <f t="shared" ca="1" si="33"/>
        <v>2265</v>
      </c>
      <c r="V21" s="83">
        <f t="shared" ca="1" si="33"/>
        <v>2265</v>
      </c>
      <c r="W21" s="83">
        <f t="shared" ca="1" si="33"/>
        <v>2265</v>
      </c>
      <c r="X21" s="83">
        <f t="shared" ca="1" si="33"/>
        <v>2265</v>
      </c>
      <c r="Y21" s="83">
        <f t="shared" ca="1" si="33"/>
        <v>2265</v>
      </c>
      <c r="Z21" s="83">
        <f t="shared" ca="1" si="33"/>
        <v>2265</v>
      </c>
      <c r="AA21" s="83">
        <f t="shared" ca="1" si="33"/>
        <v>2265</v>
      </c>
      <c r="AB21" s="83">
        <f t="shared" ca="1" si="33"/>
        <v>2265</v>
      </c>
      <c r="AC21" s="197"/>
    </row>
    <row r="22" spans="2:29" x14ac:dyDescent="0.2">
      <c r="B22" s="198"/>
      <c r="C22" s="198" t="s">
        <v>112</v>
      </c>
      <c r="D22" s="199" t="s">
        <v>72</v>
      </c>
      <c r="E22" s="83">
        <f t="shared" ca="1" si="32"/>
        <v>2265</v>
      </c>
      <c r="F22" s="83">
        <f t="shared" ca="1" si="32"/>
        <v>2265</v>
      </c>
      <c r="G22" s="83">
        <f t="shared" ca="1" si="32"/>
        <v>2265</v>
      </c>
      <c r="H22" s="214">
        <f t="shared" ca="1" si="32"/>
        <v>2265</v>
      </c>
      <c r="I22" s="83">
        <f t="shared" ca="1" si="32"/>
        <v>2265</v>
      </c>
      <c r="J22" s="83">
        <f t="shared" ca="1" si="32"/>
        <v>2265</v>
      </c>
      <c r="K22" s="83">
        <f t="shared" ca="1" si="32"/>
        <v>2265</v>
      </c>
      <c r="L22" s="83">
        <f t="shared" ca="1" si="32"/>
        <v>2265</v>
      </c>
      <c r="M22" s="83">
        <f t="shared" ca="1" si="32"/>
        <v>2265</v>
      </c>
      <c r="N22" s="83">
        <f t="shared" ca="1" si="32"/>
        <v>2265</v>
      </c>
      <c r="O22" s="83">
        <f t="shared" ca="1" si="33"/>
        <v>2265</v>
      </c>
      <c r="P22" s="83">
        <f t="shared" ca="1" si="33"/>
        <v>2265</v>
      </c>
      <c r="Q22" s="83">
        <f t="shared" ca="1" si="33"/>
        <v>2265</v>
      </c>
      <c r="R22" s="83">
        <f t="shared" ca="1" si="33"/>
        <v>2265</v>
      </c>
      <c r="S22" s="83">
        <f t="shared" ca="1" si="33"/>
        <v>2265</v>
      </c>
      <c r="T22" s="83">
        <f t="shared" ca="1" si="33"/>
        <v>2265</v>
      </c>
      <c r="U22" s="83">
        <f t="shared" ca="1" si="33"/>
        <v>2265</v>
      </c>
      <c r="V22" s="83">
        <f t="shared" ca="1" si="33"/>
        <v>2265</v>
      </c>
      <c r="W22" s="83">
        <f t="shared" ca="1" si="33"/>
        <v>2265</v>
      </c>
      <c r="X22" s="83">
        <f t="shared" ca="1" si="33"/>
        <v>2265</v>
      </c>
      <c r="Y22" s="83">
        <f t="shared" ca="1" si="33"/>
        <v>2265</v>
      </c>
      <c r="Z22" s="83">
        <f t="shared" ca="1" si="33"/>
        <v>2265</v>
      </c>
      <c r="AA22" s="83">
        <f t="shared" ca="1" si="33"/>
        <v>2265</v>
      </c>
      <c r="AB22" s="83">
        <f t="shared" ca="1" si="33"/>
        <v>2265</v>
      </c>
      <c r="AC22" s="197"/>
    </row>
    <row r="23" spans="2:29" x14ac:dyDescent="0.2">
      <c r="B23" s="198"/>
      <c r="C23" s="198" t="s">
        <v>113</v>
      </c>
      <c r="D23" s="199" t="s">
        <v>73</v>
      </c>
      <c r="E23" s="83">
        <f t="shared" ca="1" si="32"/>
        <v>2160.5070000000001</v>
      </c>
      <c r="F23" s="83">
        <f t="shared" ca="1" si="32"/>
        <v>2145.8139999999999</v>
      </c>
      <c r="G23" s="83">
        <f t="shared" ca="1" si="32"/>
        <v>2131.1219999999998</v>
      </c>
      <c r="H23" s="224">
        <f t="shared" ca="1" si="32"/>
        <v>2116.4299999999998</v>
      </c>
      <c r="I23" s="83">
        <f t="shared" ca="1" si="32"/>
        <v>2101.7379999999998</v>
      </c>
      <c r="J23" s="83">
        <f t="shared" ca="1" si="32"/>
        <v>2087.0459999999998</v>
      </c>
      <c r="K23" s="83">
        <f t="shared" ca="1" si="32"/>
        <v>2072.355</v>
      </c>
      <c r="L23" s="83">
        <f t="shared" ca="1" si="32"/>
        <v>2057.6640000000002</v>
      </c>
      <c r="M23" s="83">
        <f t="shared" ca="1" si="32"/>
        <v>2042.973</v>
      </c>
      <c r="N23" s="83">
        <f t="shared" ca="1" si="32"/>
        <v>2028.2819999999999</v>
      </c>
      <c r="O23" s="83">
        <f t="shared" ca="1" si="33"/>
        <v>2013.5909999999999</v>
      </c>
      <c r="P23" s="83">
        <f t="shared" ca="1" si="33"/>
        <v>1998.9</v>
      </c>
      <c r="Q23" s="83">
        <f t="shared" ca="1" si="33"/>
        <v>1986.134</v>
      </c>
      <c r="R23" s="83">
        <f t="shared" ca="1" si="33"/>
        <v>1973.3679999999999</v>
      </c>
      <c r="S23" s="83">
        <f t="shared" ca="1" si="33"/>
        <v>1960.6020000000001</v>
      </c>
      <c r="T23" s="83">
        <f t="shared" ca="1" si="33"/>
        <v>1947.837</v>
      </c>
      <c r="U23" s="83">
        <f t="shared" ca="1" si="33"/>
        <v>1935.0730000000001</v>
      </c>
      <c r="V23" s="83">
        <f t="shared" ca="1" si="33"/>
        <v>1922.309</v>
      </c>
      <c r="W23" s="83">
        <f t="shared" ca="1" si="33"/>
        <v>1909.5450000000001</v>
      </c>
      <c r="X23" s="83">
        <f t="shared" ca="1" si="33"/>
        <v>1896.7809999999999</v>
      </c>
      <c r="Y23" s="83">
        <f t="shared" ca="1" si="33"/>
        <v>1884.0170000000001</v>
      </c>
      <c r="Z23" s="83">
        <f t="shared" ca="1" si="33"/>
        <v>1871.2529999999999</v>
      </c>
      <c r="AA23" s="83">
        <f t="shared" ca="1" si="33"/>
        <v>1858.489</v>
      </c>
      <c r="AB23" s="83">
        <f t="shared" ca="1" si="33"/>
        <v>1845.7249999999999</v>
      </c>
      <c r="AC23" s="197"/>
    </row>
    <row r="24" spans="2:29" x14ac:dyDescent="0.2">
      <c r="B24" s="65"/>
      <c r="C24" s="65" t="s">
        <v>114</v>
      </c>
      <c r="D24" s="85" t="s">
        <v>74</v>
      </c>
      <c r="E24" s="83">
        <f t="shared" ca="1" si="32"/>
        <v>2160.5070000000001</v>
      </c>
      <c r="F24" s="83">
        <f t="shared" ca="1" si="32"/>
        <v>2145.8139999999999</v>
      </c>
      <c r="G24" s="83">
        <f t="shared" ca="1" si="32"/>
        <v>2131.1219999999998</v>
      </c>
      <c r="H24" s="212">
        <f t="shared" ca="1" si="32"/>
        <v>2116.4299999999998</v>
      </c>
      <c r="I24" s="83">
        <f t="shared" ca="1" si="32"/>
        <v>2101.7379999999998</v>
      </c>
      <c r="J24" s="83">
        <f t="shared" ca="1" si="32"/>
        <v>2087.0459999999998</v>
      </c>
      <c r="K24" s="83">
        <f t="shared" ca="1" si="32"/>
        <v>2072.355</v>
      </c>
      <c r="L24" s="83">
        <f t="shared" ca="1" si="32"/>
        <v>2057.6640000000002</v>
      </c>
      <c r="M24" s="83">
        <f t="shared" ca="1" si="32"/>
        <v>2042.973</v>
      </c>
      <c r="N24" s="83">
        <f t="shared" ca="1" si="32"/>
        <v>2028.2819999999999</v>
      </c>
      <c r="O24" s="83">
        <f t="shared" ca="1" si="33"/>
        <v>2013.5909999999999</v>
      </c>
      <c r="P24" s="83">
        <f t="shared" ca="1" si="33"/>
        <v>1998.9</v>
      </c>
      <c r="Q24" s="83">
        <f t="shared" ca="1" si="33"/>
        <v>1986.134</v>
      </c>
      <c r="R24" s="83">
        <f t="shared" ca="1" si="33"/>
        <v>1973.3679999999999</v>
      </c>
      <c r="S24" s="83">
        <f t="shared" ca="1" si="33"/>
        <v>1960.6020000000001</v>
      </c>
      <c r="T24" s="83">
        <f t="shared" ca="1" si="33"/>
        <v>1947.837</v>
      </c>
      <c r="U24" s="83">
        <f t="shared" ca="1" si="33"/>
        <v>1935.0730000000001</v>
      </c>
      <c r="V24" s="83">
        <f t="shared" ca="1" si="33"/>
        <v>1922.309</v>
      </c>
      <c r="W24" s="83">
        <f t="shared" ca="1" si="33"/>
        <v>1909.5450000000001</v>
      </c>
      <c r="X24" s="83">
        <f t="shared" ca="1" si="33"/>
        <v>1896.7809999999999</v>
      </c>
      <c r="Y24" s="83">
        <f t="shared" ca="1" si="33"/>
        <v>1884.0170000000001</v>
      </c>
      <c r="Z24" s="83">
        <f t="shared" ca="1" si="33"/>
        <v>1871.2529999999999</v>
      </c>
      <c r="AA24" s="83">
        <f t="shared" ca="1" si="33"/>
        <v>1858.489</v>
      </c>
      <c r="AB24" s="83">
        <f t="shared" ca="1" si="33"/>
        <v>1845.7249999999999</v>
      </c>
      <c r="AC24" s="197"/>
    </row>
    <row r="25" spans="2:29" x14ac:dyDescent="0.2">
      <c r="B25" s="70"/>
      <c r="C25" s="70"/>
      <c r="D25" s="70"/>
      <c r="E25" s="71"/>
      <c r="F25" s="71"/>
      <c r="G25" s="71"/>
      <c r="H25" s="71"/>
      <c r="I25" s="71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  <c r="AA25" s="71"/>
      <c r="AB25" s="71"/>
    </row>
    <row r="28" spans="2:29" x14ac:dyDescent="0.2">
      <c r="B28" s="200"/>
      <c r="C28" s="200"/>
    </row>
    <row r="29" spans="2:29" x14ac:dyDescent="0.2">
      <c r="B29" s="174"/>
      <c r="C29" s="174"/>
    </row>
    <row r="30" spans="2:29" x14ac:dyDescent="0.2">
      <c r="B30" s="174"/>
      <c r="C30" s="174"/>
    </row>
    <row r="32" spans="2:29" x14ac:dyDescent="0.2">
      <c r="B32" s="200"/>
      <c r="C32" s="200"/>
    </row>
    <row r="33" spans="2:3" x14ac:dyDescent="0.2">
      <c r="B33" s="174"/>
      <c r="C33" s="174"/>
    </row>
    <row r="34" spans="2:3" x14ac:dyDescent="0.2">
      <c r="B34" s="174"/>
      <c r="C34" s="174"/>
    </row>
    <row r="35" spans="2:3" x14ac:dyDescent="0.2">
      <c r="B35" s="174"/>
      <c r="C35" s="174"/>
    </row>
    <row r="36" spans="2:3" x14ac:dyDescent="0.2">
      <c r="B36" s="174"/>
      <c r="C36" s="174"/>
    </row>
  </sheetData>
  <mergeCells count="3">
    <mergeCell ref="B18:D19"/>
    <mergeCell ref="B6:D7"/>
    <mergeCell ref="B11:D11"/>
  </mergeCells>
  <pageMargins left="0.7" right="0.7" top="0.78740157499999996" bottom="0.78740157499999996" header="0.3" footer="0.3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List10"/>
  <dimension ref="A1:GI22"/>
  <sheetViews>
    <sheetView tabSelected="1" zoomScale="55" zoomScaleNormal="55" zoomScalePageLayoutView="115" workbookViewId="0">
      <selection activeCell="AJ29" sqref="AJ29"/>
    </sheetView>
  </sheetViews>
  <sheetFormatPr defaultColWidth="9.140625" defaultRowHeight="15" outlineLevelCol="1" x14ac:dyDescent="0.2"/>
  <cols>
    <col min="1" max="1" width="1.7109375" style="41" customWidth="1"/>
    <col min="2" max="2" width="21.5703125" style="41" customWidth="1"/>
    <col min="3" max="3" width="30.28515625" style="72" bestFit="1" customWidth="1"/>
    <col min="4" max="4" width="12.7109375" style="72" customWidth="1"/>
    <col min="5" max="7" width="12.7109375" style="73" customWidth="1"/>
    <col min="8" max="21" width="12.7109375" style="73" hidden="1" customWidth="1" outlineLevel="1"/>
    <col min="22" max="22" width="12.7109375" style="74" hidden="1" customWidth="1" outlineLevel="1"/>
    <col min="23" max="27" width="12.7109375" style="75" hidden="1" customWidth="1" outlineLevel="1"/>
    <col min="28" max="28" width="12.7109375" style="73" hidden="1" customWidth="1" outlineLevel="1"/>
    <col min="29" max="29" width="9.140625" style="73" collapsed="1"/>
    <col min="30" max="191" width="9.140625" style="73"/>
    <col min="192" max="16384" width="9.140625" style="94"/>
  </cols>
  <sheetData>
    <row r="1" spans="1:30" ht="10.35" customHeight="1" thickBot="1" x14ac:dyDescent="0.25"/>
    <row r="2" spans="1:30" ht="15" customHeight="1" x14ac:dyDescent="0.2">
      <c r="B2" s="95" t="s">
        <v>62</v>
      </c>
      <c r="C2" s="87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6"/>
      <c r="R2" s="96"/>
      <c r="S2" s="96"/>
      <c r="T2" s="96"/>
      <c r="U2" s="96"/>
      <c r="V2" s="96"/>
      <c r="W2" s="96"/>
      <c r="X2" s="96"/>
      <c r="Y2" s="96"/>
      <c r="Z2" s="96"/>
      <c r="AA2" s="96"/>
      <c r="AB2" s="96"/>
    </row>
    <row r="3" spans="1:30" ht="15" customHeight="1" x14ac:dyDescent="0.2">
      <c r="B3" s="40" t="s">
        <v>115</v>
      </c>
      <c r="C3" s="38" t="s">
        <v>106</v>
      </c>
      <c r="D3" s="27">
        <v>42369</v>
      </c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8"/>
      <c r="V3" s="98"/>
      <c r="W3" s="98"/>
      <c r="X3" s="98"/>
      <c r="Y3" s="98"/>
      <c r="Z3" s="98"/>
      <c r="AA3" s="98"/>
      <c r="AB3" s="98"/>
    </row>
    <row r="4" spans="1:30" ht="15" customHeight="1" x14ac:dyDescent="0.2">
      <c r="B4" s="101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30" ht="12" customHeight="1" thickBot="1" x14ac:dyDescent="0.25">
      <c r="B5" s="102"/>
      <c r="C5" s="103"/>
      <c r="D5" s="103"/>
      <c r="E5" s="98"/>
      <c r="F5" s="98"/>
      <c r="G5" s="98"/>
      <c r="H5" s="98"/>
      <c r="I5" s="98"/>
      <c r="J5" s="98"/>
      <c r="K5" s="98"/>
      <c r="L5" s="98"/>
      <c r="M5" s="98"/>
      <c r="N5" s="98"/>
      <c r="O5" s="98"/>
      <c r="P5" s="98"/>
      <c r="Q5" s="98"/>
      <c r="R5" s="98"/>
      <c r="S5" s="98"/>
      <c r="T5" s="98"/>
      <c r="U5" s="98"/>
      <c r="V5" s="98"/>
      <c r="W5" s="98"/>
      <c r="X5" s="98"/>
      <c r="Y5" s="98"/>
      <c r="Z5" s="98"/>
      <c r="AA5" s="98"/>
      <c r="AB5" s="98"/>
    </row>
    <row r="6" spans="1:30" s="49" customFormat="1" ht="15" customHeight="1" x14ac:dyDescent="0.2">
      <c r="A6" s="41"/>
      <c r="B6" s="201"/>
      <c r="C6" s="235"/>
      <c r="D6" s="236"/>
      <c r="E6" s="54">
        <f ca="1">E7-IF(MONTH(E7)=2,IF(OR(YEAR(E7)=2008,YEAR(E7)=2012,YEAR(E7)=2016),29,28),IF(OR(MONTH(E7)=4,MONTH(E7)=6,MONTH(E7)=9,MONTH(E7)=11),30,31))+1</f>
        <v>41640</v>
      </c>
      <c r="F6" s="55">
        <f t="shared" ref="F6:AB6" ca="1" si="0">F7-IF(MONTH(F7)=2,IF(OR(YEAR(F7)=2008,YEAR(F7)=2012,YEAR(F7)=2016),29,28),IF(OR(MONTH(F7)=4,MONTH(F7)=6,MONTH(F7)=9,MONTH(F7)=11),30,31))+1</f>
        <v>41671</v>
      </c>
      <c r="G6" s="55">
        <f t="shared" ca="1" si="0"/>
        <v>41699</v>
      </c>
      <c r="H6" s="55">
        <f t="shared" ca="1" si="0"/>
        <v>41730</v>
      </c>
      <c r="I6" s="55">
        <f t="shared" ca="1" si="0"/>
        <v>41760</v>
      </c>
      <c r="J6" s="55">
        <f t="shared" ca="1" si="0"/>
        <v>41791</v>
      </c>
      <c r="K6" s="55">
        <f t="shared" ca="1" si="0"/>
        <v>41821</v>
      </c>
      <c r="L6" s="55">
        <f t="shared" ca="1" si="0"/>
        <v>41852</v>
      </c>
      <c r="M6" s="55">
        <f t="shared" ca="1" si="0"/>
        <v>41883</v>
      </c>
      <c r="N6" s="55">
        <f t="shared" ca="1" si="0"/>
        <v>41913</v>
      </c>
      <c r="O6" s="55">
        <f t="shared" ca="1" si="0"/>
        <v>41944</v>
      </c>
      <c r="P6" s="55">
        <f t="shared" ca="1" si="0"/>
        <v>41974</v>
      </c>
      <c r="Q6" s="55">
        <f t="shared" ca="1" si="0"/>
        <v>42005</v>
      </c>
      <c r="R6" s="55">
        <f t="shared" ca="1" si="0"/>
        <v>42036</v>
      </c>
      <c r="S6" s="55">
        <f t="shared" ca="1" si="0"/>
        <v>42064</v>
      </c>
      <c r="T6" s="55">
        <f t="shared" ca="1" si="0"/>
        <v>42095</v>
      </c>
      <c r="U6" s="55">
        <f t="shared" ca="1" si="0"/>
        <v>42125</v>
      </c>
      <c r="V6" s="55">
        <f t="shared" ca="1" si="0"/>
        <v>42156</v>
      </c>
      <c r="W6" s="55">
        <f t="shared" ca="1" si="0"/>
        <v>42186</v>
      </c>
      <c r="X6" s="55">
        <f t="shared" ca="1" si="0"/>
        <v>42217</v>
      </c>
      <c r="Y6" s="55">
        <f t="shared" ca="1" si="0"/>
        <v>42248</v>
      </c>
      <c r="Z6" s="55">
        <f t="shared" ca="1" si="0"/>
        <v>42278</v>
      </c>
      <c r="AA6" s="55">
        <f t="shared" ca="1" si="0"/>
        <v>42309</v>
      </c>
      <c r="AB6" s="55">
        <f t="shared" ca="1" si="0"/>
        <v>42339</v>
      </c>
    </row>
    <row r="7" spans="1:30" s="49" customFormat="1" ht="15" customHeight="1" thickBot="1" x14ac:dyDescent="0.25">
      <c r="A7" s="41"/>
      <c r="B7" s="202"/>
      <c r="C7" s="237"/>
      <c r="D7" s="238"/>
      <c r="E7" s="56">
        <f t="shared" ref="E7:AA7" ca="1" si="1">F6-1</f>
        <v>41670</v>
      </c>
      <c r="F7" s="57">
        <f t="shared" ca="1" si="1"/>
        <v>41698</v>
      </c>
      <c r="G7" s="57">
        <f t="shared" ca="1" si="1"/>
        <v>41729</v>
      </c>
      <c r="H7" s="57">
        <f t="shared" ca="1" si="1"/>
        <v>41759</v>
      </c>
      <c r="I7" s="57">
        <f t="shared" ca="1" si="1"/>
        <v>41790</v>
      </c>
      <c r="J7" s="57">
        <f t="shared" ca="1" si="1"/>
        <v>41820</v>
      </c>
      <c r="K7" s="57">
        <f t="shared" ca="1" si="1"/>
        <v>41851</v>
      </c>
      <c r="L7" s="57">
        <f t="shared" ca="1" si="1"/>
        <v>41882</v>
      </c>
      <c r="M7" s="57">
        <f t="shared" ca="1" si="1"/>
        <v>41912</v>
      </c>
      <c r="N7" s="57">
        <f t="shared" ca="1" si="1"/>
        <v>41943</v>
      </c>
      <c r="O7" s="57">
        <f t="shared" ca="1" si="1"/>
        <v>41973</v>
      </c>
      <c r="P7" s="57">
        <f t="shared" ca="1" si="1"/>
        <v>42004</v>
      </c>
      <c r="Q7" s="57">
        <f t="shared" ca="1" si="1"/>
        <v>42035</v>
      </c>
      <c r="R7" s="57">
        <f t="shared" ca="1" si="1"/>
        <v>42063</v>
      </c>
      <c r="S7" s="57">
        <f t="shared" ca="1" si="1"/>
        <v>42094</v>
      </c>
      <c r="T7" s="57">
        <f t="shared" ca="1" si="1"/>
        <v>42124</v>
      </c>
      <c r="U7" s="57">
        <f t="shared" ca="1" si="1"/>
        <v>42155</v>
      </c>
      <c r="V7" s="57">
        <f t="shared" ca="1" si="1"/>
        <v>42185</v>
      </c>
      <c r="W7" s="57">
        <f t="shared" ca="1" si="1"/>
        <v>42216</v>
      </c>
      <c r="X7" s="57">
        <f t="shared" ca="1" si="1"/>
        <v>42247</v>
      </c>
      <c r="Y7" s="57">
        <f t="shared" ca="1" si="1"/>
        <v>42277</v>
      </c>
      <c r="Z7" s="57">
        <f t="shared" ca="1" si="1"/>
        <v>42308</v>
      </c>
      <c r="AA7" s="57">
        <f t="shared" ca="1" si="1"/>
        <v>42338</v>
      </c>
      <c r="AB7" s="57">
        <f ca="1">D3</f>
        <v>42369</v>
      </c>
    </row>
    <row r="8" spans="1:30" s="49" customFormat="1" ht="15" customHeight="1" thickBot="1" x14ac:dyDescent="0.25">
      <c r="A8" s="41"/>
      <c r="B8" s="167" t="s">
        <v>118</v>
      </c>
      <c r="C8" s="31" t="s">
        <v>63</v>
      </c>
      <c r="D8" s="167" t="s">
        <v>101</v>
      </c>
      <c r="E8" s="203">
        <f t="shared" ref="E8:AB8" ca="1" si="2">E6</f>
        <v>41640</v>
      </c>
      <c r="F8" s="203">
        <f t="shared" ca="1" si="2"/>
        <v>41671</v>
      </c>
      <c r="G8" s="203">
        <f t="shared" ca="1" si="2"/>
        <v>41699</v>
      </c>
      <c r="H8" s="203">
        <f t="shared" ca="1" si="2"/>
        <v>41730</v>
      </c>
      <c r="I8" s="203">
        <f t="shared" ca="1" si="2"/>
        <v>41760</v>
      </c>
      <c r="J8" s="203">
        <f t="shared" ca="1" si="2"/>
        <v>41791</v>
      </c>
      <c r="K8" s="203">
        <f t="shared" ca="1" si="2"/>
        <v>41821</v>
      </c>
      <c r="L8" s="203">
        <f t="shared" ca="1" si="2"/>
        <v>41852</v>
      </c>
      <c r="M8" s="203">
        <f t="shared" ca="1" si="2"/>
        <v>41883</v>
      </c>
      <c r="N8" s="203">
        <f t="shared" ca="1" si="2"/>
        <v>41913</v>
      </c>
      <c r="O8" s="203">
        <f t="shared" ca="1" si="2"/>
        <v>41944</v>
      </c>
      <c r="P8" s="203">
        <f t="shared" ca="1" si="2"/>
        <v>41974</v>
      </c>
      <c r="Q8" s="203">
        <f t="shared" ca="1" si="2"/>
        <v>42005</v>
      </c>
      <c r="R8" s="203">
        <f t="shared" ca="1" si="2"/>
        <v>42036</v>
      </c>
      <c r="S8" s="203">
        <f t="shared" ca="1" si="2"/>
        <v>42064</v>
      </c>
      <c r="T8" s="203">
        <f t="shared" ca="1" si="2"/>
        <v>42095</v>
      </c>
      <c r="U8" s="203">
        <f t="shared" ca="1" si="2"/>
        <v>42125</v>
      </c>
      <c r="V8" s="203">
        <f t="shared" ca="1" si="2"/>
        <v>42156</v>
      </c>
      <c r="W8" s="203">
        <f t="shared" ca="1" si="2"/>
        <v>42186</v>
      </c>
      <c r="X8" s="203">
        <f t="shared" ca="1" si="2"/>
        <v>42217</v>
      </c>
      <c r="Y8" s="203">
        <f t="shared" ca="1" si="2"/>
        <v>42248</v>
      </c>
      <c r="Z8" s="203">
        <f t="shared" ca="1" si="2"/>
        <v>42278</v>
      </c>
      <c r="AA8" s="203">
        <f t="shared" ca="1" si="2"/>
        <v>42309</v>
      </c>
      <c r="AB8" s="203">
        <f t="shared" ca="1" si="2"/>
        <v>42339</v>
      </c>
    </row>
    <row r="9" spans="1:30" ht="15" customHeight="1" thickBot="1" x14ac:dyDescent="0.25">
      <c r="B9" s="204"/>
      <c r="C9" s="61" t="s">
        <v>81</v>
      </c>
      <c r="D9" s="204" t="s">
        <v>77</v>
      </c>
      <c r="E9" s="64">
        <f t="shared" ref="E9:AB10" ca="1" si="3">AbraPayroll(URL,Username,Password,$D9,E$8)</f>
        <v>6</v>
      </c>
      <c r="F9" s="64">
        <f t="shared" ca="1" si="3"/>
        <v>6</v>
      </c>
      <c r="G9" s="64">
        <f t="shared" ca="1" si="3"/>
        <v>6</v>
      </c>
      <c r="H9" s="64">
        <f t="shared" ca="1" si="3"/>
        <v>6</v>
      </c>
      <c r="I9" s="64">
        <f t="shared" ca="1" si="3"/>
        <v>6</v>
      </c>
      <c r="J9" s="64">
        <f t="shared" ca="1" si="3"/>
        <v>6</v>
      </c>
      <c r="K9" s="64">
        <f t="shared" ca="1" si="3"/>
        <v>6</v>
      </c>
      <c r="L9" s="64">
        <f t="shared" ca="1" si="3"/>
        <v>6</v>
      </c>
      <c r="M9" s="64">
        <f t="shared" ca="1" si="3"/>
        <v>6</v>
      </c>
      <c r="N9" s="64">
        <f t="shared" ca="1" si="3"/>
        <v>6</v>
      </c>
      <c r="O9" s="64">
        <f t="shared" ca="1" si="3"/>
        <v>6</v>
      </c>
      <c r="P9" s="64">
        <f t="shared" ca="1" si="3"/>
        <v>6</v>
      </c>
      <c r="Q9" s="64">
        <f t="shared" ca="1" si="3"/>
        <v>6</v>
      </c>
      <c r="R9" s="64">
        <f t="shared" ca="1" si="3"/>
        <v>6</v>
      </c>
      <c r="S9" s="64">
        <f t="shared" ca="1" si="3"/>
        <v>6</v>
      </c>
      <c r="T9" s="64">
        <f t="shared" ca="1" si="3"/>
        <v>6</v>
      </c>
      <c r="U9" s="64">
        <f t="shared" ca="1" si="3"/>
        <v>6</v>
      </c>
      <c r="V9" s="64">
        <f t="shared" ca="1" si="3"/>
        <v>6</v>
      </c>
      <c r="W9" s="64">
        <f t="shared" ca="1" si="3"/>
        <v>6</v>
      </c>
      <c r="X9" s="64">
        <f t="shared" ca="1" si="3"/>
        <v>6</v>
      </c>
      <c r="Y9" s="64">
        <f t="shared" ca="1" si="3"/>
        <v>6</v>
      </c>
      <c r="Z9" s="64">
        <f t="shared" ca="1" si="3"/>
        <v>6</v>
      </c>
      <c r="AA9" s="64">
        <f t="shared" ca="1" si="3"/>
        <v>6</v>
      </c>
      <c r="AB9" s="64">
        <f t="shared" ca="1" si="3"/>
        <v>6</v>
      </c>
      <c r="AC9" s="49"/>
      <c r="AD9" s="49"/>
    </row>
    <row r="10" spans="1:30" ht="15" customHeight="1" thickBot="1" x14ac:dyDescent="0.25">
      <c r="B10" s="205"/>
      <c r="C10" s="198" t="s">
        <v>82</v>
      </c>
      <c r="D10" s="205" t="s">
        <v>78</v>
      </c>
      <c r="E10" s="64">
        <f t="shared" ca="1" si="3"/>
        <v>240</v>
      </c>
      <c r="F10" s="64">
        <f t="shared" ca="1" si="3"/>
        <v>240</v>
      </c>
      <c r="G10" s="64">
        <f t="shared" ca="1" si="3"/>
        <v>240</v>
      </c>
      <c r="H10" s="64">
        <f t="shared" ca="1" si="3"/>
        <v>240</v>
      </c>
      <c r="I10" s="64">
        <f t="shared" ca="1" si="3"/>
        <v>240</v>
      </c>
      <c r="J10" s="64">
        <f t="shared" ca="1" si="3"/>
        <v>240</v>
      </c>
      <c r="K10" s="64">
        <f t="shared" ca="1" si="3"/>
        <v>240</v>
      </c>
      <c r="L10" s="64">
        <f t="shared" ca="1" si="3"/>
        <v>240</v>
      </c>
      <c r="M10" s="64">
        <f t="shared" ca="1" si="3"/>
        <v>240</v>
      </c>
      <c r="N10" s="64">
        <f t="shared" ca="1" si="3"/>
        <v>240</v>
      </c>
      <c r="O10" s="64">
        <f t="shared" ca="1" si="3"/>
        <v>240</v>
      </c>
      <c r="P10" s="64">
        <f t="shared" ca="1" si="3"/>
        <v>240</v>
      </c>
      <c r="Q10" s="64">
        <f ca="1">AbraPayroll(URL,Username,Password,$D10,Q$8)</f>
        <v>240</v>
      </c>
      <c r="R10" s="64">
        <f t="shared" ca="1" si="3"/>
        <v>240</v>
      </c>
      <c r="S10" s="64">
        <f t="shared" ca="1" si="3"/>
        <v>240</v>
      </c>
      <c r="T10" s="64">
        <f t="shared" ca="1" si="3"/>
        <v>240</v>
      </c>
      <c r="U10" s="64">
        <f t="shared" ca="1" si="3"/>
        <v>240</v>
      </c>
      <c r="V10" s="64">
        <f t="shared" ca="1" si="3"/>
        <v>240</v>
      </c>
      <c r="W10" s="64">
        <f t="shared" ca="1" si="3"/>
        <v>240</v>
      </c>
      <c r="X10" s="64">
        <f ca="1">AbraPayroll(URL,Username,Password,$D10,X$8)</f>
        <v>240</v>
      </c>
      <c r="Y10" s="64">
        <f t="shared" ca="1" si="3"/>
        <v>240</v>
      </c>
      <c r="Z10" s="64">
        <f t="shared" ca="1" si="3"/>
        <v>240</v>
      </c>
      <c r="AA10" s="64">
        <f t="shared" ca="1" si="3"/>
        <v>240</v>
      </c>
      <c r="AB10" s="64">
        <f t="shared" ca="1" si="3"/>
        <v>240</v>
      </c>
      <c r="AC10" s="49"/>
      <c r="AD10" s="49"/>
    </row>
    <row r="11" spans="1:30" ht="15" customHeight="1" thickBot="1" x14ac:dyDescent="0.25">
      <c r="B11" s="205"/>
      <c r="C11" s="198" t="s">
        <v>83</v>
      </c>
      <c r="D11" s="205" t="s">
        <v>79</v>
      </c>
      <c r="E11" s="64">
        <f t="shared" ref="E11:N12" ca="1" si="4">AbraPayroll(URL,Username,Password,$D11,E$8)</f>
        <v>1056</v>
      </c>
      <c r="F11" s="64">
        <f t="shared" ca="1" si="4"/>
        <v>960</v>
      </c>
      <c r="G11" s="64">
        <f t="shared" ca="1" si="4"/>
        <v>1008</v>
      </c>
      <c r="H11" s="64">
        <f t="shared" ca="1" si="4"/>
        <v>1008</v>
      </c>
      <c r="I11" s="64">
        <f t="shared" ca="1" si="4"/>
        <v>960</v>
      </c>
      <c r="J11" s="64">
        <f t="shared" ca="1" si="4"/>
        <v>1008</v>
      </c>
      <c r="K11" s="64">
        <f t="shared" ca="1" si="4"/>
        <v>1104</v>
      </c>
      <c r="L11" s="64">
        <f t="shared" ca="1" si="4"/>
        <v>1008</v>
      </c>
      <c r="M11" s="64">
        <f t="shared" ca="1" si="4"/>
        <v>1056</v>
      </c>
      <c r="N11" s="64">
        <f t="shared" ca="1" si="4"/>
        <v>1056</v>
      </c>
      <c r="O11" s="64">
        <f t="shared" ref="O11:AB12" ca="1" si="5">AbraPayroll(URL,Username,Password,$D11,O$8)</f>
        <v>912</v>
      </c>
      <c r="P11" s="64">
        <f t="shared" ca="1" si="5"/>
        <v>960</v>
      </c>
      <c r="Q11" s="64">
        <f t="shared" ca="1" si="5"/>
        <v>1008</v>
      </c>
      <c r="R11" s="64">
        <f t="shared" ca="1" si="5"/>
        <v>960</v>
      </c>
      <c r="S11" s="64">
        <f t="shared" ca="1" si="5"/>
        <v>1056</v>
      </c>
      <c r="T11" s="64">
        <f t="shared" ca="1" si="5"/>
        <v>1008</v>
      </c>
      <c r="U11" s="64">
        <f t="shared" ca="1" si="5"/>
        <v>912</v>
      </c>
      <c r="V11" s="64">
        <f t="shared" ca="1" si="5"/>
        <v>1056</v>
      </c>
      <c r="W11" s="64">
        <f t="shared" ca="1" si="5"/>
        <v>1056</v>
      </c>
      <c r="X11" s="64">
        <f t="shared" ca="1" si="5"/>
        <v>1008</v>
      </c>
      <c r="Y11" s="64">
        <f t="shared" ca="1" si="5"/>
        <v>1008</v>
      </c>
      <c r="Z11" s="64">
        <f t="shared" ca="1" si="5"/>
        <v>1008</v>
      </c>
      <c r="AA11" s="64">
        <f t="shared" ca="1" si="5"/>
        <v>960</v>
      </c>
      <c r="AB11" s="64">
        <f t="shared" ca="1" si="5"/>
        <v>1008</v>
      </c>
      <c r="AC11" s="49"/>
      <c r="AD11" s="49"/>
    </row>
    <row r="12" spans="1:30" ht="15" customHeight="1" thickBot="1" x14ac:dyDescent="0.25">
      <c r="B12" s="205"/>
      <c r="C12" s="198" t="s">
        <v>84</v>
      </c>
      <c r="D12" s="205" t="s">
        <v>66</v>
      </c>
      <c r="E12" s="64">
        <f t="shared" ca="1" si="4"/>
        <v>1056</v>
      </c>
      <c r="F12" s="64">
        <f t="shared" ca="1" si="4"/>
        <v>960</v>
      </c>
      <c r="G12" s="64">
        <f t="shared" ca="1" si="4"/>
        <v>1008</v>
      </c>
      <c r="H12" s="64">
        <f t="shared" ca="1" si="4"/>
        <v>1008</v>
      </c>
      <c r="I12" s="64">
        <f t="shared" ca="1" si="4"/>
        <v>800</v>
      </c>
      <c r="J12" s="64">
        <f t="shared" ca="1" si="4"/>
        <v>1008</v>
      </c>
      <c r="K12" s="64">
        <f t="shared" ca="1" si="4"/>
        <v>1104</v>
      </c>
      <c r="L12" s="64">
        <f t="shared" ca="1" si="4"/>
        <v>1008</v>
      </c>
      <c r="M12" s="64">
        <f t="shared" ca="1" si="4"/>
        <v>1056</v>
      </c>
      <c r="N12" s="64">
        <f t="shared" ca="1" si="4"/>
        <v>1056</v>
      </c>
      <c r="O12" s="64">
        <f t="shared" ca="1" si="5"/>
        <v>912</v>
      </c>
      <c r="P12" s="64">
        <f t="shared" ca="1" si="5"/>
        <v>960</v>
      </c>
      <c r="Q12" s="64">
        <f t="shared" ca="1" si="5"/>
        <v>1008</v>
      </c>
      <c r="R12" s="64">
        <f t="shared" ca="1" si="5"/>
        <v>960</v>
      </c>
      <c r="S12" s="64">
        <f t="shared" ca="1" si="5"/>
        <v>1056</v>
      </c>
      <c r="T12" s="64">
        <f t="shared" ca="1" si="5"/>
        <v>1008</v>
      </c>
      <c r="U12" s="64">
        <f t="shared" ca="1" si="5"/>
        <v>912</v>
      </c>
      <c r="V12" s="64">
        <f t="shared" ca="1" si="5"/>
        <v>1056</v>
      </c>
      <c r="W12" s="64">
        <f t="shared" ca="1" si="5"/>
        <v>1056</v>
      </c>
      <c r="X12" s="64">
        <f t="shared" ca="1" si="5"/>
        <v>1008</v>
      </c>
      <c r="Y12" s="64">
        <f t="shared" ca="1" si="5"/>
        <v>1008</v>
      </c>
      <c r="Z12" s="64">
        <f t="shared" ca="1" si="5"/>
        <v>1008</v>
      </c>
      <c r="AA12" s="64">
        <f t="shared" ca="1" si="5"/>
        <v>960</v>
      </c>
      <c r="AB12" s="64">
        <f t="shared" ca="1" si="5"/>
        <v>1008</v>
      </c>
      <c r="AC12" s="49"/>
      <c r="AD12" s="49"/>
    </row>
    <row r="13" spans="1:30" ht="15" customHeight="1" x14ac:dyDescent="0.2">
      <c r="B13" s="206"/>
      <c r="C13" s="65" t="s">
        <v>85</v>
      </c>
      <c r="D13" s="206" t="s">
        <v>80</v>
      </c>
      <c r="E13" s="64">
        <f t="shared" ref="E13:AB13" ca="1" si="6">AbraPayroll(URL,Username,Password,$D13,E$8)/1000</f>
        <v>121.041</v>
      </c>
      <c r="F13" s="64">
        <f t="shared" ca="1" si="6"/>
        <v>124</v>
      </c>
      <c r="G13" s="64">
        <f t="shared" ca="1" si="6"/>
        <v>124</v>
      </c>
      <c r="H13" s="64">
        <f t="shared" ca="1" si="6"/>
        <v>124.187</v>
      </c>
      <c r="I13" s="64">
        <f t="shared" ca="1" si="6"/>
        <v>125.09099999999999</v>
      </c>
      <c r="J13" s="64">
        <f t="shared" ca="1" si="6"/>
        <v>124</v>
      </c>
      <c r="K13" s="64">
        <f t="shared" ca="1" si="6"/>
        <v>124</v>
      </c>
      <c r="L13" s="64">
        <f t="shared" ca="1" si="6"/>
        <v>124</v>
      </c>
      <c r="M13" s="64">
        <f t="shared" ca="1" si="6"/>
        <v>124</v>
      </c>
      <c r="N13" s="64">
        <f t="shared" ca="1" si="6"/>
        <v>124.248</v>
      </c>
      <c r="O13" s="64">
        <f t="shared" ca="1" si="6"/>
        <v>123.44</v>
      </c>
      <c r="P13" s="64">
        <f t="shared" ca="1" si="6"/>
        <v>124.73699999999999</v>
      </c>
      <c r="Q13" s="64">
        <f t="shared" ca="1" si="6"/>
        <v>124.011</v>
      </c>
      <c r="R13" s="64">
        <f t="shared" ca="1" si="6"/>
        <v>124</v>
      </c>
      <c r="S13" s="64">
        <f t="shared" ca="1" si="6"/>
        <v>124</v>
      </c>
      <c r="T13" s="64">
        <f t="shared" ca="1" si="6"/>
        <v>124.181</v>
      </c>
      <c r="U13" s="64">
        <f t="shared" ca="1" si="6"/>
        <v>123.825</v>
      </c>
      <c r="V13" s="64">
        <f t="shared" ca="1" si="6"/>
        <v>124</v>
      </c>
      <c r="W13" s="64">
        <f t="shared" ca="1" si="6"/>
        <v>124.33</v>
      </c>
      <c r="X13" s="64">
        <f t="shared" ca="1" si="6"/>
        <v>124</v>
      </c>
      <c r="Y13" s="64">
        <f t="shared" ca="1" si="6"/>
        <v>124.08499999999999</v>
      </c>
      <c r="Z13" s="64">
        <f t="shared" ca="1" si="6"/>
        <v>124.006</v>
      </c>
      <c r="AA13" s="64">
        <f t="shared" ca="1" si="6"/>
        <v>123.738</v>
      </c>
      <c r="AB13" s="64">
        <f t="shared" ca="1" si="6"/>
        <v>124.502</v>
      </c>
    </row>
    <row r="14" spans="1:30" ht="15" customHeight="1" x14ac:dyDescent="0.2">
      <c r="B14" s="70"/>
      <c r="C14" s="70"/>
      <c r="D14" s="70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  <c r="AA14" s="71"/>
      <c r="AB14" s="71"/>
    </row>
    <row r="18" spans="3:3" x14ac:dyDescent="0.2">
      <c r="C18" s="195"/>
    </row>
    <row r="19" spans="3:3" x14ac:dyDescent="0.2">
      <c r="C19" s="195"/>
    </row>
    <row r="20" spans="3:3" x14ac:dyDescent="0.2">
      <c r="C20" s="195"/>
    </row>
    <row r="21" spans="3:3" x14ac:dyDescent="0.2">
      <c r="C21" s="195"/>
    </row>
    <row r="22" spans="3:3" x14ac:dyDescent="0.2">
      <c r="C22" s="195"/>
    </row>
  </sheetData>
  <mergeCells count="1">
    <mergeCell ref="C6:D7"/>
  </mergeCells>
  <pageMargins left="0.7" right="0.7" top="0.78740157499999996" bottom="0.78740157499999996" header="0.3" footer="0.3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List2"/>
  <dimension ref="A1:J17"/>
  <sheetViews>
    <sheetView workbookViewId="0">
      <selection activeCell="H22" sqref="H22"/>
    </sheetView>
  </sheetViews>
  <sheetFormatPr defaultColWidth="8.85546875" defaultRowHeight="15" customHeight="1" x14ac:dyDescent="0.2"/>
  <cols>
    <col min="1" max="1" width="1.7109375" style="1" customWidth="1"/>
    <col min="2" max="3" width="12.7109375" style="1" customWidth="1"/>
    <col min="4" max="4" width="1.7109375" style="1" customWidth="1"/>
    <col min="5" max="6" width="12.7109375" style="1" customWidth="1"/>
    <col min="7" max="7" width="1.7109375" style="1" customWidth="1"/>
    <col min="8" max="9" width="12.7109375" style="1" customWidth="1"/>
    <col min="10" max="16384" width="8.85546875" style="1"/>
  </cols>
  <sheetData>
    <row r="1" spans="1:10" ht="10.35" customHeight="1" thickBot="1" x14ac:dyDescent="0.25">
      <c r="B1" s="4"/>
      <c r="C1" s="4"/>
    </row>
    <row r="2" spans="1:10" ht="15" customHeight="1" x14ac:dyDescent="0.2">
      <c r="A2" s="2"/>
      <c r="B2" s="248" t="s">
        <v>49</v>
      </c>
      <c r="C2" s="249"/>
      <c r="D2" s="8"/>
      <c r="E2" s="248" t="s">
        <v>4</v>
      </c>
      <c r="F2" s="249"/>
      <c r="G2" s="9"/>
      <c r="H2" s="248" t="s">
        <v>5</v>
      </c>
      <c r="I2" s="249"/>
    </row>
    <row r="3" spans="1:10" ht="15" customHeight="1" x14ac:dyDescent="0.2">
      <c r="A3" s="2"/>
      <c r="B3" s="6" t="s">
        <v>50</v>
      </c>
      <c r="C3" s="7" t="s">
        <v>51</v>
      </c>
      <c r="D3" s="3"/>
      <c r="E3" s="6" t="s">
        <v>50</v>
      </c>
      <c r="F3" s="7" t="s">
        <v>51</v>
      </c>
      <c r="H3" s="6" t="s">
        <v>50</v>
      </c>
      <c r="I3" s="7" t="s">
        <v>51</v>
      </c>
    </row>
    <row r="4" spans="1:10" ht="15" customHeight="1" x14ac:dyDescent="0.2">
      <c r="A4" s="2"/>
      <c r="B4" s="15">
        <v>1</v>
      </c>
      <c r="C4" s="16">
        <v>7.0000000000000007E-2</v>
      </c>
      <c r="D4" s="14"/>
      <c r="E4" s="15">
        <v>1</v>
      </c>
      <c r="F4" s="16">
        <v>0.1</v>
      </c>
      <c r="G4" s="14"/>
      <c r="H4" s="15">
        <v>1</v>
      </c>
      <c r="I4" s="16">
        <v>0.08</v>
      </c>
      <c r="J4" s="3"/>
    </row>
    <row r="5" spans="1:10" ht="15" customHeight="1" x14ac:dyDescent="0.2">
      <c r="A5" s="2"/>
      <c r="B5" s="17">
        <v>2</v>
      </c>
      <c r="C5" s="18">
        <v>0.08</v>
      </c>
      <c r="D5" s="14"/>
      <c r="E5" s="17">
        <v>2</v>
      </c>
      <c r="F5" s="18">
        <v>0.09</v>
      </c>
      <c r="G5" s="14"/>
      <c r="H5" s="17">
        <v>2</v>
      </c>
      <c r="I5" s="18">
        <v>7.0000000000000007E-2</v>
      </c>
      <c r="J5" s="3"/>
    </row>
    <row r="6" spans="1:10" ht="15" customHeight="1" x14ac:dyDescent="0.2">
      <c r="A6" s="2"/>
      <c r="B6" s="17">
        <v>3</v>
      </c>
      <c r="C6" s="18">
        <v>0.09</v>
      </c>
      <c r="D6" s="14"/>
      <c r="E6" s="17">
        <v>3</v>
      </c>
      <c r="F6" s="18">
        <v>0.08</v>
      </c>
      <c r="G6" s="14"/>
      <c r="H6" s="17">
        <v>3</v>
      </c>
      <c r="I6" s="18">
        <v>7.0000000000000007E-2</v>
      </c>
      <c r="J6" s="3"/>
    </row>
    <row r="7" spans="1:10" ht="15" customHeight="1" x14ac:dyDescent="0.2">
      <c r="A7" s="2"/>
      <c r="B7" s="17">
        <v>4</v>
      </c>
      <c r="C7" s="18">
        <v>0.08</v>
      </c>
      <c r="D7" s="14"/>
      <c r="E7" s="17">
        <v>4</v>
      </c>
      <c r="F7" s="18">
        <v>7.0000000000000007E-2</v>
      </c>
      <c r="G7" s="14"/>
      <c r="H7" s="17">
        <v>4</v>
      </c>
      <c r="I7" s="18">
        <v>7.0000000000000007E-2</v>
      </c>
      <c r="J7" s="3"/>
    </row>
    <row r="8" spans="1:10" ht="15" customHeight="1" x14ac:dyDescent="0.2">
      <c r="A8" s="2"/>
      <c r="B8" s="17">
        <v>5</v>
      </c>
      <c r="C8" s="18">
        <v>7.0000000000000007E-2</v>
      </c>
      <c r="D8" s="14"/>
      <c r="E8" s="17">
        <v>5</v>
      </c>
      <c r="F8" s="18">
        <v>7.0000000000000007E-2</v>
      </c>
      <c r="G8" s="14"/>
      <c r="H8" s="17">
        <v>5</v>
      </c>
      <c r="I8" s="18">
        <v>7.0000000000000007E-2</v>
      </c>
      <c r="J8" s="3"/>
    </row>
    <row r="9" spans="1:10" ht="15" customHeight="1" x14ac:dyDescent="0.2">
      <c r="A9" s="2"/>
      <c r="B9" s="17">
        <v>6</v>
      </c>
      <c r="C9" s="18">
        <v>7.0000000000000007E-2</v>
      </c>
      <c r="D9" s="14"/>
      <c r="E9" s="17">
        <v>6</v>
      </c>
      <c r="F9" s="18">
        <v>0.06</v>
      </c>
      <c r="G9" s="14"/>
      <c r="H9" s="17">
        <v>6</v>
      </c>
      <c r="I9" s="18">
        <v>7.0000000000000007E-2</v>
      </c>
      <c r="J9" s="3"/>
    </row>
    <row r="10" spans="1:10" ht="15" customHeight="1" x14ac:dyDescent="0.2">
      <c r="A10" s="2"/>
      <c r="B10" s="17">
        <v>7</v>
      </c>
      <c r="C10" s="18">
        <v>0.08</v>
      </c>
      <c r="D10" s="14"/>
      <c r="E10" s="17">
        <v>7</v>
      </c>
      <c r="F10" s="18">
        <v>0.06</v>
      </c>
      <c r="G10" s="14"/>
      <c r="H10" s="17">
        <v>7</v>
      </c>
      <c r="I10" s="18">
        <v>7.0000000000000007E-2</v>
      </c>
      <c r="J10" s="3"/>
    </row>
    <row r="11" spans="1:10" ht="15" customHeight="1" x14ac:dyDescent="0.2">
      <c r="A11" s="2"/>
      <c r="B11" s="17">
        <v>8</v>
      </c>
      <c r="C11" s="18">
        <v>0.09</v>
      </c>
      <c r="D11" s="14"/>
      <c r="E11" s="17">
        <v>8</v>
      </c>
      <c r="F11" s="18">
        <v>0.06</v>
      </c>
      <c r="G11" s="14"/>
      <c r="H11" s="17">
        <v>8</v>
      </c>
      <c r="I11" s="18">
        <v>0.08</v>
      </c>
      <c r="J11" s="3"/>
    </row>
    <row r="12" spans="1:10" ht="15" customHeight="1" x14ac:dyDescent="0.2">
      <c r="A12" s="2"/>
      <c r="B12" s="17">
        <v>9</v>
      </c>
      <c r="C12" s="18">
        <v>0.1</v>
      </c>
      <c r="D12" s="14"/>
      <c r="E12" s="17">
        <v>9</v>
      </c>
      <c r="F12" s="18">
        <v>7.0000000000000007E-2</v>
      </c>
      <c r="G12" s="14"/>
      <c r="H12" s="17">
        <v>9</v>
      </c>
      <c r="I12" s="18">
        <v>0.09</v>
      </c>
      <c r="J12" s="3"/>
    </row>
    <row r="13" spans="1:10" ht="15" customHeight="1" x14ac:dyDescent="0.2">
      <c r="A13" s="2"/>
      <c r="B13" s="17">
        <v>10</v>
      </c>
      <c r="C13" s="18">
        <v>0.1</v>
      </c>
      <c r="D13" s="14"/>
      <c r="E13" s="17">
        <v>10</v>
      </c>
      <c r="F13" s="18">
        <v>0.09</v>
      </c>
      <c r="G13" s="14"/>
      <c r="H13" s="17">
        <v>10</v>
      </c>
      <c r="I13" s="18">
        <v>0.1</v>
      </c>
      <c r="J13" s="3"/>
    </row>
    <row r="14" spans="1:10" ht="15" customHeight="1" x14ac:dyDescent="0.2">
      <c r="A14" s="2"/>
      <c r="B14" s="17">
        <v>11</v>
      </c>
      <c r="C14" s="18">
        <v>0.13</v>
      </c>
      <c r="D14" s="14"/>
      <c r="E14" s="17">
        <v>11</v>
      </c>
      <c r="F14" s="18">
        <v>0.11</v>
      </c>
      <c r="G14" s="14"/>
      <c r="H14" s="17">
        <v>11</v>
      </c>
      <c r="I14" s="18">
        <v>0.11</v>
      </c>
      <c r="J14" s="3"/>
    </row>
    <row r="15" spans="1:10" ht="15" customHeight="1" x14ac:dyDescent="0.2">
      <c r="A15" s="2"/>
      <c r="B15" s="19">
        <v>12</v>
      </c>
      <c r="C15" s="20">
        <v>0.05</v>
      </c>
      <c r="D15" s="14"/>
      <c r="E15" s="19">
        <v>12</v>
      </c>
      <c r="F15" s="20">
        <v>0.14000000000000001</v>
      </c>
      <c r="G15" s="14"/>
      <c r="H15" s="19">
        <v>12</v>
      </c>
      <c r="I15" s="20">
        <v>0.12</v>
      </c>
      <c r="J15" s="3"/>
    </row>
    <row r="16" spans="1:10" ht="15" customHeight="1" thickBot="1" x14ac:dyDescent="0.25">
      <c r="A16" s="2"/>
      <c r="B16" s="10" t="s">
        <v>37</v>
      </c>
      <c r="C16" s="11">
        <f ca="1">SUM(C4:C15)</f>
        <v>1</v>
      </c>
      <c r="D16" s="12"/>
      <c r="E16" s="10" t="s">
        <v>37</v>
      </c>
      <c r="F16" s="11">
        <f ca="1">SUM(F4:F15)</f>
        <v>1</v>
      </c>
      <c r="G16" s="13"/>
      <c r="H16" s="10" t="s">
        <v>37</v>
      </c>
      <c r="I16" s="11">
        <f ca="1">SUM(I4:I15)</f>
        <v>0.99999999999999989</v>
      </c>
    </row>
    <row r="17" spans="2:3" ht="15" customHeight="1" x14ac:dyDescent="0.2">
      <c r="B17" s="5"/>
      <c r="C17" s="5"/>
    </row>
  </sheetData>
  <mergeCells count="3">
    <mergeCell ref="B2:C2"/>
    <mergeCell ref="E2:F2"/>
    <mergeCell ref="H2:I2"/>
  </mergeCells>
  <pageMargins left="0.7" right="0.7" top="0.78740157499999996" bottom="0.78740157499999996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10</vt:i4>
      </vt:variant>
      <vt:variant>
        <vt:lpstr>Pojmenované oblasti</vt:lpstr>
      </vt:variant>
      <vt:variant>
        <vt:i4>5</vt:i4>
      </vt:variant>
    </vt:vector>
  </HeadingPairs>
  <TitlesOfParts>
    <vt:vector size="15" baseType="lpstr">
      <vt:lpstr>API</vt:lpstr>
      <vt:lpstr>Model výnosů</vt:lpstr>
      <vt:lpstr>Účty s vývojem</vt:lpstr>
      <vt:lpstr>Penize stav</vt:lpstr>
      <vt:lpstr>Sklady</vt:lpstr>
      <vt:lpstr>Prodej</vt:lpstr>
      <vt:lpstr>Pohledávky a závazky</vt:lpstr>
      <vt:lpstr>Majetek</vt:lpstr>
      <vt:lpstr>Mzdy</vt:lpstr>
      <vt:lpstr>Sezona</vt:lpstr>
      <vt:lpstr>ConnectionTimeout</vt:lpstr>
      <vt:lpstr>Password</vt:lpstr>
      <vt:lpstr>Timeout</vt:lpstr>
      <vt:lpstr>URL</vt:lpstr>
      <vt:lpstr>Username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Josef Melichárek</cp:lastModifiedBy>
  <cp:lastPrinted>2018-07-16T07:49:44Z</cp:lastPrinted>
  <dcterms:created xsi:type="dcterms:W3CDTF">2009-05-28T11:25:29Z</dcterms:created>
  <dcterms:modified xsi:type="dcterms:W3CDTF">2019-11-19T14:12:09Z</dcterms:modified>
</cp:coreProperties>
</file>