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Projects\Excel\"/>
    </mc:Choice>
  </mc:AlternateContent>
  <xr:revisionPtr revIDLastSave="0" documentId="13_ncr:1_{D648954C-A102-4000-9225-53CB64DD50EB}" xr6:coauthVersionLast="46" xr6:coauthVersionMax="46" xr10:uidLastSave="{00000000-0000-0000-0000-000000000000}"/>
  <bookViews>
    <workbookView xWindow="28845" yWindow="-7755" windowWidth="29040" windowHeight="15840" tabRatio="674" xr2:uid="{00000000-000D-0000-FFFF-FFFF00000000}"/>
  </bookViews>
  <sheets>
    <sheet name="API" sheetId="15" r:id="rId1"/>
    <sheet name="Náklady a výnosy" sheetId="1" r:id="rId2"/>
    <sheet name="Účty s vývojem" sheetId="9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" i="13" l="1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18" i="12"/>
  <c r="F19" i="12"/>
  <c r="F18" i="12"/>
  <c r="E19" i="12"/>
  <c r="E18" i="12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P7" i="13"/>
  <c r="P6" i="13"/>
  <c r="O7" i="13"/>
  <c r="O6" i="13"/>
  <c r="N7" i="13"/>
  <c r="N6" i="13"/>
  <c r="M7" i="13"/>
  <c r="M6" i="13"/>
  <c r="L7" i="13"/>
  <c r="L6" i="13"/>
  <c r="K7" i="13"/>
  <c r="J7" i="13"/>
  <c r="J6" i="13"/>
  <c r="I7" i="13"/>
  <c r="I6" i="13"/>
  <c r="H7" i="13"/>
  <c r="H6" i="13"/>
  <c r="G7" i="13"/>
  <c r="G6" i="13"/>
  <c r="F7" i="13"/>
  <c r="F6" i="13"/>
  <c r="E7" i="13"/>
  <c r="E6" i="13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E7" i="12"/>
  <c r="E6" i="12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E7" i="10"/>
  <c r="E6" i="10"/>
  <c r="AA7" i="9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O7" i="1"/>
  <c r="O6" i="1"/>
  <c r="N7" i="1"/>
  <c r="N6" i="1"/>
  <c r="M7" i="1"/>
  <c r="M6" i="1"/>
  <c r="L7" i="1"/>
  <c r="L6" i="1"/>
  <c r="K7" i="1"/>
  <c r="K6" i="1"/>
  <c r="J7" i="1"/>
  <c r="J6" i="1"/>
  <c r="I7" i="1"/>
  <c r="I6" i="1"/>
  <c r="H7" i="1"/>
  <c r="H6" i="1"/>
  <c r="G7" i="1"/>
  <c r="G6" i="1"/>
  <c r="F7" i="1"/>
  <c r="F6" i="1"/>
  <c r="E7" i="1"/>
  <c r="E6" i="1"/>
  <c r="D7" i="1"/>
  <c r="D6" i="1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B19" i="12"/>
  <c r="G22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AB21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M8" i="10"/>
  <c r="F1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Q8" i="13"/>
  <c r="Q10" i="13"/>
  <c r="P8" i="13"/>
  <c r="O8" i="13"/>
  <c r="V8" i="13"/>
  <c r="W8" i="13"/>
  <c r="X8" i="13"/>
  <c r="Y8" i="13"/>
  <c r="Z8" i="13"/>
  <c r="AA8" i="13"/>
  <c r="X10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A8" i="9"/>
  <c r="Y22" i="14"/>
  <c r="Y8" i="14"/>
  <c r="X11" i="11"/>
  <c r="X8" i="11"/>
  <c r="Z8" i="9"/>
  <c r="Y17" i="10"/>
  <c r="Y11" i="10"/>
  <c r="Y11" i="12"/>
  <c r="Y8" i="10"/>
  <c r="Y8" i="12"/>
  <c r="X22" i="14"/>
  <c r="Y8" i="9"/>
  <c r="X8" i="14"/>
  <c r="W11" i="11"/>
  <c r="W8" i="11"/>
  <c r="X8" i="9"/>
  <c r="X17" i="10"/>
  <c r="X11" i="10"/>
  <c r="X11" i="12"/>
  <c r="X8" i="10"/>
  <c r="X8" i="12"/>
  <c r="AA8" i="1"/>
  <c r="W22" i="14"/>
  <c r="W8" i="9"/>
  <c r="W8" i="14"/>
  <c r="V11" i="11"/>
  <c r="V8" i="11"/>
  <c r="V8" i="9"/>
  <c r="W17" i="10"/>
  <c r="W11" i="10"/>
  <c r="W11" i="12"/>
  <c r="W8" i="10"/>
  <c r="W8" i="12"/>
  <c r="Z8" i="1"/>
  <c r="V22" i="14"/>
  <c r="U8" i="9"/>
  <c r="V8" i="14"/>
  <c r="U11" i="11"/>
  <c r="U8" i="11"/>
  <c r="T8" i="9"/>
  <c r="V11" i="10"/>
  <c r="V17" i="10"/>
  <c r="V11" i="12"/>
  <c r="V8" i="10"/>
  <c r="V8" i="12"/>
  <c r="Y8" i="1"/>
  <c r="U22" i="14"/>
  <c r="S8" i="9"/>
  <c r="U8" i="14"/>
  <c r="T11" i="11"/>
  <c r="T8" i="11"/>
  <c r="R8" i="9"/>
  <c r="U11" i="10"/>
  <c r="U17" i="10"/>
  <c r="U11" i="12"/>
  <c r="U8" i="10"/>
  <c r="U8" i="12"/>
  <c r="X8" i="1"/>
  <c r="T22" i="14"/>
  <c r="Q8" i="9"/>
  <c r="T8" i="14"/>
  <c r="S11" i="11"/>
  <c r="S8" i="11"/>
  <c r="P8" i="9"/>
  <c r="T11" i="10"/>
  <c r="T17" i="10"/>
  <c r="T11" i="12"/>
  <c r="T8" i="10"/>
  <c r="T8" i="12"/>
  <c r="W8" i="1"/>
  <c r="S22" i="14"/>
  <c r="O8" i="9"/>
  <c r="S8" i="14"/>
  <c r="R11" i="11"/>
  <c r="R8" i="11"/>
  <c r="N8" i="9"/>
  <c r="S11" i="10"/>
  <c r="S17" i="10"/>
  <c r="S11" i="12"/>
  <c r="S8" i="10"/>
  <c r="S8" i="12"/>
  <c r="V8" i="1"/>
  <c r="R22" i="14"/>
  <c r="M8" i="9"/>
  <c r="R8" i="14"/>
  <c r="Q11" i="11"/>
  <c r="Q8" i="11"/>
  <c r="L8" i="9"/>
  <c r="R17" i="10"/>
  <c r="R11" i="10"/>
  <c r="R11" i="12"/>
  <c r="R8" i="10"/>
  <c r="R8" i="12"/>
  <c r="U8" i="1"/>
  <c r="Q22" i="14"/>
  <c r="K8" i="9"/>
  <c r="Q8" i="14"/>
  <c r="P11" i="11"/>
  <c r="P8" i="11"/>
  <c r="J8" i="9"/>
  <c r="Q17" i="10"/>
  <c r="Q11" i="10"/>
  <c r="Q11" i="12"/>
  <c r="Q8" i="10"/>
  <c r="Q8" i="12"/>
  <c r="T8" i="1"/>
  <c r="P22" i="14"/>
  <c r="I8" i="9"/>
  <c r="P8" i="14"/>
  <c r="O11" i="11"/>
  <c r="O8" i="11"/>
  <c r="H8" i="9"/>
  <c r="P17" i="10"/>
  <c r="P11" i="10"/>
  <c r="P11" i="12"/>
  <c r="P8" i="10"/>
  <c r="P8" i="12"/>
  <c r="S8" i="1"/>
  <c r="O22" i="14"/>
  <c r="G8" i="9"/>
  <c r="O8" i="14"/>
  <c r="N11" i="11"/>
  <c r="N8" i="11"/>
  <c r="F8" i="9"/>
  <c r="O17" i="10"/>
  <c r="O11" i="10"/>
  <c r="O11" i="12"/>
  <c r="O8" i="10"/>
  <c r="O8" i="12"/>
  <c r="R8" i="1"/>
  <c r="N22" i="14"/>
  <c r="E8" i="9"/>
  <c r="N8" i="14"/>
  <c r="M11" i="11"/>
  <c r="M8" i="11"/>
  <c r="D8" i="9"/>
  <c r="N17" i="10"/>
  <c r="N11" i="10"/>
  <c r="N11" i="12"/>
  <c r="N8" i="10"/>
  <c r="N8" i="12"/>
  <c r="Q8" i="1"/>
  <c r="M22" i="14"/>
  <c r="D11" i="9"/>
  <c r="M8" i="14"/>
  <c r="L11" i="11"/>
  <c r="L8" i="11"/>
  <c r="E11" i="9"/>
  <c r="M17" i="10"/>
  <c r="M11" i="10"/>
  <c r="M11" i="12"/>
  <c r="M8" i="12"/>
  <c r="P8" i="1"/>
  <c r="L22" i="14"/>
  <c r="F11" i="9"/>
  <c r="L8" i="14"/>
  <c r="K11" i="11"/>
  <c r="K8" i="11"/>
  <c r="G11" i="9"/>
  <c r="L17" i="10"/>
  <c r="L11" i="10"/>
  <c r="L11" i="12"/>
  <c r="L8" i="10"/>
  <c r="L8" i="12"/>
  <c r="O8" i="1"/>
  <c r="K22" i="14"/>
  <c r="H11" i="9"/>
  <c r="K8" i="14"/>
  <c r="J11" i="11"/>
  <c r="J8" i="11"/>
  <c r="I11" i="9"/>
  <c r="K17" i="10"/>
  <c r="K11" i="10"/>
  <c r="K11" i="12"/>
  <c r="K8" i="10"/>
  <c r="K8" i="12"/>
  <c r="N8" i="1"/>
  <c r="J22" i="14"/>
  <c r="J11" i="9"/>
  <c r="J8" i="14"/>
  <c r="I11" i="11"/>
  <c r="I8" i="11"/>
  <c r="K11" i="9"/>
  <c r="J11" i="10"/>
  <c r="J17" i="10"/>
  <c r="J11" i="12"/>
  <c r="J8" i="10"/>
  <c r="J8" i="12"/>
  <c r="M8" i="1"/>
  <c r="I22" i="14"/>
  <c r="L11" i="9"/>
  <c r="I8" i="14"/>
  <c r="H11" i="11"/>
  <c r="H8" i="11"/>
  <c r="M11" i="9"/>
  <c r="I11" i="10"/>
  <c r="I17" i="10"/>
  <c r="I11" i="12"/>
  <c r="I8" i="10"/>
  <c r="I8" i="12"/>
  <c r="L8" i="1"/>
  <c r="H22" i="14"/>
  <c r="N11" i="9"/>
  <c r="H8" i="14"/>
  <c r="G11" i="11"/>
  <c r="G8" i="11"/>
  <c r="O11" i="9"/>
  <c r="H17" i="10"/>
  <c r="H11" i="10"/>
  <c r="H11" i="12"/>
  <c r="H8" i="10"/>
  <c r="H8" i="12"/>
  <c r="K8" i="1"/>
  <c r="G22" i="14"/>
  <c r="P11" i="9"/>
  <c r="G8" i="14"/>
  <c r="F11" i="11"/>
  <c r="F8" i="11"/>
  <c r="Q11" i="9"/>
  <c r="G17" i="10"/>
  <c r="G11" i="10"/>
  <c r="G11" i="12"/>
  <c r="G8" i="10"/>
  <c r="G8" i="12"/>
  <c r="J8" i="1"/>
  <c r="F22" i="14"/>
  <c r="R11" i="9"/>
  <c r="F8" i="14"/>
  <c r="E11" i="11"/>
  <c r="E8" i="11"/>
  <c r="S11" i="9"/>
  <c r="F17" i="10"/>
  <c r="F11" i="10"/>
  <c r="F11" i="12"/>
  <c r="F8" i="10"/>
  <c r="F8" i="12"/>
  <c r="I8" i="1"/>
  <c r="E22" i="14"/>
  <c r="T11" i="9"/>
  <c r="E8" i="14"/>
  <c r="U11" i="9"/>
  <c r="E11" i="10"/>
  <c r="E17" i="10"/>
  <c r="E8" i="10"/>
  <c r="E11" i="12"/>
  <c r="E8" i="12"/>
  <c r="H8" i="1"/>
  <c r="V11" i="9"/>
  <c r="W11" i="9"/>
  <c r="G8" i="1"/>
  <c r="X11" i="9"/>
  <c r="Y11" i="9"/>
  <c r="F8" i="1"/>
  <c r="Z11" i="9"/>
  <c r="AA11" i="9"/>
  <c r="E8" i="1"/>
  <c r="D8" i="1"/>
</calcChain>
</file>

<file path=xl/sharedStrings.xml><?xml version="1.0" encoding="utf-8"?>
<sst xmlns="http://schemas.openxmlformats.org/spreadsheetml/2006/main" count="123" uniqueCount="79">
  <si>
    <t>Období</t>
  </si>
  <si>
    <t>Celkem</t>
  </si>
  <si>
    <t>Účet</t>
  </si>
  <si>
    <t>Historie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</si>
  <si>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</si>
  <si>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</si>
  <si>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</si>
  <si>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</si>
  <si>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</si>
  <si>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</si>
  <si>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</si>
  <si>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</si>
  <si>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</si>
  <si>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</si>
  <si>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</si>
  <si>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</si>
  <si>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</si>
  <si>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</si>
  <si>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</si>
  <si>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</si>
  <si>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</si>
  <si>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</si>
  <si>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</si>
  <si>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</si>
  <si>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</si>
  <si>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</si>
  <si>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</si>
  <si>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</si>
  <si>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</si>
  <si>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</si>
  <si>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</si>
  <si>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</si>
  <si>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</si>
  <si>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</si>
  <si>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</si>
  <si>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</si>
  <si>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</si>
  <si>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</si>
  <si>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</si>
  <si>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</si>
  <si>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</si>
  <si>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</si>
  <si>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</si>
  <si>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</si>
  <si>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</si>
  <si>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</si>
  <si>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</si>
  <si>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</si>
  <si>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</si>
  <si>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</si>
  <si>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</si>
  <si>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</si>
  <si>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</si>
  <si>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</si>
  <si>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</si>
  <si>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</si>
  <si>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</si>
  <si>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</si>
  <si>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</si>
  <si>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</si>
  <si>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</si>
  <si>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</si>
  <si>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</si>
  <si>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</si>
  <si>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</si>
  <si>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</si>
  <si>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</si>
  <si>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</si>
  <si>
    <t>6</t>
  </si>
  <si>
    <t>5</t>
  </si>
  <si>
    <t>Náklady</t>
  </si>
  <si>
    <t>Výnosy</t>
  </si>
  <si>
    <t>24 měsíců</t>
  </si>
  <si>
    <t>Supervisor</t>
  </si>
  <si>
    <t>http://localhost/data</t>
  </si>
  <si>
    <t>Hardware</t>
  </si>
  <si>
    <t>Software</t>
  </si>
  <si>
    <t>Skladové menu</t>
  </si>
  <si>
    <t>v3.9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</si>
</sst>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#,##0.000\ _K_č"/>
    <numFmt numFmtId="170" formatCode="yyyy\/mm"/>
  </numFmts>
  <fonts count="15" x14ac:knownFonts="1">
    <font>
      <sz val="10"/>
      <name val="Arial"/>
      <charset val="238"/>
    </font>
    <font>
      <sz val="8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B76D2"/>
        <bgColor indexed="64"/>
      </patternFill>
    </fill>
  </fills>
  <borders count="57">
    <border>
      <left/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0">
    <xf numFmtId="0" fontId="0" fillId="0" borderId="0" xfId="0"/>
    <xf numFmtId="0" fontId="4" fillId="0" borderId="40" xfId="0" applyFont="1" applyBorder="1"/>
    <xf numFmtId="0" fontId="3" fillId="0" borderId="40" xfId="0" applyFont="1" applyBorder="1"/>
    <xf numFmtId="0" fontId="5" fillId="0" borderId="40" xfId="1" applyBorder="1"/>
    <xf numFmtId="0" fontId="5" fillId="2" borderId="0" xfId="1" applyFill="1"/>
    <xf numFmtId="166" fontId="6" fillId="3" borderId="4" xfId="0" applyNumberFormat="1" applyFont="1" applyFill="1" applyBorder="1"/>
    <xf numFmtId="166" fontId="7" fillId="3" borderId="5" xfId="0" applyNumberFormat="1" applyFont="1" applyFill="1" applyBorder="1"/>
    <xf numFmtId="164" fontId="7" fillId="2" borderId="0" xfId="0" applyNumberFormat="1" applyFont="1" applyFill="1" applyBorder="1" applyAlignment="1">
      <alignment horizontal="right" vertical="center"/>
    </xf>
    <xf numFmtId="166" fontId="7" fillId="3" borderId="0" xfId="0" applyNumberFormat="1" applyFont="1" applyFill="1" applyBorder="1" applyAlignment="1"/>
    <xf numFmtId="0" fontId="7" fillId="3" borderId="1" xfId="0" applyFont="1" applyFill="1" applyBorder="1" applyAlignment="1"/>
    <xf numFmtId="0" fontId="7" fillId="3" borderId="0" xfId="0" applyFont="1" applyFill="1" applyBorder="1" applyAlignment="1"/>
    <xf numFmtId="165" fontId="8" fillId="3" borderId="23" xfId="0" applyNumberFormat="1" applyFont="1" applyFill="1" applyBorder="1" applyAlignment="1">
      <alignment vertical="center"/>
    </xf>
    <xf numFmtId="165" fontId="8" fillId="3" borderId="24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/>
    </xf>
    <xf numFmtId="165" fontId="10" fillId="0" borderId="3" xfId="0" applyNumberFormat="1" applyFont="1" applyFill="1" applyBorder="1" applyAlignment="1">
      <alignment horizontal="left"/>
    </xf>
    <xf numFmtId="165" fontId="11" fillId="0" borderId="3" xfId="0" applyNumberFormat="1" applyFont="1" applyFill="1" applyBorder="1" applyAlignment="1">
      <alignment horizontal="left"/>
    </xf>
    <xf numFmtId="165" fontId="4" fillId="0" borderId="3" xfId="0" applyNumberFormat="1" applyFont="1" applyFill="1" applyBorder="1" applyAlignment="1">
      <alignment horizontal="left"/>
    </xf>
    <xf numFmtId="166" fontId="6" fillId="3" borderId="5" xfId="0" applyNumberFormat="1" applyFont="1" applyFill="1" applyBorder="1"/>
    <xf numFmtId="166" fontId="7" fillId="3" borderId="0" xfId="0" applyNumberFormat="1" applyFont="1" applyFill="1" applyBorder="1" applyAlignment="1">
      <alignment horizontal="right" vertical="center"/>
    </xf>
    <xf numFmtId="166" fontId="7" fillId="3" borderId="1" xfId="0" applyNumberFormat="1" applyFont="1" applyFill="1" applyBorder="1" applyAlignment="1">
      <alignment horizontal="left"/>
    </xf>
    <xf numFmtId="166" fontId="7" fillId="3" borderId="1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vertical="center"/>
    </xf>
    <xf numFmtId="166" fontId="9" fillId="0" borderId="3" xfId="0" applyNumberFormat="1" applyFont="1" applyFill="1" applyBorder="1"/>
    <xf numFmtId="4" fontId="4" fillId="0" borderId="3" xfId="0" applyNumberFormat="1" applyFont="1" applyFill="1" applyBorder="1"/>
    <xf numFmtId="0" fontId="4" fillId="0" borderId="3" xfId="0" applyFont="1" applyFill="1" applyBorder="1"/>
    <xf numFmtId="0" fontId="9" fillId="0" borderId="3" xfId="0" applyFont="1" applyFill="1" applyBorder="1"/>
    <xf numFmtId="166" fontId="7" fillId="3" borderId="0" xfId="0" applyNumberFormat="1" applyFont="1" applyFill="1" applyBorder="1"/>
    <xf numFmtId="164" fontId="12" fillId="0" borderId="3" xfId="0" applyNumberFormat="1" applyFont="1" applyFill="1" applyBorder="1" applyAlignment="1">
      <alignment vertical="center"/>
    </xf>
    <xf numFmtId="164" fontId="9" fillId="0" borderId="3" xfId="0" applyNumberFormat="1" applyFont="1" applyFill="1" applyBorder="1"/>
    <xf numFmtId="164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/>
    <xf numFmtId="166" fontId="9" fillId="0" borderId="3" xfId="0" applyNumberFormat="1" applyFont="1" applyFill="1" applyBorder="1" applyAlignment="1"/>
    <xf numFmtId="0" fontId="9" fillId="0" borderId="3" xfId="0" applyFont="1" applyFill="1" applyBorder="1" applyAlignment="1"/>
    <xf numFmtId="166" fontId="9" fillId="0" borderId="32" xfId="0" applyNumberFormat="1" applyFont="1" applyFill="1" applyBorder="1"/>
    <xf numFmtId="164" fontId="7" fillId="3" borderId="20" xfId="0" applyNumberFormat="1" applyFont="1" applyFill="1" applyBorder="1" applyAlignment="1">
      <alignment vertical="center"/>
    </xf>
    <xf numFmtId="164" fontId="7" fillId="3" borderId="22" xfId="0" applyNumberFormat="1" applyFont="1" applyFill="1" applyBorder="1" applyAlignment="1">
      <alignment vertical="center"/>
    </xf>
    <xf numFmtId="164" fontId="7" fillId="3" borderId="7" xfId="0" applyNumberFormat="1" applyFont="1" applyFill="1" applyBorder="1" applyAlignment="1">
      <alignment vertical="center"/>
    </xf>
    <xf numFmtId="168" fontId="8" fillId="3" borderId="25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horizontal="right" vertical="center"/>
    </xf>
    <xf numFmtId="49" fontId="7" fillId="0" borderId="16" xfId="0" applyNumberFormat="1" applyFont="1" applyFill="1" applyBorder="1" applyAlignment="1">
      <alignment vertical="center"/>
    </xf>
    <xf numFmtId="49" fontId="7" fillId="0" borderId="42" xfId="0" applyNumberFormat="1" applyFont="1" applyFill="1" applyBorder="1" applyAlignment="1">
      <alignment vertical="center"/>
    </xf>
    <xf numFmtId="49" fontId="7" fillId="0" borderId="17" xfId="0" applyNumberFormat="1" applyFont="1" applyFill="1" applyBorder="1" applyAlignment="1">
      <alignment vertical="center"/>
    </xf>
    <xf numFmtId="3" fontId="7" fillId="0" borderId="17" xfId="0" applyNumberFormat="1" applyFont="1" applyFill="1" applyBorder="1" applyAlignment="1">
      <alignment vertical="center"/>
    </xf>
    <xf numFmtId="49" fontId="7" fillId="0" borderId="18" xfId="0" applyNumberFormat="1" applyFont="1" applyFill="1" applyBorder="1" applyAlignment="1">
      <alignment vertical="center"/>
    </xf>
    <xf numFmtId="49" fontId="7" fillId="0" borderId="27" xfId="0" applyNumberFormat="1" applyFont="1" applyFill="1" applyBorder="1" applyAlignment="1">
      <alignment vertical="center"/>
    </xf>
    <xf numFmtId="49" fontId="7" fillId="0" borderId="19" xfId="0" applyNumberFormat="1" applyFont="1" applyFill="1" applyBorder="1" applyAlignment="1">
      <alignment vertical="center"/>
    </xf>
    <xf numFmtId="3" fontId="8" fillId="3" borderId="10" xfId="0" applyNumberFormat="1" applyFont="1" applyFill="1" applyBorder="1" applyAlignment="1">
      <alignment vertical="center"/>
    </xf>
    <xf numFmtId="3" fontId="8" fillId="3" borderId="11" xfId="0" applyNumberFormat="1" applyFont="1" applyFill="1" applyBorder="1" applyAlignment="1">
      <alignment vertical="center"/>
    </xf>
    <xf numFmtId="165" fontId="8" fillId="3" borderId="0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vertical="center"/>
    </xf>
    <xf numFmtId="4" fontId="4" fillId="0" borderId="3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49" fontId="7" fillId="0" borderId="33" xfId="0" applyNumberFormat="1" applyFont="1" applyFill="1" applyBorder="1" applyAlignment="1">
      <alignment vertical="center"/>
    </xf>
    <xf numFmtId="49" fontId="7" fillId="0" borderId="43" xfId="0" applyNumberFormat="1" applyFont="1" applyFill="1" applyBorder="1" applyAlignment="1">
      <alignment vertical="center"/>
    </xf>
    <xf numFmtId="49" fontId="7" fillId="0" borderId="35" xfId="0" applyNumberFormat="1" applyFont="1" applyFill="1" applyBorder="1" applyAlignment="1">
      <alignment vertical="center"/>
    </xf>
    <xf numFmtId="3" fontId="7" fillId="0" borderId="34" xfId="0" applyNumberFormat="1" applyFont="1" applyFill="1" applyBorder="1" applyAlignment="1">
      <alignment vertical="center"/>
    </xf>
    <xf numFmtId="49" fontId="7" fillId="0" borderId="44" xfId="0" applyNumberFormat="1" applyFont="1" applyFill="1" applyBorder="1" applyAlignment="1">
      <alignment vertical="center"/>
    </xf>
    <xf numFmtId="49" fontId="7" fillId="0" borderId="36" xfId="0" applyNumberFormat="1" applyFont="1" applyFill="1" applyBorder="1" applyAlignment="1">
      <alignment vertical="center"/>
    </xf>
    <xf numFmtId="3" fontId="8" fillId="3" borderId="14" xfId="0" applyNumberFormat="1" applyFont="1" applyFill="1" applyBorder="1" applyAlignment="1">
      <alignment vertical="center"/>
    </xf>
    <xf numFmtId="166" fontId="6" fillId="3" borderId="5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horizontal="right" vertical="center"/>
    </xf>
    <xf numFmtId="166" fontId="9" fillId="0" borderId="3" xfId="0" applyNumberFormat="1" applyFont="1" applyFill="1" applyBorder="1" applyAlignment="1">
      <alignment horizontal="right" vertical="center"/>
    </xf>
    <xf numFmtId="0" fontId="9" fillId="0" borderId="3" xfId="0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vertical="center"/>
    </xf>
    <xf numFmtId="166" fontId="7" fillId="3" borderId="5" xfId="0" applyNumberFormat="1" applyFont="1" applyFill="1" applyBorder="1" applyAlignment="1">
      <alignment vertical="center"/>
    </xf>
    <xf numFmtId="166" fontId="7" fillId="3" borderId="6" xfId="0" applyNumberFormat="1" applyFont="1" applyFill="1" applyBorder="1" applyAlignment="1">
      <alignment vertical="center"/>
    </xf>
    <xf numFmtId="166" fontId="7" fillId="3" borderId="0" xfId="0" applyNumberFormat="1" applyFont="1" applyFill="1" applyBorder="1" applyAlignment="1">
      <alignment vertical="center"/>
    </xf>
    <xf numFmtId="166" fontId="7" fillId="3" borderId="2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166" fontId="7" fillId="3" borderId="13" xfId="0" applyNumberFormat="1" applyFont="1" applyFill="1" applyBorder="1" applyAlignment="1">
      <alignment vertical="center"/>
    </xf>
    <xf numFmtId="168" fontId="8" fillId="3" borderId="29" xfId="0" applyNumberFormat="1" applyFont="1" applyFill="1" applyBorder="1" applyAlignment="1">
      <alignment horizontal="right" vertical="center"/>
    </xf>
    <xf numFmtId="3" fontId="8" fillId="0" borderId="28" xfId="0" applyNumberFormat="1" applyFont="1" applyFill="1" applyBorder="1" applyAlignment="1">
      <alignment vertical="center"/>
    </xf>
    <xf numFmtId="169" fontId="9" fillId="0" borderId="3" xfId="0" applyNumberFormat="1" applyFont="1" applyFill="1" applyBorder="1" applyAlignment="1">
      <alignment vertical="center"/>
    </xf>
    <xf numFmtId="167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>
      <alignment horizontal="right" vertical="center"/>
    </xf>
    <xf numFmtId="164" fontId="12" fillId="0" borderId="3" xfId="0" applyNumberFormat="1" applyFont="1" applyFill="1" applyBorder="1" applyAlignment="1">
      <alignment horizontal="right" vertical="center"/>
    </xf>
    <xf numFmtId="164" fontId="9" fillId="0" borderId="3" xfId="0" applyNumberFormat="1" applyFont="1" applyFill="1" applyBorder="1" applyAlignment="1">
      <alignment horizontal="right" vertical="center"/>
    </xf>
    <xf numFmtId="165" fontId="9" fillId="0" borderId="3" xfId="0" applyNumberFormat="1" applyFont="1" applyFill="1" applyBorder="1" applyAlignment="1">
      <alignment horizontal="right" vertical="center"/>
    </xf>
    <xf numFmtId="4" fontId="4" fillId="0" borderId="3" xfId="0" applyNumberFormat="1" applyFont="1" applyFill="1" applyBorder="1" applyAlignment="1">
      <alignment horizontal="right" vertical="center"/>
    </xf>
    <xf numFmtId="0" fontId="4" fillId="0" borderId="3" xfId="0" applyFont="1" applyFill="1" applyBorder="1" applyAlignment="1">
      <alignment horizontal="right" vertical="center"/>
    </xf>
    <xf numFmtId="0" fontId="9" fillId="0" borderId="3" xfId="0" applyFont="1" applyFill="1" applyBorder="1" applyAlignment="1">
      <alignment horizontal="right" vertical="center"/>
    </xf>
    <xf numFmtId="166" fontId="7" fillId="3" borderId="5" xfId="0" applyNumberFormat="1" applyFont="1" applyFill="1" applyBorder="1" applyAlignment="1">
      <alignment horizontal="right" vertical="center"/>
    </xf>
    <xf numFmtId="164" fontId="7" fillId="3" borderId="20" xfId="0" applyNumberFormat="1" applyFont="1" applyFill="1" applyBorder="1" applyAlignment="1">
      <alignment horizontal="right" vertical="center"/>
    </xf>
    <xf numFmtId="164" fontId="7" fillId="3" borderId="22" xfId="0" applyNumberFormat="1" applyFont="1" applyFill="1" applyBorder="1" applyAlignment="1">
      <alignment horizontal="right" vertical="center"/>
    </xf>
    <xf numFmtId="164" fontId="7" fillId="3" borderId="7" xfId="0" applyNumberFormat="1" applyFont="1" applyFill="1" applyBorder="1" applyAlignment="1">
      <alignment horizontal="right" vertical="center"/>
    </xf>
    <xf numFmtId="168" fontId="8" fillId="3" borderId="25" xfId="0" applyNumberFormat="1" applyFont="1" applyFill="1" applyBorder="1" applyAlignment="1">
      <alignment horizontal="right" vertical="center"/>
    </xf>
    <xf numFmtId="3" fontId="7" fillId="0" borderId="17" xfId="0" applyNumberFormat="1" applyFont="1" applyFill="1" applyBorder="1" applyAlignment="1">
      <alignment horizontal="right" vertical="center"/>
    </xf>
    <xf numFmtId="4" fontId="9" fillId="0" borderId="3" xfId="0" applyNumberFormat="1" applyFont="1" applyFill="1" applyBorder="1" applyAlignment="1">
      <alignment horizontal="right" vertical="center"/>
    </xf>
    <xf numFmtId="3" fontId="8" fillId="3" borderId="10" xfId="0" applyNumberFormat="1" applyFont="1" applyFill="1" applyBorder="1" applyAlignment="1">
      <alignment horizontal="right" vertical="center"/>
    </xf>
    <xf numFmtId="3" fontId="8" fillId="3" borderId="0" xfId="0" applyNumberFormat="1" applyFont="1" applyFill="1" applyBorder="1" applyAlignment="1">
      <alignment horizontal="right" vertical="center"/>
    </xf>
    <xf numFmtId="165" fontId="10" fillId="0" borderId="3" xfId="0" applyNumberFormat="1" applyFont="1" applyFill="1" applyBorder="1" applyAlignment="1">
      <alignment horizontal="right" vertical="center"/>
    </xf>
    <xf numFmtId="165" fontId="11" fillId="0" borderId="3" xfId="0" applyNumberFormat="1" applyFont="1" applyFill="1" applyBorder="1" applyAlignment="1">
      <alignment horizontal="right" vertical="center"/>
    </xf>
    <xf numFmtId="165" fontId="4" fillId="0" borderId="3" xfId="0" applyNumberFormat="1" applyFont="1" applyFill="1" applyBorder="1" applyAlignment="1">
      <alignment horizontal="right" vertical="center"/>
    </xf>
    <xf numFmtId="165" fontId="8" fillId="3" borderId="41" xfId="0" applyNumberFormat="1" applyFont="1" applyFill="1" applyBorder="1" applyAlignment="1">
      <alignment horizontal="left" vertical="center"/>
    </xf>
    <xf numFmtId="165" fontId="8" fillId="3" borderId="41" xfId="0" applyNumberFormat="1" applyFont="1" applyFill="1" applyBorder="1" applyAlignment="1">
      <alignment vertical="center"/>
    </xf>
    <xf numFmtId="165" fontId="8" fillId="3" borderId="41" xfId="0" applyNumberFormat="1" applyFont="1" applyFill="1" applyBorder="1" applyAlignment="1">
      <alignment horizontal="left" vertical="center"/>
    </xf>
    <xf numFmtId="166" fontId="6" fillId="3" borderId="4" xfId="0" applyNumberFormat="1" applyFont="1" applyFill="1" applyBorder="1" applyAlignment="1">
      <alignment horizontal="left" vertical="center"/>
    </xf>
    <xf numFmtId="166" fontId="6" fillId="3" borderId="5" xfId="0" applyNumberFormat="1" applyFont="1" applyFill="1" applyBorder="1" applyAlignment="1">
      <alignment horizontal="left" vertical="center"/>
    </xf>
    <xf numFmtId="166" fontId="7" fillId="3" borderId="5" xfId="0" applyNumberFormat="1" applyFont="1" applyFill="1" applyBorder="1" applyAlignment="1">
      <alignment horizontal="left" vertical="center"/>
    </xf>
    <xf numFmtId="166" fontId="7" fillId="3" borderId="0" xfId="0" applyNumberFormat="1" applyFont="1" applyFill="1" applyBorder="1" applyAlignment="1">
      <alignment horizontal="left" vertical="center"/>
    </xf>
    <xf numFmtId="164" fontId="7" fillId="2" borderId="0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165" fontId="8" fillId="3" borderId="23" xfId="0" applyNumberFormat="1" applyFont="1" applyFill="1" applyBorder="1" applyAlignment="1">
      <alignment horizontal="left" vertical="center"/>
    </xf>
    <xf numFmtId="165" fontId="8" fillId="3" borderId="24" xfId="0" applyNumberFormat="1" applyFont="1" applyFill="1" applyBorder="1" applyAlignment="1">
      <alignment horizontal="left" vertical="center"/>
    </xf>
    <xf numFmtId="49" fontId="7" fillId="0" borderId="16" xfId="0" applyNumberFormat="1" applyFont="1" applyFill="1" applyBorder="1" applyAlignment="1">
      <alignment horizontal="left" vertical="center"/>
    </xf>
    <xf numFmtId="49" fontId="7" fillId="0" borderId="42" xfId="0" applyNumberFormat="1" applyFont="1" applyFill="1" applyBorder="1" applyAlignment="1">
      <alignment horizontal="left" vertical="center"/>
    </xf>
    <xf numFmtId="49" fontId="7" fillId="0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Fill="1" applyBorder="1" applyAlignment="1">
      <alignment horizontal="left" vertical="center"/>
    </xf>
    <xf numFmtId="49" fontId="7" fillId="0" borderId="27" xfId="0" applyNumberFormat="1" applyFont="1" applyFill="1" applyBorder="1" applyAlignment="1">
      <alignment horizontal="left" vertical="center"/>
    </xf>
    <xf numFmtId="49" fontId="7" fillId="0" borderId="19" xfId="0" applyNumberFormat="1" applyFont="1" applyFill="1" applyBorder="1" applyAlignment="1">
      <alignment horizontal="left" vertical="center"/>
    </xf>
    <xf numFmtId="165" fontId="10" fillId="0" borderId="3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164" fontId="12" fillId="0" borderId="3" xfId="0" applyNumberFormat="1" applyFont="1" applyFill="1" applyBorder="1" applyAlignment="1">
      <alignment horizontal="left" vertical="center"/>
    </xf>
    <xf numFmtId="164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horizontal="left" vertical="center"/>
    </xf>
    <xf numFmtId="4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164" fontId="7" fillId="3" borderId="20" xfId="0" applyNumberFormat="1" applyFont="1" applyFill="1" applyBorder="1" applyAlignment="1">
      <alignment horizontal="left" vertical="center"/>
    </xf>
    <xf numFmtId="164" fontId="7" fillId="3" borderId="22" xfId="0" applyNumberFormat="1" applyFont="1" applyFill="1" applyBorder="1" applyAlignment="1">
      <alignment horizontal="left" vertical="center"/>
    </xf>
    <xf numFmtId="164" fontId="7" fillId="3" borderId="7" xfId="0" applyNumberFormat="1" applyFont="1" applyFill="1" applyBorder="1" applyAlignment="1">
      <alignment horizontal="left" vertical="center"/>
    </xf>
    <xf numFmtId="168" fontId="8" fillId="3" borderId="25" xfId="0" applyNumberFormat="1" applyFont="1" applyFill="1" applyBorder="1" applyAlignment="1">
      <alignment horizontal="left" vertical="center"/>
    </xf>
    <xf numFmtId="168" fontId="8" fillId="3" borderId="26" xfId="0" applyNumberFormat="1" applyFont="1" applyFill="1" applyBorder="1" applyAlignment="1">
      <alignment horizontal="left" vertical="center"/>
    </xf>
    <xf numFmtId="3" fontId="7" fillId="0" borderId="17" xfId="0" applyNumberFormat="1" applyFont="1" applyFill="1" applyBorder="1" applyAlignment="1">
      <alignment horizontal="left" vertical="center"/>
    </xf>
    <xf numFmtId="4" fontId="9" fillId="0" borderId="3" xfId="0" applyNumberFormat="1" applyFont="1" applyFill="1" applyBorder="1" applyAlignment="1">
      <alignment horizontal="left" vertical="center"/>
    </xf>
    <xf numFmtId="49" fontId="7" fillId="0" borderId="37" xfId="0" applyNumberFormat="1" applyFont="1" applyFill="1" applyBorder="1" applyAlignment="1">
      <alignment horizontal="left" vertical="center"/>
    </xf>
    <xf numFmtId="49" fontId="7" fillId="0" borderId="45" xfId="0" applyNumberFormat="1" applyFont="1" applyFill="1" applyBorder="1" applyAlignment="1">
      <alignment horizontal="left" vertical="center"/>
    </xf>
    <xf numFmtId="49" fontId="7" fillId="0" borderId="38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horizontal="left" vertical="center"/>
    </xf>
    <xf numFmtId="165" fontId="13" fillId="0" borderId="3" xfId="0" applyNumberFormat="1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>
      <alignment horizontal="left" vertical="center"/>
    </xf>
    <xf numFmtId="3" fontId="7" fillId="0" borderId="38" xfId="0" applyNumberFormat="1" applyFont="1" applyFill="1" applyBorder="1" applyAlignment="1">
      <alignment vertical="center"/>
    </xf>
    <xf numFmtId="166" fontId="9" fillId="0" borderId="32" xfId="0" applyNumberFormat="1" applyFont="1" applyFill="1" applyBorder="1" applyAlignment="1">
      <alignment vertical="center"/>
    </xf>
    <xf numFmtId="49" fontId="7" fillId="0" borderId="37" xfId="0" applyNumberFormat="1" applyFont="1" applyFill="1" applyBorder="1" applyAlignment="1">
      <alignment vertical="center"/>
    </xf>
    <xf numFmtId="49" fontId="7" fillId="0" borderId="39" xfId="0" applyNumberFormat="1" applyFont="1" applyFill="1" applyBorder="1" applyAlignment="1">
      <alignment vertical="center"/>
    </xf>
    <xf numFmtId="165" fontId="14" fillId="0" borderId="3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70" fontId="8" fillId="3" borderId="25" xfId="0" applyNumberFormat="1" applyFont="1" applyFill="1" applyBorder="1" applyAlignment="1">
      <alignment vertical="center"/>
    </xf>
    <xf numFmtId="49" fontId="8" fillId="0" borderId="17" xfId="0" applyNumberFormat="1" applyFont="1" applyFill="1" applyBorder="1" applyAlignment="1">
      <alignment horizontal="left" vertical="center"/>
    </xf>
    <xf numFmtId="49" fontId="8" fillId="0" borderId="38" xfId="0" applyNumberFormat="1" applyFont="1" applyFill="1" applyBorder="1" applyAlignment="1">
      <alignment horizontal="left" vertical="center"/>
    </xf>
    <xf numFmtId="49" fontId="8" fillId="0" borderId="19" xfId="0" applyNumberFormat="1" applyFont="1" applyFill="1" applyBorder="1" applyAlignment="1">
      <alignment horizontal="left" vertical="center"/>
    </xf>
    <xf numFmtId="3" fontId="7" fillId="0" borderId="46" xfId="0" applyNumberFormat="1" applyFont="1" applyFill="1" applyBorder="1" applyAlignment="1">
      <alignment vertical="center"/>
    </xf>
    <xf numFmtId="3" fontId="7" fillId="0" borderId="47" xfId="0" applyNumberFormat="1" applyFont="1" applyFill="1" applyBorder="1" applyAlignment="1">
      <alignment vertical="center"/>
    </xf>
    <xf numFmtId="3" fontId="7" fillId="0" borderId="48" xfId="0" applyNumberFormat="1" applyFont="1" applyFill="1" applyBorder="1" applyAlignment="1">
      <alignment vertical="center"/>
    </xf>
    <xf numFmtId="3" fontId="8" fillId="3" borderId="15" xfId="0" applyNumberFormat="1" applyFont="1" applyFill="1" applyBorder="1" applyAlignment="1">
      <alignment vertical="center"/>
    </xf>
    <xf numFmtId="3" fontId="7" fillId="0" borderId="49" xfId="0" applyNumberFormat="1" applyFont="1" applyFill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3" fontId="7" fillId="0" borderId="50" xfId="0" applyNumberFormat="1" applyFont="1" applyFill="1" applyBorder="1" applyAlignment="1">
      <alignment vertical="center"/>
    </xf>
    <xf numFmtId="168" fontId="8" fillId="3" borderId="52" xfId="0" applyNumberFormat="1" applyFont="1" applyFill="1" applyBorder="1" applyAlignment="1">
      <alignment horizontal="right" vertical="center"/>
    </xf>
    <xf numFmtId="3" fontId="7" fillId="0" borderId="51" xfId="0" applyNumberFormat="1" applyFont="1" applyFill="1" applyBorder="1" applyAlignment="1">
      <alignment vertical="center"/>
    </xf>
    <xf numFmtId="49" fontId="7" fillId="0" borderId="53" xfId="0" applyNumberFormat="1" applyFont="1" applyFill="1" applyBorder="1" applyAlignment="1">
      <alignment vertical="center"/>
    </xf>
    <xf numFmtId="3" fontId="7" fillId="0" borderId="54" xfId="0" applyNumberFormat="1" applyFont="1" applyFill="1" applyBorder="1" applyAlignment="1">
      <alignment vertical="center"/>
    </xf>
    <xf numFmtId="168" fontId="8" fillId="3" borderId="55" xfId="0" applyNumberFormat="1" applyFont="1" applyFill="1" applyBorder="1" applyAlignment="1">
      <alignment vertical="center"/>
    </xf>
    <xf numFmtId="3" fontId="7" fillId="0" borderId="56" xfId="0" applyNumberFormat="1" applyFont="1" applyFill="1" applyBorder="1" applyAlignment="1">
      <alignment vertical="center"/>
    </xf>
    <xf numFmtId="14" fontId="9" fillId="0" borderId="3" xfId="0" applyNumberFormat="1" applyFont="1" applyFill="1" applyBorder="1" applyAlignment="1">
      <alignment vertical="center"/>
    </xf>
    <xf numFmtId="0" fontId="2" fillId="4" borderId="40" xfId="0" applyFont="1" applyFill="1" applyBorder="1" applyAlignment="1">
      <alignment horizontal="center"/>
    </xf>
    <xf numFmtId="164" fontId="7" fillId="3" borderId="30" xfId="0" applyNumberFormat="1" applyFont="1" applyFill="1" applyBorder="1" applyAlignment="1">
      <alignment horizontal="center" vertical="center"/>
    </xf>
    <xf numFmtId="164" fontId="7" fillId="3" borderId="31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center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2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65" fontId="8" fillId="3" borderId="8" xfId="0" applyNumberFormat="1" applyFont="1" applyFill="1" applyBorder="1" applyAlignment="1">
      <alignment horizontal="left" vertical="center"/>
    </xf>
    <xf numFmtId="165" fontId="8" fillId="3" borderId="9" xfId="0" applyNumberFormat="1" applyFont="1" applyFill="1" applyBorder="1" applyAlignment="1">
      <alignment horizontal="left" vertical="center"/>
    </xf>
    <xf numFmtId="165" fontId="8" fillId="3" borderId="41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center" vertical="center"/>
    </xf>
    <xf numFmtId="0" fontId="8" fillId="3" borderId="21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left" vertical="center"/>
    </xf>
    <xf numFmtId="0" fontId="8" fillId="3" borderId="12" xfId="0" applyNumberFormat="1" applyFont="1" applyFill="1" applyBorder="1" applyAlignment="1">
      <alignment horizontal="left" vertical="center"/>
    </xf>
    <xf numFmtId="0" fontId="8" fillId="3" borderId="21" xfId="0" applyNumberFormat="1" applyFont="1" applyFill="1" applyBorder="1" applyAlignment="1">
      <alignment horizontal="left" vertical="center"/>
    </xf>
    <xf numFmtId="0" fontId="8" fillId="3" borderId="13" xfId="0" applyNumberFormat="1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colors>
    <mruColors>
      <color rgb="FF006AAD"/>
      <color rgb="FF7B7B7B"/>
      <color rgb="FFEC7600"/>
      <color rgb="FFE10080"/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Náklady a výnosy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'Náklady a výnosy'!$D$9:$AA$9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A3A-462A-B577-D323344000B2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'Náklady a výnosy'!$D$10:$AA$10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868272"/>
        <c:axId val="634871224"/>
      </c:barChart>
      <c:dateAx>
        <c:axId val="634868272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Celkově</a:t>
            </a:r>
            <a:r>
              <a:rPr lang="cs-CZ" baseline="0"/>
              <a:t> za období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výnosy'!$AB$9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D8-4D7F-BC7C-EA78A78ADBE1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A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9370-450C-B752-8FA5E910FA44}"/>
              </c:ext>
            </c:extLst>
          </c:dPt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výnosy'!$AB$10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8-4D7F-BC7C-EA78A78A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298096"/>
        <c:axId val="485298752"/>
      </c:barChart>
      <c:catAx>
        <c:axId val="4852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752"/>
        <c:crosses val="autoZero"/>
        <c:auto val="1"/>
        <c:lblAlgn val="ctr"/>
        <c:lblOffset val="100"/>
        <c:noMultiLvlLbl val="0"/>
      </c:catAx>
      <c:valAx>
        <c:axId val="485298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rgbClr val="006AAD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rgbClr val="EC7600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149824373744243"/>
          <c:y val="0.93296022438715742"/>
          <c:w val="0.2922964249484537"/>
          <c:h val="4.7384231831943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904384197834562E-2"/>
          <c:y val="8.0879909852280232E-2"/>
          <c:w val="0.81851396747416905"/>
          <c:h val="0.649357295473813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6.4969488545351214E-2"/>
          <c:y val="0.11515079955273742"/>
          <c:w val="0.88225992456101465"/>
          <c:h val="0.6759451159738937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2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rgbClr val="006AAD"/>
            </a:solidFill>
            <a:ln>
              <a:solidFill>
                <a:srgbClr val="006AAD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/>
      </c:barChart>
      <c:lineChart>
        <c:grouping val="standard"/>
        <c:varyColors val="0"/>
        <c:ser>
          <c:idx val="1"/>
          <c:order val="0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  <c:min val="0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11</xdr:row>
      <xdr:rowOff>81644</xdr:rowOff>
    </xdr:from>
    <xdr:to>
      <xdr:col>27</xdr:col>
      <xdr:colOff>816427</xdr:colOff>
      <xdr:row>35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13606</xdr:colOff>
      <xdr:row>36</xdr:row>
      <xdr:rowOff>9524</xdr:rowOff>
    </xdr:from>
    <xdr:to>
      <xdr:col>27</xdr:col>
      <xdr:colOff>815578</xdr:colOff>
      <xdr:row>58</xdr:row>
      <xdr:rowOff>57149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0A15AE2-ED16-4379-93D9-14457FE90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27</xdr:col>
      <xdr:colOff>0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tabSelected="1" workbookViewId="0"/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162" t="s">
        <v>78</v>
      </c>
      <c r="C2" s="162" t="s">
        <v>39</v>
      </c>
    </row>
    <row r="3" spans="2:7" x14ac:dyDescent="0.2">
      <c r="B3" s="1" t="s">
        <v>40</v>
      </c>
      <c r="C3" s="3" t="s">
        <v>74</v>
      </c>
      <c r="G3" s="4"/>
    </row>
    <row r="4" spans="2:7" x14ac:dyDescent="0.2">
      <c r="B4" s="1" t="s">
        <v>41</v>
      </c>
      <c r="C4" s="1" t="s">
        <v>73</v>
      </c>
    </row>
    <row r="5" spans="2:7" x14ac:dyDescent="0.2">
      <c r="B5" s="1" t="s">
        <v>42</v>
      </c>
      <c r="C5" s="2"/>
    </row>
    <row r="6" spans="2:7" x14ac:dyDescent="0.2">
      <c r="B6" s="1" t="s">
        <v>43</v>
      </c>
      <c r="C6" s="1">
        <v>240</v>
      </c>
    </row>
    <row r="7" spans="2:7" x14ac:dyDescent="0.2">
      <c r="B7" s="1" t="s">
        <v>44</v>
      </c>
      <c r="C7" s="1">
        <v>5</v>
      </c>
    </row>
  </sheetData>
  <hyperlinks>
    <hyperlink ref="C3" r:id="rId1" xr:uid="{F5085423-9FF4-46CD-B4C6-77B26901DE5F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GJ22"/>
  <sheetViews>
    <sheetView zoomScaleNormal="100" zoomScalePageLayoutView="130" workbookViewId="0"/>
  </sheetViews>
  <sheetFormatPr defaultColWidth="9.140625" defaultRowHeight="15" customHeight="1" outlineLevelCol="1" x14ac:dyDescent="0.2"/>
  <cols>
    <col min="1" max="1" width="1.7109375" style="21" customWidth="1"/>
    <col min="2" max="2" width="31.5703125" style="51" customWidth="1"/>
    <col min="3" max="3" width="12.7109375" style="51" customWidth="1"/>
    <col min="4" max="6" width="12.7109375" style="52" customWidth="1"/>
    <col min="7" max="20" width="12.7109375" style="52" hidden="1" customWidth="1" outlineLevel="1"/>
    <col min="21" max="21" width="12.7109375" style="53" hidden="1" customWidth="1" outlineLevel="1"/>
    <col min="22" max="26" width="12.7109375" style="54" hidden="1" customWidth="1" outlineLevel="1"/>
    <col min="27" max="27" width="12.7109375" style="52" hidden="1" customWidth="1" outlineLevel="1"/>
    <col min="28" max="28" width="12.7109375" style="52" customWidth="1" collapsed="1"/>
    <col min="29" max="192" width="9.140625" style="52"/>
    <col min="193" max="16384" width="9.140625" style="65"/>
  </cols>
  <sheetData>
    <row r="1" spans="1:31" ht="10.35" customHeight="1" thickBot="1" x14ac:dyDescent="0.25"/>
    <row r="2" spans="1:31" ht="15" customHeight="1" x14ac:dyDescent="0.2">
      <c r="B2" s="66" t="s">
        <v>3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8"/>
    </row>
    <row r="3" spans="1:31" ht="15" customHeight="1" x14ac:dyDescent="0.2">
      <c r="B3" s="63" t="s">
        <v>66</v>
      </c>
      <c r="C3" s="7">
        <v>43830</v>
      </c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70"/>
    </row>
    <row r="4" spans="1:31" ht="15" customHeight="1" x14ac:dyDescent="0.2">
      <c r="B4" s="71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70"/>
    </row>
    <row r="5" spans="1:31" ht="15" customHeight="1" thickBot="1" x14ac:dyDescent="0.25">
      <c r="B5" s="72"/>
      <c r="C5" s="73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74"/>
    </row>
    <row r="6" spans="1:31" s="29" customFormat="1" ht="15" customHeight="1" x14ac:dyDescent="0.2">
      <c r="A6" s="27"/>
      <c r="B6" s="165"/>
      <c r="C6" s="166"/>
      <c r="D6" s="34">
        <f t="shared" ref="D6:Z6" si="0">D7-DAY(D7)+1</f>
        <v>43101</v>
      </c>
      <c r="E6" s="34">
        <f t="shared" si="0"/>
        <v>43132</v>
      </c>
      <c r="F6" s="34">
        <f t="shared" si="0"/>
        <v>43160</v>
      </c>
      <c r="G6" s="34">
        <f t="shared" si="0"/>
        <v>43191</v>
      </c>
      <c r="H6" s="34">
        <f t="shared" si="0"/>
        <v>43221</v>
      </c>
      <c r="I6" s="34">
        <f t="shared" si="0"/>
        <v>43252</v>
      </c>
      <c r="J6" s="34">
        <f t="shared" si="0"/>
        <v>43282</v>
      </c>
      <c r="K6" s="34">
        <f t="shared" si="0"/>
        <v>43313</v>
      </c>
      <c r="L6" s="34">
        <f t="shared" si="0"/>
        <v>43344</v>
      </c>
      <c r="M6" s="34">
        <f t="shared" si="0"/>
        <v>43374</v>
      </c>
      <c r="N6" s="34">
        <f t="shared" si="0"/>
        <v>43405</v>
      </c>
      <c r="O6" s="34">
        <f t="shared" si="0"/>
        <v>43435</v>
      </c>
      <c r="P6" s="34">
        <f t="shared" si="0"/>
        <v>43466</v>
      </c>
      <c r="Q6" s="34">
        <f t="shared" si="0"/>
        <v>43497</v>
      </c>
      <c r="R6" s="34">
        <f t="shared" si="0"/>
        <v>43525</v>
      </c>
      <c r="S6" s="34">
        <f t="shared" si="0"/>
        <v>43556</v>
      </c>
      <c r="T6" s="34">
        <f t="shared" si="0"/>
        <v>43586</v>
      </c>
      <c r="U6" s="34">
        <f t="shared" si="0"/>
        <v>43617</v>
      </c>
      <c r="V6" s="34">
        <f t="shared" si="0"/>
        <v>43647</v>
      </c>
      <c r="W6" s="34">
        <f t="shared" si="0"/>
        <v>43678</v>
      </c>
      <c r="X6" s="34">
        <f t="shared" si="0"/>
        <v>43709</v>
      </c>
      <c r="Y6" s="34">
        <f t="shared" si="0"/>
        <v>43739</v>
      </c>
      <c r="Z6" s="34">
        <f t="shared" si="0"/>
        <v>43770</v>
      </c>
      <c r="AA6" s="34">
        <f>AA7-DAY(AA7)+1</f>
        <v>43800</v>
      </c>
      <c r="AB6" s="163"/>
    </row>
    <row r="7" spans="1:31" s="29" customFormat="1" ht="15" customHeight="1" thickBot="1" x14ac:dyDescent="0.25">
      <c r="A7" s="27"/>
      <c r="B7" s="167"/>
      <c r="C7" s="168"/>
      <c r="D7" s="35">
        <f t="shared" ref="D7:Z7" si="1">E6-1</f>
        <v>43131</v>
      </c>
      <c r="E7" s="36">
        <f t="shared" si="1"/>
        <v>43159</v>
      </c>
      <c r="F7" s="36">
        <f t="shared" si="1"/>
        <v>43190</v>
      </c>
      <c r="G7" s="36">
        <f t="shared" si="1"/>
        <v>43220</v>
      </c>
      <c r="H7" s="36">
        <f t="shared" si="1"/>
        <v>43251</v>
      </c>
      <c r="I7" s="36">
        <f t="shared" si="1"/>
        <v>43281</v>
      </c>
      <c r="J7" s="36">
        <f t="shared" si="1"/>
        <v>43312</v>
      </c>
      <c r="K7" s="36">
        <f t="shared" si="1"/>
        <v>43343</v>
      </c>
      <c r="L7" s="36">
        <f t="shared" si="1"/>
        <v>43373</v>
      </c>
      <c r="M7" s="36">
        <f t="shared" si="1"/>
        <v>43404</v>
      </c>
      <c r="N7" s="36">
        <f t="shared" si="1"/>
        <v>43434</v>
      </c>
      <c r="O7" s="36">
        <f t="shared" si="1"/>
        <v>43465</v>
      </c>
      <c r="P7" s="36">
        <f t="shared" si="1"/>
        <v>43496</v>
      </c>
      <c r="Q7" s="36">
        <f t="shared" si="1"/>
        <v>43524</v>
      </c>
      <c r="R7" s="36">
        <f t="shared" si="1"/>
        <v>43555</v>
      </c>
      <c r="S7" s="36">
        <f t="shared" si="1"/>
        <v>43585</v>
      </c>
      <c r="T7" s="36">
        <f t="shared" si="1"/>
        <v>43616</v>
      </c>
      <c r="U7" s="36">
        <f t="shared" si="1"/>
        <v>43646</v>
      </c>
      <c r="V7" s="36">
        <f t="shared" si="1"/>
        <v>43677</v>
      </c>
      <c r="W7" s="36">
        <f t="shared" si="1"/>
        <v>43708</v>
      </c>
      <c r="X7" s="36">
        <f t="shared" si="1"/>
        <v>43738</v>
      </c>
      <c r="Y7" s="36">
        <f t="shared" si="1"/>
        <v>43769</v>
      </c>
      <c r="Z7" s="36">
        <f t="shared" si="1"/>
        <v>43799</v>
      </c>
      <c r="AA7" s="36">
        <f>C3</f>
        <v>43830</v>
      </c>
      <c r="AB7" s="164"/>
    </row>
    <row r="8" spans="1:31" s="29" customFormat="1" ht="15" customHeight="1" thickBot="1" x14ac:dyDescent="0.25">
      <c r="B8" s="11" t="s">
        <v>0</v>
      </c>
      <c r="C8" s="12" t="s">
        <v>2</v>
      </c>
      <c r="D8" s="37">
        <f t="shared" ref="D8:AA8" si="2">D6</f>
        <v>43101</v>
      </c>
      <c r="E8" s="38">
        <f t="shared" si="2"/>
        <v>43132</v>
      </c>
      <c r="F8" s="38">
        <f t="shared" si="2"/>
        <v>43160</v>
      </c>
      <c r="G8" s="39">
        <f t="shared" si="2"/>
        <v>43191</v>
      </c>
      <c r="H8" s="39">
        <f t="shared" si="2"/>
        <v>43221</v>
      </c>
      <c r="I8" s="39">
        <f t="shared" si="2"/>
        <v>43252</v>
      </c>
      <c r="J8" s="39">
        <f t="shared" si="2"/>
        <v>43282</v>
      </c>
      <c r="K8" s="39">
        <f t="shared" si="2"/>
        <v>43313</v>
      </c>
      <c r="L8" s="39">
        <f t="shared" si="2"/>
        <v>43344</v>
      </c>
      <c r="M8" s="39">
        <f t="shared" si="2"/>
        <v>43374</v>
      </c>
      <c r="N8" s="39">
        <f t="shared" si="2"/>
        <v>43405</v>
      </c>
      <c r="O8" s="39">
        <f t="shared" si="2"/>
        <v>43435</v>
      </c>
      <c r="P8" s="39">
        <f t="shared" si="2"/>
        <v>43466</v>
      </c>
      <c r="Q8" s="39">
        <f t="shared" si="2"/>
        <v>43497</v>
      </c>
      <c r="R8" s="39">
        <f t="shared" si="2"/>
        <v>43525</v>
      </c>
      <c r="S8" s="39">
        <f t="shared" si="2"/>
        <v>43556</v>
      </c>
      <c r="T8" s="39">
        <f t="shared" si="2"/>
        <v>43586</v>
      </c>
      <c r="U8" s="39">
        <f t="shared" si="2"/>
        <v>43617</v>
      </c>
      <c r="V8" s="39">
        <f t="shared" si="2"/>
        <v>43647</v>
      </c>
      <c r="W8" s="39">
        <f t="shared" si="2"/>
        <v>43678</v>
      </c>
      <c r="X8" s="39">
        <f t="shared" si="2"/>
        <v>43709</v>
      </c>
      <c r="Y8" s="39">
        <f t="shared" si="2"/>
        <v>43739</v>
      </c>
      <c r="Z8" s="39">
        <f t="shared" si="2"/>
        <v>43770</v>
      </c>
      <c r="AA8" s="39">
        <f t="shared" si="2"/>
        <v>43800</v>
      </c>
      <c r="AB8" s="75" t="s">
        <v>72</v>
      </c>
    </row>
    <row r="9" spans="1:31" ht="15" customHeight="1" thickBot="1" x14ac:dyDescent="0.25">
      <c r="B9" s="40" t="s">
        <v>70</v>
      </c>
      <c r="C9" s="42" t="s">
        <v>69</v>
      </c>
      <c r="D9" s="43">
        <f t="shared" ref="D9:M10" ca="1" si="3">AbraTurnover(URL,Username,Password,$C9,D$6,D$7)/1000</f>
        <v>0</v>
      </c>
      <c r="E9" s="43">
        <f t="shared" ca="1" si="3"/>
        <v>0</v>
      </c>
      <c r="F9" s="43">
        <f t="shared" ca="1" si="3"/>
        <v>0</v>
      </c>
      <c r="G9" s="43">
        <f t="shared" ca="1" si="3"/>
        <v>0</v>
      </c>
      <c r="H9" s="43">
        <f t="shared" ca="1" si="3"/>
        <v>0</v>
      </c>
      <c r="I9" s="43">
        <f t="shared" ca="1" si="3"/>
        <v>0</v>
      </c>
      <c r="J9" s="43">
        <f t="shared" ca="1" si="3"/>
        <v>0</v>
      </c>
      <c r="K9" s="43">
        <f t="shared" ca="1" si="3"/>
        <v>0</v>
      </c>
      <c r="L9" s="43">
        <f t="shared" ca="1" si="3"/>
        <v>0</v>
      </c>
      <c r="M9" s="43">
        <f t="shared" ca="1" si="3"/>
        <v>0</v>
      </c>
      <c r="N9" s="43">
        <f t="shared" ref="N9:AA10" ca="1" si="4">AbraTurnover(URL,Username,Password,$C9,N$6,N$7)/1000</f>
        <v>0</v>
      </c>
      <c r="O9" s="43">
        <f t="shared" ca="1" si="4"/>
        <v>0</v>
      </c>
      <c r="P9" s="43">
        <f t="shared" ca="1" si="4"/>
        <v>0</v>
      </c>
      <c r="Q9" s="43">
        <f t="shared" ca="1" si="4"/>
        <v>0</v>
      </c>
      <c r="R9" s="43">
        <f t="shared" ca="1" si="4"/>
        <v>0</v>
      </c>
      <c r="S9" s="43">
        <f t="shared" ca="1" si="4"/>
        <v>0</v>
      </c>
      <c r="T9" s="43">
        <f t="shared" ca="1" si="4"/>
        <v>0</v>
      </c>
      <c r="U9" s="43">
        <f t="shared" ca="1" si="4"/>
        <v>0</v>
      </c>
      <c r="V9" s="43">
        <f t="shared" ca="1" si="4"/>
        <v>0</v>
      </c>
      <c r="W9" s="43">
        <f t="shared" ca="1" si="4"/>
        <v>0</v>
      </c>
      <c r="X9" s="43">
        <f t="shared" ca="1" si="4"/>
        <v>0</v>
      </c>
      <c r="Y9" s="43">
        <f t="shared" ca="1" si="4"/>
        <v>0</v>
      </c>
      <c r="Z9" s="43">
        <f t="shared" ca="1" si="4"/>
        <v>0</v>
      </c>
      <c r="AA9" s="43">
        <f t="shared" ca="1" si="4"/>
        <v>0</v>
      </c>
      <c r="AB9" s="76">
        <f ca="1">SUM(D9:AA9)</f>
        <v>0</v>
      </c>
      <c r="AD9" s="29"/>
      <c r="AE9" s="29"/>
    </row>
    <row r="10" spans="1:31" ht="15" customHeight="1" x14ac:dyDescent="0.2">
      <c r="B10" s="44" t="s">
        <v>71</v>
      </c>
      <c r="C10" s="46" t="s">
        <v>68</v>
      </c>
      <c r="D10" s="43">
        <f t="shared" ca="1" si="3"/>
        <v>0</v>
      </c>
      <c r="E10" s="43">
        <f t="shared" ca="1" si="3"/>
        <v>0</v>
      </c>
      <c r="F10" s="43">
        <f t="shared" ca="1" si="3"/>
        <v>0</v>
      </c>
      <c r="G10" s="43">
        <f t="shared" ca="1" si="3"/>
        <v>0</v>
      </c>
      <c r="H10" s="43">
        <f t="shared" ca="1" si="3"/>
        <v>0</v>
      </c>
      <c r="I10" s="43">
        <f t="shared" ca="1" si="3"/>
        <v>0</v>
      </c>
      <c r="J10" s="43">
        <f t="shared" ca="1" si="3"/>
        <v>0</v>
      </c>
      <c r="K10" s="43">
        <f t="shared" ca="1" si="3"/>
        <v>0</v>
      </c>
      <c r="L10" s="43">
        <f t="shared" ca="1" si="3"/>
        <v>0</v>
      </c>
      <c r="M10" s="43">
        <f t="shared" ca="1" si="3"/>
        <v>0</v>
      </c>
      <c r="N10" s="43">
        <f t="shared" ca="1" si="4"/>
        <v>0</v>
      </c>
      <c r="O10" s="43">
        <f t="shared" ca="1" si="4"/>
        <v>0</v>
      </c>
      <c r="P10" s="43">
        <f t="shared" ca="1" si="4"/>
        <v>0</v>
      </c>
      <c r="Q10" s="43">
        <f t="shared" ca="1" si="4"/>
        <v>0</v>
      </c>
      <c r="R10" s="43">
        <f t="shared" ca="1" si="4"/>
        <v>0</v>
      </c>
      <c r="S10" s="43">
        <f t="shared" ca="1" si="4"/>
        <v>0</v>
      </c>
      <c r="T10" s="43">
        <f t="shared" ca="1" si="4"/>
        <v>0</v>
      </c>
      <c r="U10" s="43">
        <f t="shared" ca="1" si="4"/>
        <v>0</v>
      </c>
      <c r="V10" s="43">
        <f t="shared" ca="1" si="4"/>
        <v>0</v>
      </c>
      <c r="W10" s="43">
        <f t="shared" ca="1" si="4"/>
        <v>0</v>
      </c>
      <c r="X10" s="43">
        <f t="shared" ca="1" si="4"/>
        <v>0</v>
      </c>
      <c r="Y10" s="43">
        <f t="shared" ca="1" si="4"/>
        <v>0</v>
      </c>
      <c r="Z10" s="43">
        <f t="shared" ca="1" si="4"/>
        <v>0</v>
      </c>
      <c r="AA10" s="43">
        <f t="shared" ca="1" si="4"/>
        <v>0</v>
      </c>
      <c r="AB10" s="76">
        <f ca="1">SUM(D10:AA10)</f>
        <v>0</v>
      </c>
    </row>
    <row r="11" spans="1:31" ht="15" customHeight="1" x14ac:dyDescent="0.2"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70"/>
    </row>
    <row r="12" spans="1:31" ht="15" customHeight="1" x14ac:dyDescent="0.2"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</row>
    <row r="13" spans="1:31" ht="15" customHeight="1" x14ac:dyDescent="0.2">
      <c r="D13" s="78"/>
      <c r="AA13" s="54"/>
      <c r="AB13" s="54"/>
    </row>
    <row r="14" spans="1:31" ht="15" customHeight="1" x14ac:dyDescent="0.2">
      <c r="AA14" s="54"/>
      <c r="AB14" s="54"/>
    </row>
    <row r="15" spans="1:31" ht="15" customHeight="1" x14ac:dyDescent="0.2">
      <c r="AA15" s="54"/>
      <c r="AB15" s="54"/>
    </row>
    <row r="16" spans="1:31" ht="15" customHeight="1" x14ac:dyDescent="0.2">
      <c r="AA16" s="54"/>
      <c r="AB16" s="54"/>
    </row>
    <row r="17" spans="27:28" ht="15" customHeight="1" x14ac:dyDescent="0.2">
      <c r="AA17" s="54"/>
      <c r="AB17" s="54"/>
    </row>
    <row r="18" spans="27:28" ht="15" customHeight="1" x14ac:dyDescent="0.2">
      <c r="AA18" s="54"/>
      <c r="AB18" s="54"/>
    </row>
    <row r="19" spans="27:28" ht="15" customHeight="1" x14ac:dyDescent="0.2">
      <c r="AA19" s="54"/>
      <c r="AB19" s="54"/>
    </row>
    <row r="20" spans="27:28" ht="15" customHeight="1" x14ac:dyDescent="0.2">
      <c r="AA20" s="54"/>
      <c r="AB20" s="54"/>
    </row>
    <row r="21" spans="27:28" ht="15" customHeight="1" x14ac:dyDescent="0.2">
      <c r="AA21" s="54"/>
      <c r="AB21" s="54"/>
    </row>
    <row r="22" spans="27:28" ht="15" customHeight="1" x14ac:dyDescent="0.2">
      <c r="AA22" s="54"/>
      <c r="AB22" s="54"/>
    </row>
  </sheetData>
  <mergeCells count="2">
    <mergeCell ref="AB6:AB7"/>
    <mergeCell ref="B6:C7"/>
  </mergeCells>
  <phoneticPr fontId="1" type="noConversion"/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GI40"/>
  <sheetViews>
    <sheetView zoomScale="115" zoomScaleNormal="115" workbookViewId="0"/>
  </sheetViews>
  <sheetFormatPr defaultColWidth="9.140625" defaultRowHeight="15" outlineLevelCol="1" x14ac:dyDescent="0.2"/>
  <cols>
    <col min="1" max="1" width="1.7109375" style="21" customWidth="1"/>
    <col min="2" max="2" width="30.28515625" style="51" bestFit="1" customWidth="1"/>
    <col min="3" max="3" width="12.7109375" style="51" customWidth="1"/>
    <col min="4" max="6" width="12.7109375" style="52" customWidth="1"/>
    <col min="7" max="20" width="12.7109375" style="52" hidden="1" customWidth="1" outlineLevel="1"/>
    <col min="21" max="21" width="12.7109375" style="53" hidden="1" customWidth="1" outlineLevel="1"/>
    <col min="22" max="26" width="12.7109375" style="54" hidden="1" customWidth="1" outlineLevel="1"/>
    <col min="27" max="27" width="12.7109375" style="52" hidden="1" customWidth="1" outlineLevel="1"/>
    <col min="28" max="28" width="9.140625" style="52" collapsed="1"/>
    <col min="29" max="191" width="9.140625" style="52"/>
    <col min="192" max="16384" width="9.140625" style="65"/>
  </cols>
  <sheetData>
    <row r="1" spans="1:30" ht="10.35" customHeight="1" thickBot="1" x14ac:dyDescent="0.25"/>
    <row r="2" spans="1:30" ht="15" customHeight="1" x14ac:dyDescent="0.2">
      <c r="B2" s="66" t="s">
        <v>10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</row>
    <row r="3" spans="1:30" ht="15" customHeight="1" x14ac:dyDescent="0.2">
      <c r="B3" s="63" t="s">
        <v>67</v>
      </c>
      <c r="C3" s="7">
        <v>43830</v>
      </c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</row>
    <row r="4" spans="1:30" ht="15" customHeight="1" x14ac:dyDescent="0.2">
      <c r="B4" s="71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</row>
    <row r="5" spans="1:30" ht="12" customHeight="1" thickBot="1" x14ac:dyDescent="0.25">
      <c r="B5" s="72"/>
      <c r="C5" s="73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</row>
    <row r="6" spans="1:30" s="29" customFormat="1" ht="12" customHeight="1" x14ac:dyDescent="0.2">
      <c r="A6" s="27"/>
      <c r="B6" s="165"/>
      <c r="C6" s="166"/>
      <c r="D6" s="34">
        <f t="shared" ref="D6:Z6" si="0">D7-DAY(D7)+1</f>
        <v>43101</v>
      </c>
      <c r="E6" s="34">
        <f t="shared" si="0"/>
        <v>43132</v>
      </c>
      <c r="F6" s="34">
        <f t="shared" si="0"/>
        <v>43160</v>
      </c>
      <c r="G6" s="34">
        <f t="shared" si="0"/>
        <v>43191</v>
      </c>
      <c r="H6" s="34">
        <f t="shared" si="0"/>
        <v>43221</v>
      </c>
      <c r="I6" s="34">
        <f t="shared" si="0"/>
        <v>43252</v>
      </c>
      <c r="J6" s="34">
        <f t="shared" si="0"/>
        <v>43282</v>
      </c>
      <c r="K6" s="34">
        <f t="shared" si="0"/>
        <v>43313</v>
      </c>
      <c r="L6" s="34">
        <f t="shared" si="0"/>
        <v>43344</v>
      </c>
      <c r="M6" s="34">
        <f t="shared" si="0"/>
        <v>43374</v>
      </c>
      <c r="N6" s="34">
        <f t="shared" si="0"/>
        <v>43405</v>
      </c>
      <c r="O6" s="34">
        <f t="shared" si="0"/>
        <v>43435</v>
      </c>
      <c r="P6" s="34">
        <f t="shared" si="0"/>
        <v>43466</v>
      </c>
      <c r="Q6" s="34">
        <f t="shared" si="0"/>
        <v>43497</v>
      </c>
      <c r="R6" s="34">
        <f t="shared" si="0"/>
        <v>43525</v>
      </c>
      <c r="S6" s="34">
        <f t="shared" si="0"/>
        <v>43556</v>
      </c>
      <c r="T6" s="34">
        <f t="shared" si="0"/>
        <v>43586</v>
      </c>
      <c r="U6" s="34">
        <f t="shared" si="0"/>
        <v>43617</v>
      </c>
      <c r="V6" s="34">
        <f t="shared" si="0"/>
        <v>43647</v>
      </c>
      <c r="W6" s="34">
        <f t="shared" si="0"/>
        <v>43678</v>
      </c>
      <c r="X6" s="34">
        <f t="shared" si="0"/>
        <v>43709</v>
      </c>
      <c r="Y6" s="34">
        <f t="shared" si="0"/>
        <v>43739</v>
      </c>
      <c r="Z6" s="34">
        <f t="shared" si="0"/>
        <v>43770</v>
      </c>
      <c r="AA6" s="34">
        <f>AA7-DAY(AA7)+1</f>
        <v>43800</v>
      </c>
    </row>
    <row r="7" spans="1:30" s="29" customFormat="1" ht="12" customHeight="1" thickBot="1" x14ac:dyDescent="0.25">
      <c r="A7" s="27"/>
      <c r="B7" s="167"/>
      <c r="C7" s="168"/>
      <c r="D7" s="35">
        <f t="shared" ref="D7:Z7" si="1">E6-1</f>
        <v>43131</v>
      </c>
      <c r="E7" s="36">
        <f t="shared" si="1"/>
        <v>43159</v>
      </c>
      <c r="F7" s="36">
        <f t="shared" si="1"/>
        <v>43190</v>
      </c>
      <c r="G7" s="36">
        <f t="shared" si="1"/>
        <v>43220</v>
      </c>
      <c r="H7" s="36">
        <f t="shared" si="1"/>
        <v>43251</v>
      </c>
      <c r="I7" s="36">
        <f t="shared" si="1"/>
        <v>43281</v>
      </c>
      <c r="J7" s="36">
        <f t="shared" si="1"/>
        <v>43312</v>
      </c>
      <c r="K7" s="36">
        <f t="shared" si="1"/>
        <v>43343</v>
      </c>
      <c r="L7" s="36">
        <f t="shared" si="1"/>
        <v>43373</v>
      </c>
      <c r="M7" s="36">
        <f t="shared" si="1"/>
        <v>43404</v>
      </c>
      <c r="N7" s="36">
        <f t="shared" si="1"/>
        <v>43434</v>
      </c>
      <c r="O7" s="36">
        <f t="shared" si="1"/>
        <v>43465</v>
      </c>
      <c r="P7" s="36">
        <f t="shared" si="1"/>
        <v>43496</v>
      </c>
      <c r="Q7" s="36">
        <f t="shared" si="1"/>
        <v>43524</v>
      </c>
      <c r="R7" s="36">
        <f t="shared" si="1"/>
        <v>43555</v>
      </c>
      <c r="S7" s="36">
        <f t="shared" si="1"/>
        <v>43585</v>
      </c>
      <c r="T7" s="36">
        <f t="shared" si="1"/>
        <v>43616</v>
      </c>
      <c r="U7" s="36">
        <f t="shared" si="1"/>
        <v>43646</v>
      </c>
      <c r="V7" s="36">
        <f t="shared" si="1"/>
        <v>43677</v>
      </c>
      <c r="W7" s="36">
        <f t="shared" si="1"/>
        <v>43708</v>
      </c>
      <c r="X7" s="36">
        <f t="shared" si="1"/>
        <v>43738</v>
      </c>
      <c r="Y7" s="36">
        <f t="shared" si="1"/>
        <v>43769</v>
      </c>
      <c r="Z7" s="36">
        <f t="shared" si="1"/>
        <v>43799</v>
      </c>
      <c r="AA7" s="36">
        <f>C3</f>
        <v>43830</v>
      </c>
    </row>
    <row r="8" spans="1:30" s="29" customFormat="1" ht="12" customHeight="1" thickBot="1" x14ac:dyDescent="0.25">
      <c r="B8" s="11" t="s">
        <v>0</v>
      </c>
      <c r="C8" s="12" t="s">
        <v>2</v>
      </c>
      <c r="D8" s="37">
        <f t="shared" ref="D8:AA8" si="2">D6</f>
        <v>43101</v>
      </c>
      <c r="E8" s="38">
        <f t="shared" si="2"/>
        <v>43132</v>
      </c>
      <c r="F8" s="38">
        <f t="shared" si="2"/>
        <v>43160</v>
      </c>
      <c r="G8" s="39">
        <f t="shared" si="2"/>
        <v>43191</v>
      </c>
      <c r="H8" s="39">
        <f t="shared" si="2"/>
        <v>43221</v>
      </c>
      <c r="I8" s="39">
        <f t="shared" si="2"/>
        <v>43252</v>
      </c>
      <c r="J8" s="39">
        <f t="shared" si="2"/>
        <v>43282</v>
      </c>
      <c r="K8" s="39">
        <f t="shared" si="2"/>
        <v>43313</v>
      </c>
      <c r="L8" s="39">
        <f t="shared" si="2"/>
        <v>43344</v>
      </c>
      <c r="M8" s="39">
        <f t="shared" si="2"/>
        <v>43374</v>
      </c>
      <c r="N8" s="39">
        <f t="shared" si="2"/>
        <v>43405</v>
      </c>
      <c r="O8" s="39">
        <f t="shared" si="2"/>
        <v>43435</v>
      </c>
      <c r="P8" s="39">
        <f t="shared" si="2"/>
        <v>43466</v>
      </c>
      <c r="Q8" s="39">
        <f t="shared" si="2"/>
        <v>43497</v>
      </c>
      <c r="R8" s="39">
        <f t="shared" si="2"/>
        <v>43525</v>
      </c>
      <c r="S8" s="39">
        <f t="shared" si="2"/>
        <v>43556</v>
      </c>
      <c r="T8" s="39">
        <f t="shared" si="2"/>
        <v>43586</v>
      </c>
      <c r="U8" s="39">
        <f t="shared" si="2"/>
        <v>43617</v>
      </c>
      <c r="V8" s="39">
        <f t="shared" si="2"/>
        <v>43647</v>
      </c>
      <c r="W8" s="39">
        <f t="shared" si="2"/>
        <v>43678</v>
      </c>
      <c r="X8" s="39">
        <f t="shared" si="2"/>
        <v>43709</v>
      </c>
      <c r="Y8" s="39">
        <f t="shared" si="2"/>
        <v>43739</v>
      </c>
      <c r="Z8" s="39">
        <f t="shared" si="2"/>
        <v>43770</v>
      </c>
      <c r="AA8" s="39">
        <f t="shared" si="2"/>
        <v>43800</v>
      </c>
    </row>
    <row r="9" spans="1:30" ht="15" customHeight="1" thickBot="1" x14ac:dyDescent="0.25">
      <c r="B9" s="40" t="s">
        <v>8</v>
      </c>
      <c r="C9" s="42" t="s">
        <v>5</v>
      </c>
      <c r="D9" s="43">
        <f ca="1">AbraBalance(URL,Username,Password,$C9,(D$6-1))/1000+AbraTurnover(URL,Username,Password,$C9,D$6,D$7)/1000</f>
        <v>0</v>
      </c>
      <c r="E9" s="43">
        <f ca="1">D9+AbraTurnover(URL,Username,Password,$C9,E$6,E$7)/1000</f>
        <v>0</v>
      </c>
      <c r="F9" s="43">
        <f t="shared" ref="F9:AA10" ca="1" si="3">E9+AbraTurnover(URL,Username,Password,$C9,F$6,F$7)/1000</f>
        <v>0</v>
      </c>
      <c r="G9" s="43">
        <f t="shared" ca="1" si="3"/>
        <v>0</v>
      </c>
      <c r="H9" s="43">
        <f t="shared" ca="1" si="3"/>
        <v>0</v>
      </c>
      <c r="I9" s="43">
        <f t="shared" ca="1" si="3"/>
        <v>0</v>
      </c>
      <c r="J9" s="43">
        <f t="shared" ca="1" si="3"/>
        <v>0</v>
      </c>
      <c r="K9" s="43">
        <f t="shared" ca="1" si="3"/>
        <v>0</v>
      </c>
      <c r="L9" s="43">
        <f t="shared" ca="1" si="3"/>
        <v>0</v>
      </c>
      <c r="M9" s="43">
        <f t="shared" ca="1" si="3"/>
        <v>0</v>
      </c>
      <c r="N9" s="43">
        <f t="shared" ca="1" si="3"/>
        <v>0</v>
      </c>
      <c r="O9" s="43">
        <f t="shared" ca="1" si="3"/>
        <v>0</v>
      </c>
      <c r="P9" s="43">
        <f t="shared" ca="1" si="3"/>
        <v>0</v>
      </c>
      <c r="Q9" s="43">
        <f t="shared" ca="1" si="3"/>
        <v>0</v>
      </c>
      <c r="R9" s="43">
        <f t="shared" ca="1" si="3"/>
        <v>0</v>
      </c>
      <c r="S9" s="43">
        <f t="shared" ca="1" si="3"/>
        <v>0</v>
      </c>
      <c r="T9" s="43">
        <f t="shared" ca="1" si="3"/>
        <v>0</v>
      </c>
      <c r="U9" s="43">
        <f t="shared" ca="1" si="3"/>
        <v>0</v>
      </c>
      <c r="V9" s="43">
        <f t="shared" ca="1" si="3"/>
        <v>0</v>
      </c>
      <c r="W9" s="43">
        <f t="shared" ca="1" si="3"/>
        <v>0</v>
      </c>
      <c r="X9" s="43">
        <f t="shared" ca="1" si="3"/>
        <v>0</v>
      </c>
      <c r="Y9" s="43">
        <f t="shared" ca="1" si="3"/>
        <v>0</v>
      </c>
      <c r="Z9" s="43">
        <f t="shared" ca="1" si="3"/>
        <v>0</v>
      </c>
      <c r="AA9" s="43">
        <f t="shared" ca="1" si="3"/>
        <v>0</v>
      </c>
      <c r="AC9" s="29"/>
      <c r="AD9" s="29"/>
    </row>
    <row r="10" spans="1:30" ht="15" customHeight="1" thickBot="1" x14ac:dyDescent="0.25">
      <c r="B10" s="44" t="s">
        <v>7</v>
      </c>
      <c r="C10" s="46" t="s">
        <v>6</v>
      </c>
      <c r="D10" s="43">
        <f ca="1">AbraBalance(URL,Username,Password,$C10,(D$6-1))/1000+AbraTurnover(URL,Username,Password,$C10,D$6,D$7)/1000</f>
        <v>0</v>
      </c>
      <c r="E10" s="43">
        <f ca="1">D10+AbraTurnover(URL,Username,Password,$C10,E$6,E$7)/1000</f>
        <v>0</v>
      </c>
      <c r="F10" s="43">
        <f ca="1">E10+AbraTurnover(URL,Username,Password,$C10,F$6,F$7)/1000</f>
        <v>0</v>
      </c>
      <c r="G10" s="43">
        <f t="shared" ca="1" si="3"/>
        <v>0</v>
      </c>
      <c r="H10" s="43">
        <f t="shared" ca="1" si="3"/>
        <v>0</v>
      </c>
      <c r="I10" s="43">
        <f t="shared" ca="1" si="3"/>
        <v>0</v>
      </c>
      <c r="J10" s="43">
        <f t="shared" ca="1" si="3"/>
        <v>0</v>
      </c>
      <c r="K10" s="43">
        <f t="shared" ca="1" si="3"/>
        <v>0</v>
      </c>
      <c r="L10" s="43">
        <f t="shared" ca="1" si="3"/>
        <v>0</v>
      </c>
      <c r="M10" s="43">
        <f t="shared" ca="1" si="3"/>
        <v>0</v>
      </c>
      <c r="N10" s="43">
        <f t="shared" ca="1" si="3"/>
        <v>0</v>
      </c>
      <c r="O10" s="43">
        <f t="shared" ca="1" si="3"/>
        <v>0</v>
      </c>
      <c r="P10" s="43">
        <f t="shared" ca="1" si="3"/>
        <v>0</v>
      </c>
      <c r="Q10" s="43">
        <f t="shared" ca="1" si="3"/>
        <v>0</v>
      </c>
      <c r="R10" s="43">
        <f t="shared" ca="1" si="3"/>
        <v>0</v>
      </c>
      <c r="S10" s="43">
        <f t="shared" ca="1" si="3"/>
        <v>0</v>
      </c>
      <c r="T10" s="43">
        <f t="shared" ca="1" si="3"/>
        <v>0</v>
      </c>
      <c r="U10" s="43">
        <f t="shared" ca="1" si="3"/>
        <v>0</v>
      </c>
      <c r="V10" s="43">
        <f t="shared" ca="1" si="3"/>
        <v>0</v>
      </c>
      <c r="W10" s="43">
        <f t="shared" ca="1" si="3"/>
        <v>0</v>
      </c>
      <c r="X10" s="43">
        <f t="shared" ca="1" si="3"/>
        <v>0</v>
      </c>
      <c r="Y10" s="43">
        <f t="shared" ca="1" si="3"/>
        <v>0</v>
      </c>
      <c r="Z10" s="43">
        <f t="shared" ca="1" si="3"/>
        <v>0</v>
      </c>
      <c r="AA10" s="43">
        <f t="shared" ca="1" si="3"/>
        <v>0</v>
      </c>
    </row>
    <row r="11" spans="1:30" ht="15" customHeight="1" thickBot="1" x14ac:dyDescent="0.25">
      <c r="B11" s="169" t="s">
        <v>9</v>
      </c>
      <c r="C11" s="170"/>
      <c r="D11" s="47">
        <f t="shared" ref="D11:AA11" ca="1" si="4">SUM(D9:D10)</f>
        <v>0</v>
      </c>
      <c r="E11" s="48">
        <f t="shared" ca="1" si="4"/>
        <v>0</v>
      </c>
      <c r="F11" s="48">
        <f t="shared" ca="1" si="4"/>
        <v>0</v>
      </c>
      <c r="G11" s="48">
        <f t="shared" ca="1" si="4"/>
        <v>0</v>
      </c>
      <c r="H11" s="48">
        <f t="shared" ca="1" si="4"/>
        <v>0</v>
      </c>
      <c r="I11" s="48">
        <f t="shared" ca="1" si="4"/>
        <v>0</v>
      </c>
      <c r="J11" s="48">
        <f t="shared" ca="1" si="4"/>
        <v>0</v>
      </c>
      <c r="K11" s="48">
        <f t="shared" ca="1" si="4"/>
        <v>0</v>
      </c>
      <c r="L11" s="48">
        <f t="shared" ca="1" si="4"/>
        <v>0</v>
      </c>
      <c r="M11" s="48">
        <f t="shared" ca="1" si="4"/>
        <v>0</v>
      </c>
      <c r="N11" s="48">
        <f t="shared" ca="1" si="4"/>
        <v>0</v>
      </c>
      <c r="O11" s="48">
        <f t="shared" ca="1" si="4"/>
        <v>0</v>
      </c>
      <c r="P11" s="48">
        <f t="shared" ca="1" si="4"/>
        <v>0</v>
      </c>
      <c r="Q11" s="48">
        <f t="shared" ca="1" si="4"/>
        <v>0</v>
      </c>
      <c r="R11" s="48">
        <f t="shared" ca="1" si="4"/>
        <v>0</v>
      </c>
      <c r="S11" s="48">
        <f t="shared" ca="1" si="4"/>
        <v>0</v>
      </c>
      <c r="T11" s="48">
        <f t="shared" ca="1" si="4"/>
        <v>0</v>
      </c>
      <c r="U11" s="48">
        <f t="shared" ca="1" si="4"/>
        <v>0</v>
      </c>
      <c r="V11" s="48">
        <f t="shared" ca="1" si="4"/>
        <v>0</v>
      </c>
      <c r="W11" s="48">
        <f t="shared" ca="1" si="4"/>
        <v>0</v>
      </c>
      <c r="X11" s="48">
        <f t="shared" ca="1" si="4"/>
        <v>0</v>
      </c>
      <c r="Y11" s="48">
        <f t="shared" ca="1" si="4"/>
        <v>0</v>
      </c>
      <c r="Z11" s="48">
        <f t="shared" ca="1" si="4"/>
        <v>0</v>
      </c>
      <c r="AA11" s="48">
        <f t="shared" ca="1" si="4"/>
        <v>0</v>
      </c>
    </row>
    <row r="12" spans="1:30" ht="15" customHeight="1" x14ac:dyDescent="0.2"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</row>
    <row r="40" spans="5:5" x14ac:dyDescent="0.2">
      <c r="E40" s="161"/>
    </row>
  </sheetData>
  <mergeCells count="2">
    <mergeCell ref="B6:C7"/>
    <mergeCell ref="B11:C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Normal="100" zoomScalePageLayoutView="130" workbookViewId="0"/>
  </sheetViews>
  <sheetFormatPr defaultColWidth="9.140625" defaultRowHeight="15" outlineLevelCol="1" x14ac:dyDescent="0.2"/>
  <cols>
    <col min="1" max="1" width="1.7109375" style="21" customWidth="1"/>
    <col min="2" max="2" width="30.28515625" style="13" bestFit="1" customWidth="1"/>
    <col min="3" max="3" width="19.85546875" style="13" customWidth="1"/>
    <col min="4" max="4" width="15.85546875" style="13" customWidth="1"/>
    <col min="5" max="7" width="12.7109375" style="22" customWidth="1"/>
    <col min="8" max="21" width="12.7109375" style="22" hidden="1" customWidth="1" outlineLevel="1"/>
    <col min="22" max="22" width="12.7109375" style="23" hidden="1" customWidth="1" outlineLevel="1"/>
    <col min="23" max="27" width="12.7109375" style="24" hidden="1" customWidth="1" outlineLevel="1"/>
    <col min="28" max="28" width="12.7109375" style="22" hidden="1" customWidth="1" outlineLevel="1"/>
    <col min="29" max="29" width="9.140625" style="22" collapsed="1"/>
    <col min="30" max="191" width="9.140625" style="22"/>
    <col min="192" max="16384" width="9.140625" style="25"/>
  </cols>
  <sheetData>
    <row r="1" spans="1:191" ht="10.35" customHeight="1" thickBot="1" x14ac:dyDescent="0.25"/>
    <row r="2" spans="1:191" ht="15" customHeight="1" x14ac:dyDescent="0.2">
      <c r="B2" s="5" t="s">
        <v>11</v>
      </c>
      <c r="C2" s="17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1:191" ht="15" customHeight="1" x14ac:dyDescent="0.15">
      <c r="B3" s="20" t="s">
        <v>46</v>
      </c>
      <c r="C3" s="18" t="s">
        <v>45</v>
      </c>
      <c r="D3" s="7">
        <v>43830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</row>
    <row r="4" spans="1:191" ht="15" customHeight="1" x14ac:dyDescent="0.15">
      <c r="B4" s="19"/>
      <c r="C4" s="8"/>
      <c r="D4" s="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191" ht="15" customHeight="1" thickBot="1" x14ac:dyDescent="0.2">
      <c r="B5" s="9"/>
      <c r="C5" s="10"/>
      <c r="D5" s="10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</row>
    <row r="6" spans="1:191" s="28" customFormat="1" ht="15" customHeight="1" x14ac:dyDescent="0.15">
      <c r="A6" s="27"/>
      <c r="B6" s="165"/>
      <c r="C6" s="172"/>
      <c r="D6" s="166"/>
      <c r="E6" s="34">
        <f t="shared" ref="E6:AA6" si="0">E7-DAY(E7)+1</f>
        <v>43101</v>
      </c>
      <c r="F6" s="34">
        <f t="shared" si="0"/>
        <v>43132</v>
      </c>
      <c r="G6" s="34">
        <f t="shared" si="0"/>
        <v>43160</v>
      </c>
      <c r="H6" s="34">
        <f t="shared" si="0"/>
        <v>43191</v>
      </c>
      <c r="I6" s="34">
        <f t="shared" si="0"/>
        <v>43221</v>
      </c>
      <c r="J6" s="34">
        <f t="shared" si="0"/>
        <v>43252</v>
      </c>
      <c r="K6" s="34">
        <f t="shared" si="0"/>
        <v>43282</v>
      </c>
      <c r="L6" s="34">
        <f t="shared" si="0"/>
        <v>43313</v>
      </c>
      <c r="M6" s="34">
        <f t="shared" si="0"/>
        <v>43344</v>
      </c>
      <c r="N6" s="34">
        <f t="shared" si="0"/>
        <v>43374</v>
      </c>
      <c r="O6" s="34">
        <f t="shared" si="0"/>
        <v>43405</v>
      </c>
      <c r="P6" s="34">
        <f t="shared" si="0"/>
        <v>43435</v>
      </c>
      <c r="Q6" s="34">
        <f t="shared" si="0"/>
        <v>43466</v>
      </c>
      <c r="R6" s="34">
        <f t="shared" si="0"/>
        <v>43497</v>
      </c>
      <c r="S6" s="34">
        <f t="shared" si="0"/>
        <v>43525</v>
      </c>
      <c r="T6" s="34">
        <f t="shared" si="0"/>
        <v>43556</v>
      </c>
      <c r="U6" s="34">
        <f t="shared" si="0"/>
        <v>43586</v>
      </c>
      <c r="V6" s="34">
        <f t="shared" si="0"/>
        <v>43617</v>
      </c>
      <c r="W6" s="34">
        <f t="shared" si="0"/>
        <v>43647</v>
      </c>
      <c r="X6" s="34">
        <f t="shared" si="0"/>
        <v>43678</v>
      </c>
      <c r="Y6" s="34">
        <f t="shared" si="0"/>
        <v>43709</v>
      </c>
      <c r="Z6" s="34">
        <f t="shared" si="0"/>
        <v>43739</v>
      </c>
      <c r="AA6" s="34">
        <f t="shared" si="0"/>
        <v>43770</v>
      </c>
      <c r="AB6" s="34">
        <f>AB7-DAY(AB7)+1</f>
        <v>43800</v>
      </c>
    </row>
    <row r="7" spans="1:191" s="28" customFormat="1" ht="15" customHeight="1" thickBot="1" x14ac:dyDescent="0.2">
      <c r="A7" s="27"/>
      <c r="B7" s="167"/>
      <c r="C7" s="173"/>
      <c r="D7" s="168"/>
      <c r="E7" s="35">
        <f t="shared" ref="E7:AA7" si="1">F6-1</f>
        <v>43131</v>
      </c>
      <c r="F7" s="36">
        <f t="shared" si="1"/>
        <v>43159</v>
      </c>
      <c r="G7" s="36">
        <f t="shared" si="1"/>
        <v>43190</v>
      </c>
      <c r="H7" s="36">
        <f t="shared" si="1"/>
        <v>43220</v>
      </c>
      <c r="I7" s="36">
        <f t="shared" si="1"/>
        <v>43251</v>
      </c>
      <c r="J7" s="36">
        <f t="shared" si="1"/>
        <v>43281</v>
      </c>
      <c r="K7" s="36">
        <f t="shared" si="1"/>
        <v>43312</v>
      </c>
      <c r="L7" s="36">
        <f t="shared" si="1"/>
        <v>43343</v>
      </c>
      <c r="M7" s="36">
        <f t="shared" si="1"/>
        <v>43373</v>
      </c>
      <c r="N7" s="36">
        <f t="shared" si="1"/>
        <v>43404</v>
      </c>
      <c r="O7" s="36">
        <f t="shared" si="1"/>
        <v>43434</v>
      </c>
      <c r="P7" s="36">
        <f t="shared" si="1"/>
        <v>43465</v>
      </c>
      <c r="Q7" s="36">
        <f t="shared" si="1"/>
        <v>43496</v>
      </c>
      <c r="R7" s="36">
        <f t="shared" si="1"/>
        <v>43524</v>
      </c>
      <c r="S7" s="36">
        <f t="shared" si="1"/>
        <v>43555</v>
      </c>
      <c r="T7" s="36">
        <f t="shared" si="1"/>
        <v>43585</v>
      </c>
      <c r="U7" s="36">
        <f t="shared" si="1"/>
        <v>43616</v>
      </c>
      <c r="V7" s="36">
        <f t="shared" si="1"/>
        <v>43646</v>
      </c>
      <c r="W7" s="36">
        <f t="shared" si="1"/>
        <v>43677</v>
      </c>
      <c r="X7" s="36">
        <f t="shared" si="1"/>
        <v>43708</v>
      </c>
      <c r="Y7" s="36">
        <f t="shared" si="1"/>
        <v>43738</v>
      </c>
      <c r="Z7" s="36">
        <f t="shared" si="1"/>
        <v>43769</v>
      </c>
      <c r="AA7" s="36">
        <f t="shared" si="1"/>
        <v>43799</v>
      </c>
      <c r="AB7" s="36">
        <f>D3</f>
        <v>43830</v>
      </c>
    </row>
    <row r="8" spans="1:191" s="28" customFormat="1" ht="15" customHeight="1" thickBot="1" x14ac:dyDescent="0.2">
      <c r="A8" s="29"/>
      <c r="B8" s="11" t="s">
        <v>0</v>
      </c>
      <c r="C8" s="12" t="s">
        <v>14</v>
      </c>
      <c r="D8" s="12" t="s">
        <v>47</v>
      </c>
      <c r="E8" s="37">
        <f t="shared" ref="E8:AB8" si="2">E6</f>
        <v>43101</v>
      </c>
      <c r="F8" s="38">
        <f t="shared" si="2"/>
        <v>43132</v>
      </c>
      <c r="G8" s="38">
        <f t="shared" si="2"/>
        <v>43160</v>
      </c>
      <c r="H8" s="39">
        <f t="shared" si="2"/>
        <v>43191</v>
      </c>
      <c r="I8" s="39">
        <f t="shared" si="2"/>
        <v>43221</v>
      </c>
      <c r="J8" s="39">
        <f t="shared" si="2"/>
        <v>43252</v>
      </c>
      <c r="K8" s="39">
        <f t="shared" si="2"/>
        <v>43282</v>
      </c>
      <c r="L8" s="155">
        <f t="shared" si="2"/>
        <v>43313</v>
      </c>
      <c r="M8" s="39">
        <f t="shared" si="2"/>
        <v>43344</v>
      </c>
      <c r="N8" s="39">
        <f t="shared" si="2"/>
        <v>43374</v>
      </c>
      <c r="O8" s="39">
        <f t="shared" si="2"/>
        <v>43405</v>
      </c>
      <c r="P8" s="39">
        <f t="shared" si="2"/>
        <v>43435</v>
      </c>
      <c r="Q8" s="39">
        <f t="shared" si="2"/>
        <v>43466</v>
      </c>
      <c r="R8" s="39">
        <f t="shared" si="2"/>
        <v>43497</v>
      </c>
      <c r="S8" s="39">
        <f t="shared" si="2"/>
        <v>43525</v>
      </c>
      <c r="T8" s="39">
        <f t="shared" si="2"/>
        <v>43556</v>
      </c>
      <c r="U8" s="39">
        <f t="shared" si="2"/>
        <v>43586</v>
      </c>
      <c r="V8" s="39">
        <f t="shared" si="2"/>
        <v>43617</v>
      </c>
      <c r="W8" s="39">
        <f t="shared" si="2"/>
        <v>43647</v>
      </c>
      <c r="X8" s="39">
        <f t="shared" si="2"/>
        <v>43678</v>
      </c>
      <c r="Y8" s="39">
        <f t="shared" si="2"/>
        <v>43709</v>
      </c>
      <c r="Z8" s="39">
        <f t="shared" si="2"/>
        <v>43739</v>
      </c>
      <c r="AA8" s="39">
        <f t="shared" si="2"/>
        <v>43770</v>
      </c>
      <c r="AB8" s="39">
        <f t="shared" si="2"/>
        <v>43800</v>
      </c>
    </row>
    <row r="9" spans="1:191" ht="15" customHeight="1" x14ac:dyDescent="0.15">
      <c r="B9" s="40"/>
      <c r="C9" s="41" t="s">
        <v>48</v>
      </c>
      <c r="D9" s="42" t="s">
        <v>4</v>
      </c>
      <c r="E9" s="149">
        <f t="shared" ref="E9:N10" ca="1" si="3">AbraStock(URL,Username,Password,$D9,E$6)/1000</f>
        <v>0</v>
      </c>
      <c r="F9" s="149">
        <f t="shared" ca="1" si="3"/>
        <v>0</v>
      </c>
      <c r="G9" s="149">
        <f t="shared" ca="1" si="3"/>
        <v>0</v>
      </c>
      <c r="H9" s="149">
        <f t="shared" ca="1" si="3"/>
        <v>0</v>
      </c>
      <c r="I9" s="149">
        <f t="shared" ca="1" si="3"/>
        <v>0</v>
      </c>
      <c r="J9" s="149">
        <f t="shared" ca="1" si="3"/>
        <v>0</v>
      </c>
      <c r="K9" s="149">
        <f t="shared" ca="1" si="3"/>
        <v>0</v>
      </c>
      <c r="L9" s="156">
        <f t="shared" ca="1" si="3"/>
        <v>0</v>
      </c>
      <c r="M9" s="149">
        <f t="shared" ca="1" si="3"/>
        <v>0</v>
      </c>
      <c r="N9" s="149">
        <f t="shared" ca="1" si="3"/>
        <v>0</v>
      </c>
      <c r="O9" s="149">
        <f t="shared" ref="O9:AB10" ca="1" si="4">AbraStock(URL,Username,Password,$D9,O$6)/1000</f>
        <v>0</v>
      </c>
      <c r="P9" s="149">
        <f t="shared" ca="1" si="4"/>
        <v>0</v>
      </c>
      <c r="Q9" s="149">
        <f t="shared" ca="1" si="4"/>
        <v>0</v>
      </c>
      <c r="R9" s="149">
        <f t="shared" ca="1" si="4"/>
        <v>0</v>
      </c>
      <c r="S9" s="149">
        <f t="shared" ca="1" si="4"/>
        <v>0</v>
      </c>
      <c r="T9" s="149">
        <f t="shared" ca="1" si="4"/>
        <v>0</v>
      </c>
      <c r="U9" s="149">
        <f t="shared" ca="1" si="4"/>
        <v>0</v>
      </c>
      <c r="V9" s="149">
        <f t="shared" ca="1" si="4"/>
        <v>0</v>
      </c>
      <c r="W9" s="149">
        <f t="shared" ca="1" si="4"/>
        <v>0</v>
      </c>
      <c r="X9" s="149">
        <f t="shared" ca="1" si="4"/>
        <v>0</v>
      </c>
      <c r="Y9" s="149">
        <f t="shared" ca="1" si="4"/>
        <v>0</v>
      </c>
      <c r="Z9" s="149">
        <f t="shared" ca="1" si="4"/>
        <v>0</v>
      </c>
      <c r="AA9" s="149">
        <f t="shared" ca="1" si="4"/>
        <v>0</v>
      </c>
      <c r="AB9" s="149">
        <f t="shared" ca="1" si="4"/>
        <v>0</v>
      </c>
      <c r="AC9" s="28"/>
      <c r="AD9" s="28"/>
    </row>
    <row r="10" spans="1:191" ht="15" customHeight="1" thickBot="1" x14ac:dyDescent="0.2">
      <c r="B10" s="44"/>
      <c r="C10" s="45" t="s">
        <v>49</v>
      </c>
      <c r="D10" s="60" t="s">
        <v>37</v>
      </c>
      <c r="E10" s="152">
        <f t="shared" ca="1" si="3"/>
        <v>0</v>
      </c>
      <c r="F10" s="153">
        <f t="shared" ca="1" si="3"/>
        <v>0</v>
      </c>
      <c r="G10" s="153">
        <f t="shared" ca="1" si="3"/>
        <v>0</v>
      </c>
      <c r="H10" s="153">
        <f t="shared" ca="1" si="3"/>
        <v>0</v>
      </c>
      <c r="I10" s="153">
        <f t="shared" ca="1" si="3"/>
        <v>0</v>
      </c>
      <c r="J10" s="153">
        <f t="shared" ca="1" si="3"/>
        <v>0</v>
      </c>
      <c r="K10" s="153">
        <f t="shared" ca="1" si="3"/>
        <v>0</v>
      </c>
      <c r="L10" s="153">
        <f t="shared" ca="1" si="3"/>
        <v>0</v>
      </c>
      <c r="M10" s="153">
        <f t="shared" ca="1" si="3"/>
        <v>0</v>
      </c>
      <c r="N10" s="153">
        <f t="shared" ca="1" si="3"/>
        <v>0</v>
      </c>
      <c r="O10" s="153">
        <f t="shared" ca="1" si="4"/>
        <v>0</v>
      </c>
      <c r="P10" s="153">
        <f t="shared" ca="1" si="4"/>
        <v>0</v>
      </c>
      <c r="Q10" s="153">
        <f t="shared" ca="1" si="4"/>
        <v>0</v>
      </c>
      <c r="R10" s="153">
        <f t="shared" ca="1" si="4"/>
        <v>0</v>
      </c>
      <c r="S10" s="153">
        <f t="shared" ca="1" si="4"/>
        <v>0</v>
      </c>
      <c r="T10" s="153">
        <f t="shared" ca="1" si="4"/>
        <v>0</v>
      </c>
      <c r="U10" s="153">
        <f t="shared" ca="1" si="4"/>
        <v>0</v>
      </c>
      <c r="V10" s="153">
        <f t="shared" ca="1" si="4"/>
        <v>0</v>
      </c>
      <c r="W10" s="153">
        <f t="shared" ca="1" si="4"/>
        <v>0</v>
      </c>
      <c r="X10" s="153">
        <f t="shared" ca="1" si="4"/>
        <v>0</v>
      </c>
      <c r="Y10" s="153">
        <f t="shared" ca="1" si="4"/>
        <v>0</v>
      </c>
      <c r="Z10" s="153">
        <f t="shared" ca="1" si="4"/>
        <v>0</v>
      </c>
      <c r="AA10" s="153">
        <f t="shared" ca="1" si="4"/>
        <v>0</v>
      </c>
      <c r="AB10" s="154">
        <f t="shared" ca="1" si="4"/>
        <v>0</v>
      </c>
      <c r="AC10" s="33"/>
    </row>
    <row r="11" spans="1:191" s="32" customFormat="1" ht="15" customHeight="1" thickBot="1" x14ac:dyDescent="0.25">
      <c r="A11" s="30"/>
      <c r="B11" s="169" t="s">
        <v>1</v>
      </c>
      <c r="C11" s="171"/>
      <c r="D11" s="170"/>
      <c r="E11" s="61">
        <f t="shared" ref="E11:AB11" ca="1" si="5">SUM(E9:E10)</f>
        <v>0</v>
      </c>
      <c r="F11" s="151">
        <f t="shared" ca="1" si="5"/>
        <v>0</v>
      </c>
      <c r="G11" s="151">
        <f t="shared" ca="1" si="5"/>
        <v>0</v>
      </c>
      <c r="H11" s="151">
        <f t="shared" ca="1" si="5"/>
        <v>0</v>
      </c>
      <c r="I11" s="151">
        <f t="shared" ca="1" si="5"/>
        <v>0</v>
      </c>
      <c r="J11" s="151">
        <f t="shared" ca="1" si="5"/>
        <v>0</v>
      </c>
      <c r="K11" s="151">
        <f t="shared" ca="1" si="5"/>
        <v>0</v>
      </c>
      <c r="L11" s="151">
        <f t="shared" ca="1" si="5"/>
        <v>0</v>
      </c>
      <c r="M11" s="151">
        <f t="shared" ca="1" si="5"/>
        <v>0</v>
      </c>
      <c r="N11" s="151">
        <f t="shared" ca="1" si="5"/>
        <v>0</v>
      </c>
      <c r="O11" s="151">
        <f t="shared" ca="1" si="5"/>
        <v>0</v>
      </c>
      <c r="P11" s="151">
        <f t="shared" ca="1" si="5"/>
        <v>0</v>
      </c>
      <c r="Q11" s="151">
        <f t="shared" ca="1" si="5"/>
        <v>0</v>
      </c>
      <c r="R11" s="151">
        <f t="shared" ca="1" si="5"/>
        <v>0</v>
      </c>
      <c r="S11" s="151">
        <f t="shared" ca="1" si="5"/>
        <v>0</v>
      </c>
      <c r="T11" s="151">
        <f t="shared" ca="1" si="5"/>
        <v>0</v>
      </c>
      <c r="U11" s="151">
        <f t="shared" ca="1" si="5"/>
        <v>0</v>
      </c>
      <c r="V11" s="151">
        <f t="shared" ca="1" si="5"/>
        <v>0</v>
      </c>
      <c r="W11" s="151">
        <f t="shared" ca="1" si="5"/>
        <v>0</v>
      </c>
      <c r="X11" s="151">
        <f t="shared" ca="1" si="5"/>
        <v>0</v>
      </c>
      <c r="Y11" s="151">
        <f t="shared" ca="1" si="5"/>
        <v>0</v>
      </c>
      <c r="Z11" s="151">
        <f t="shared" ca="1" si="5"/>
        <v>0</v>
      </c>
      <c r="AA11" s="151">
        <f t="shared" ca="1" si="5"/>
        <v>0</v>
      </c>
      <c r="AB11" s="151">
        <f t="shared" ca="1" si="5"/>
        <v>0</v>
      </c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</row>
    <row r="12" spans="1:191" s="32" customFormat="1" ht="15" customHeight="1" x14ac:dyDescent="0.2">
      <c r="A12" s="30"/>
      <c r="B12" s="49"/>
      <c r="C12" s="49"/>
      <c r="D12" s="49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</row>
    <row r="13" spans="1:191" x14ac:dyDescent="0.15">
      <c r="B13" s="51"/>
      <c r="C13" s="51"/>
      <c r="D13" s="51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3"/>
      <c r="W13" s="54"/>
      <c r="X13" s="54"/>
      <c r="Y13" s="54"/>
      <c r="Z13" s="54"/>
      <c r="AA13" s="54"/>
      <c r="AB13" s="52"/>
    </row>
    <row r="14" spans="1:191" ht="15" customHeight="1" thickBot="1" x14ac:dyDescent="0.2">
      <c r="B14" s="49" t="s">
        <v>65</v>
      </c>
      <c r="C14" s="49"/>
      <c r="D14" s="49" t="s">
        <v>77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</row>
    <row r="15" spans="1:191" ht="15" customHeight="1" x14ac:dyDescent="0.15">
      <c r="B15" s="55"/>
      <c r="C15" s="56"/>
      <c r="D15" s="57" t="s">
        <v>75</v>
      </c>
      <c r="E15" s="150">
        <f t="shared" ref="E15:N16" ca="1" si="6">AbraMoves(URL,Username,Password,"a",E$6,E$7,$D15)/1000</f>
        <v>0</v>
      </c>
      <c r="F15" s="150">
        <f t="shared" ca="1" si="6"/>
        <v>0</v>
      </c>
      <c r="G15" s="150">
        <f t="shared" ca="1" si="6"/>
        <v>0</v>
      </c>
      <c r="H15" s="150">
        <f t="shared" ca="1" si="6"/>
        <v>0</v>
      </c>
      <c r="I15" s="150">
        <f t="shared" ca="1" si="6"/>
        <v>0</v>
      </c>
      <c r="J15" s="150">
        <f t="shared" ca="1" si="6"/>
        <v>0</v>
      </c>
      <c r="K15" s="150">
        <f t="shared" ca="1" si="6"/>
        <v>0</v>
      </c>
      <c r="L15" s="150">
        <f t="shared" ca="1" si="6"/>
        <v>0</v>
      </c>
      <c r="M15" s="150">
        <f t="shared" ca="1" si="6"/>
        <v>0</v>
      </c>
      <c r="N15" s="150">
        <f t="shared" ca="1" si="6"/>
        <v>0</v>
      </c>
      <c r="O15" s="150">
        <f t="shared" ref="O15:AB16" ca="1" si="7">AbraMoves(URL,Username,Password,"a",O$6,O$7,$D15)/1000</f>
        <v>0</v>
      </c>
      <c r="P15" s="150">
        <f t="shared" ca="1" si="7"/>
        <v>0</v>
      </c>
      <c r="Q15" s="150">
        <f t="shared" ca="1" si="7"/>
        <v>0</v>
      </c>
      <c r="R15" s="150">
        <f t="shared" ca="1" si="7"/>
        <v>0</v>
      </c>
      <c r="S15" s="150">
        <f t="shared" ca="1" si="7"/>
        <v>0</v>
      </c>
      <c r="T15" s="150">
        <f t="shared" ca="1" si="7"/>
        <v>0</v>
      </c>
      <c r="U15" s="150">
        <f t="shared" ca="1" si="7"/>
        <v>0</v>
      </c>
      <c r="V15" s="150">
        <f t="shared" ca="1" si="7"/>
        <v>0</v>
      </c>
      <c r="W15" s="150">
        <f t="shared" ca="1" si="7"/>
        <v>0</v>
      </c>
      <c r="X15" s="150">
        <f t="shared" ca="1" si="7"/>
        <v>0</v>
      </c>
      <c r="Y15" s="150">
        <f t="shared" ca="1" si="7"/>
        <v>0</v>
      </c>
      <c r="Z15" s="150">
        <f t="shared" ca="1" si="7"/>
        <v>0</v>
      </c>
      <c r="AA15" s="150">
        <f t="shared" ca="1" si="7"/>
        <v>0</v>
      </c>
      <c r="AB15" s="150">
        <f t="shared" ca="1" si="7"/>
        <v>0</v>
      </c>
      <c r="AC15" s="33"/>
    </row>
    <row r="16" spans="1:191" ht="15" customHeight="1" thickBot="1" x14ac:dyDescent="0.2">
      <c r="B16" s="44"/>
      <c r="C16" s="59"/>
      <c r="D16" s="60" t="s">
        <v>76</v>
      </c>
      <c r="E16" s="148">
        <f t="shared" ca="1" si="6"/>
        <v>0</v>
      </c>
      <c r="F16" s="148">
        <f t="shared" ca="1" si="6"/>
        <v>0</v>
      </c>
      <c r="G16" s="148">
        <f t="shared" ca="1" si="6"/>
        <v>0</v>
      </c>
      <c r="H16" s="148">
        <f t="shared" ca="1" si="6"/>
        <v>0</v>
      </c>
      <c r="I16" s="148">
        <f t="shared" ca="1" si="6"/>
        <v>0</v>
      </c>
      <c r="J16" s="148">
        <f t="shared" ca="1" si="6"/>
        <v>0</v>
      </c>
      <c r="K16" s="148">
        <f t="shared" ca="1" si="6"/>
        <v>0</v>
      </c>
      <c r="L16" s="148">
        <f t="shared" ca="1" si="6"/>
        <v>0</v>
      </c>
      <c r="M16" s="148">
        <f t="shared" ca="1" si="6"/>
        <v>0</v>
      </c>
      <c r="N16" s="148">
        <f t="shared" ca="1" si="6"/>
        <v>0</v>
      </c>
      <c r="O16" s="148">
        <f t="shared" ca="1" si="7"/>
        <v>0</v>
      </c>
      <c r="P16" s="148">
        <f t="shared" ca="1" si="7"/>
        <v>0</v>
      </c>
      <c r="Q16" s="148">
        <f t="shared" ca="1" si="7"/>
        <v>0</v>
      </c>
      <c r="R16" s="148">
        <f t="shared" ca="1" si="7"/>
        <v>0</v>
      </c>
      <c r="S16" s="148">
        <f t="shared" ca="1" si="7"/>
        <v>0</v>
      </c>
      <c r="T16" s="148">
        <f t="shared" ca="1" si="7"/>
        <v>0</v>
      </c>
      <c r="U16" s="148">
        <f t="shared" ca="1" si="7"/>
        <v>0</v>
      </c>
      <c r="V16" s="148">
        <f t="shared" ca="1" si="7"/>
        <v>0</v>
      </c>
      <c r="W16" s="148">
        <f t="shared" ca="1" si="7"/>
        <v>0</v>
      </c>
      <c r="X16" s="148">
        <f t="shared" ca="1" si="7"/>
        <v>0</v>
      </c>
      <c r="Y16" s="148">
        <f t="shared" ca="1" si="7"/>
        <v>0</v>
      </c>
      <c r="Z16" s="148">
        <f t="shared" ca="1" si="7"/>
        <v>0</v>
      </c>
      <c r="AA16" s="148">
        <f t="shared" ca="1" si="7"/>
        <v>0</v>
      </c>
      <c r="AB16" s="148">
        <f t="shared" ca="1" si="7"/>
        <v>0</v>
      </c>
      <c r="AC16" s="33"/>
    </row>
    <row r="17" spans="2:28" ht="15" customHeight="1" thickBot="1" x14ac:dyDescent="0.2">
      <c r="B17" s="169" t="s">
        <v>1</v>
      </c>
      <c r="C17" s="171"/>
      <c r="D17" s="170"/>
      <c r="E17" s="61">
        <f ca="1">SUM(E15:E16)</f>
        <v>0</v>
      </c>
      <c r="F17" s="61">
        <f t="shared" ref="F17:AB17" ca="1" si="8">SUM(F15:F16)</f>
        <v>0</v>
      </c>
      <c r="G17" s="61">
        <f t="shared" ca="1" si="8"/>
        <v>0</v>
      </c>
      <c r="H17" s="61">
        <f t="shared" ca="1" si="8"/>
        <v>0</v>
      </c>
      <c r="I17" s="61">
        <f t="shared" ca="1" si="8"/>
        <v>0</v>
      </c>
      <c r="J17" s="61">
        <f t="shared" ca="1" si="8"/>
        <v>0</v>
      </c>
      <c r="K17" s="61">
        <f t="shared" ca="1" si="8"/>
        <v>0</v>
      </c>
      <c r="L17" s="61">
        <f t="shared" ca="1" si="8"/>
        <v>0</v>
      </c>
      <c r="M17" s="61">
        <f t="shared" ca="1" si="8"/>
        <v>0</v>
      </c>
      <c r="N17" s="61">
        <f t="shared" ca="1" si="8"/>
        <v>0</v>
      </c>
      <c r="O17" s="61">
        <f t="shared" ca="1" si="8"/>
        <v>0</v>
      </c>
      <c r="P17" s="61">
        <f t="shared" ca="1" si="8"/>
        <v>0</v>
      </c>
      <c r="Q17" s="61">
        <f t="shared" ca="1" si="8"/>
        <v>0</v>
      </c>
      <c r="R17" s="61">
        <f t="shared" ca="1" si="8"/>
        <v>0</v>
      </c>
      <c r="S17" s="61">
        <f t="shared" ca="1" si="8"/>
        <v>0</v>
      </c>
      <c r="T17" s="61">
        <f t="shared" ca="1" si="8"/>
        <v>0</v>
      </c>
      <c r="U17" s="61">
        <f t="shared" ca="1" si="8"/>
        <v>0</v>
      </c>
      <c r="V17" s="61">
        <f t="shared" ca="1" si="8"/>
        <v>0</v>
      </c>
      <c r="W17" s="61">
        <f t="shared" ca="1" si="8"/>
        <v>0</v>
      </c>
      <c r="X17" s="61">
        <f t="shared" ca="1" si="8"/>
        <v>0</v>
      </c>
      <c r="Y17" s="61">
        <f t="shared" ca="1" si="8"/>
        <v>0</v>
      </c>
      <c r="Z17" s="61">
        <f t="shared" ca="1" si="8"/>
        <v>0</v>
      </c>
      <c r="AA17" s="61">
        <f t="shared" ca="1" si="8"/>
        <v>0</v>
      </c>
      <c r="AB17" s="61">
        <f t="shared" ca="1" si="8"/>
        <v>0</v>
      </c>
    </row>
    <row r="19" spans="2:28" x14ac:dyDescent="0.2">
      <c r="B19" s="14"/>
      <c r="C19" s="14"/>
    </row>
    <row r="21" spans="2:28" x14ac:dyDescent="0.2">
      <c r="B21" s="15"/>
      <c r="C21" s="15"/>
    </row>
    <row r="22" spans="2:28" x14ac:dyDescent="0.2">
      <c r="B22" s="16"/>
      <c r="C22" s="16"/>
    </row>
    <row r="23" spans="2:28" x14ac:dyDescent="0.2">
      <c r="B23" s="15"/>
      <c r="C23" s="1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zoomScaleNormal="100" zoomScalePageLayoutView="130" workbookViewId="0"/>
  </sheetViews>
  <sheetFormatPr defaultColWidth="9.140625" defaultRowHeight="15" outlineLevelCol="1" x14ac:dyDescent="0.2"/>
  <cols>
    <col min="1" max="1" width="1.7109375" style="79" customWidth="1"/>
    <col min="2" max="2" width="30.28515625" style="82" bestFit="1" customWidth="1"/>
    <col min="3" max="3" width="23" style="82" customWidth="1"/>
    <col min="4" max="4" width="12.7109375" style="82" customWidth="1"/>
    <col min="5" max="7" width="12.7109375" style="64" customWidth="1"/>
    <col min="8" max="21" width="12.7109375" style="64" hidden="1" customWidth="1" outlineLevel="1"/>
    <col min="22" max="22" width="12.7109375" style="83" hidden="1" customWidth="1" outlineLevel="1"/>
    <col min="23" max="27" width="12.7109375" style="84" hidden="1" customWidth="1" outlineLevel="1"/>
    <col min="28" max="28" width="12.7109375" style="64" hidden="1" customWidth="1" outlineLevel="1"/>
    <col min="29" max="29" width="15.7109375" style="64" customWidth="1" collapsed="1"/>
    <col min="30" max="191" width="9.140625" style="64"/>
    <col min="192" max="16384" width="9.140625" style="85"/>
  </cols>
  <sheetData>
    <row r="1" spans="1:30" ht="10.35" customHeight="1" thickBot="1" x14ac:dyDescent="0.25"/>
    <row r="2" spans="1:30" ht="15" customHeight="1" x14ac:dyDescent="0.2">
      <c r="B2" s="101" t="s">
        <v>12</v>
      </c>
      <c r="C2" s="102"/>
      <c r="D2" s="103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</row>
    <row r="3" spans="1:30" ht="15" customHeight="1" x14ac:dyDescent="0.2">
      <c r="B3" s="20" t="s">
        <v>46</v>
      </c>
      <c r="C3" s="18" t="s">
        <v>45</v>
      </c>
      <c r="D3" s="105">
        <v>43830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30" ht="15" customHeight="1" x14ac:dyDescent="0.2">
      <c r="B4" s="20"/>
      <c r="C4" s="104"/>
      <c r="D4" s="104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30" ht="15" customHeight="1" thickBot="1" x14ac:dyDescent="0.25">
      <c r="B5" s="106"/>
      <c r="C5" s="107"/>
      <c r="D5" s="107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</row>
    <row r="6" spans="1:30" s="81" customFormat="1" ht="15" customHeight="1" x14ac:dyDescent="0.2">
      <c r="A6" s="80"/>
      <c r="B6" s="174"/>
      <c r="C6" s="175"/>
      <c r="D6" s="176"/>
      <c r="E6" s="87">
        <f t="shared" ref="E6:AA6" si="0">E7-DAY(E7)+1</f>
        <v>43101</v>
      </c>
      <c r="F6" s="87">
        <f t="shared" si="0"/>
        <v>43132</v>
      </c>
      <c r="G6" s="87">
        <f t="shared" si="0"/>
        <v>43160</v>
      </c>
      <c r="H6" s="87">
        <f t="shared" si="0"/>
        <v>43191</v>
      </c>
      <c r="I6" s="87">
        <f t="shared" si="0"/>
        <v>43221</v>
      </c>
      <c r="J6" s="87">
        <f t="shared" si="0"/>
        <v>43252</v>
      </c>
      <c r="K6" s="87">
        <f t="shared" si="0"/>
        <v>43282</v>
      </c>
      <c r="L6" s="87">
        <f t="shared" si="0"/>
        <v>43313</v>
      </c>
      <c r="M6" s="87">
        <f t="shared" si="0"/>
        <v>43344</v>
      </c>
      <c r="N6" s="87">
        <f t="shared" si="0"/>
        <v>43374</v>
      </c>
      <c r="O6" s="87">
        <f t="shared" si="0"/>
        <v>43405</v>
      </c>
      <c r="P6" s="87">
        <f t="shared" si="0"/>
        <v>43435</v>
      </c>
      <c r="Q6" s="87">
        <f t="shared" si="0"/>
        <v>43466</v>
      </c>
      <c r="R6" s="87">
        <f t="shared" si="0"/>
        <v>43497</v>
      </c>
      <c r="S6" s="87">
        <f t="shared" si="0"/>
        <v>43525</v>
      </c>
      <c r="T6" s="87">
        <f t="shared" si="0"/>
        <v>43556</v>
      </c>
      <c r="U6" s="87">
        <f t="shared" si="0"/>
        <v>43586</v>
      </c>
      <c r="V6" s="87">
        <f t="shared" si="0"/>
        <v>43617</v>
      </c>
      <c r="W6" s="87">
        <f t="shared" si="0"/>
        <v>43647</v>
      </c>
      <c r="X6" s="87">
        <f t="shared" si="0"/>
        <v>43678</v>
      </c>
      <c r="Y6" s="87">
        <f t="shared" si="0"/>
        <v>43709</v>
      </c>
      <c r="Z6" s="87">
        <f t="shared" si="0"/>
        <v>43739</v>
      </c>
      <c r="AA6" s="87">
        <f t="shared" si="0"/>
        <v>43770</v>
      </c>
      <c r="AB6" s="87">
        <f>AB7-DAY(AB7)+1</f>
        <v>43800</v>
      </c>
    </row>
    <row r="7" spans="1:30" s="81" customFormat="1" ht="15" customHeight="1" thickBot="1" x14ac:dyDescent="0.25">
      <c r="A7" s="80"/>
      <c r="B7" s="177"/>
      <c r="C7" s="178"/>
      <c r="D7" s="179"/>
      <c r="E7" s="88">
        <f t="shared" ref="E7:AA7" si="1">F6-1</f>
        <v>43131</v>
      </c>
      <c r="F7" s="89">
        <f t="shared" si="1"/>
        <v>43159</v>
      </c>
      <c r="G7" s="89">
        <f t="shared" si="1"/>
        <v>43190</v>
      </c>
      <c r="H7" s="89">
        <f t="shared" si="1"/>
        <v>43220</v>
      </c>
      <c r="I7" s="89">
        <f t="shared" si="1"/>
        <v>43251</v>
      </c>
      <c r="J7" s="89">
        <f t="shared" si="1"/>
        <v>43281</v>
      </c>
      <c r="K7" s="89">
        <f t="shared" si="1"/>
        <v>43312</v>
      </c>
      <c r="L7" s="89">
        <f t="shared" si="1"/>
        <v>43343</v>
      </c>
      <c r="M7" s="89">
        <f t="shared" si="1"/>
        <v>43373</v>
      </c>
      <c r="N7" s="89">
        <f t="shared" si="1"/>
        <v>43404</v>
      </c>
      <c r="O7" s="89">
        <f t="shared" si="1"/>
        <v>43434</v>
      </c>
      <c r="P7" s="89">
        <f t="shared" si="1"/>
        <v>43465</v>
      </c>
      <c r="Q7" s="89">
        <f t="shared" si="1"/>
        <v>43496</v>
      </c>
      <c r="R7" s="89">
        <f t="shared" si="1"/>
        <v>43524</v>
      </c>
      <c r="S7" s="89">
        <f t="shared" si="1"/>
        <v>43555</v>
      </c>
      <c r="T7" s="89">
        <f t="shared" si="1"/>
        <v>43585</v>
      </c>
      <c r="U7" s="89">
        <f t="shared" si="1"/>
        <v>43616</v>
      </c>
      <c r="V7" s="89">
        <f t="shared" si="1"/>
        <v>43646</v>
      </c>
      <c r="W7" s="89">
        <f t="shared" si="1"/>
        <v>43677</v>
      </c>
      <c r="X7" s="89">
        <f t="shared" si="1"/>
        <v>43708</v>
      </c>
      <c r="Y7" s="89">
        <f t="shared" si="1"/>
        <v>43738</v>
      </c>
      <c r="Z7" s="89">
        <f t="shared" si="1"/>
        <v>43769</v>
      </c>
      <c r="AA7" s="89">
        <f t="shared" si="1"/>
        <v>43799</v>
      </c>
      <c r="AB7" s="89">
        <f>D3</f>
        <v>43830</v>
      </c>
    </row>
    <row r="8" spans="1:30" s="81" customFormat="1" ht="15" customHeight="1" thickBot="1" x14ac:dyDescent="0.25">
      <c r="B8" s="108" t="s">
        <v>0</v>
      </c>
      <c r="C8" s="98" t="s">
        <v>14</v>
      </c>
      <c r="D8" s="109" t="s">
        <v>47</v>
      </c>
      <c r="E8" s="90">
        <f t="shared" ref="E8:AB8" si="2">E6</f>
        <v>43101</v>
      </c>
      <c r="F8" s="39">
        <f t="shared" si="2"/>
        <v>43132</v>
      </c>
      <c r="G8" s="39">
        <f t="shared" si="2"/>
        <v>43160</v>
      </c>
      <c r="H8" s="39">
        <f t="shared" si="2"/>
        <v>43191</v>
      </c>
      <c r="I8" s="39">
        <f t="shared" si="2"/>
        <v>43221</v>
      </c>
      <c r="J8" s="39">
        <f t="shared" si="2"/>
        <v>43252</v>
      </c>
      <c r="K8" s="39">
        <f t="shared" si="2"/>
        <v>43282</v>
      </c>
      <c r="L8" s="39">
        <f t="shared" si="2"/>
        <v>43313</v>
      </c>
      <c r="M8" s="39">
        <f t="shared" si="2"/>
        <v>43344</v>
      </c>
      <c r="N8" s="39">
        <f t="shared" si="2"/>
        <v>43374</v>
      </c>
      <c r="O8" s="39">
        <f t="shared" si="2"/>
        <v>43405</v>
      </c>
      <c r="P8" s="39">
        <f t="shared" si="2"/>
        <v>43435</v>
      </c>
      <c r="Q8" s="39">
        <f t="shared" si="2"/>
        <v>43466</v>
      </c>
      <c r="R8" s="39">
        <f t="shared" si="2"/>
        <v>43497</v>
      </c>
      <c r="S8" s="39">
        <f t="shared" si="2"/>
        <v>43525</v>
      </c>
      <c r="T8" s="39">
        <f t="shared" si="2"/>
        <v>43556</v>
      </c>
      <c r="U8" s="39">
        <f t="shared" si="2"/>
        <v>43586</v>
      </c>
      <c r="V8" s="39">
        <f t="shared" si="2"/>
        <v>43617</v>
      </c>
      <c r="W8" s="39">
        <f t="shared" si="2"/>
        <v>43647</v>
      </c>
      <c r="X8" s="39">
        <f t="shared" si="2"/>
        <v>43678</v>
      </c>
      <c r="Y8" s="39">
        <f t="shared" si="2"/>
        <v>43709</v>
      </c>
      <c r="Z8" s="39">
        <f t="shared" si="2"/>
        <v>43739</v>
      </c>
      <c r="AA8" s="39">
        <f t="shared" si="2"/>
        <v>43770</v>
      </c>
      <c r="AB8" s="39">
        <f t="shared" si="2"/>
        <v>43800</v>
      </c>
    </row>
    <row r="9" spans="1:30" ht="15" customHeight="1" thickBot="1" x14ac:dyDescent="0.25">
      <c r="B9" s="110"/>
      <c r="C9" s="111" t="s">
        <v>49</v>
      </c>
      <c r="D9" s="112" t="s">
        <v>37</v>
      </c>
      <c r="E9" s="91">
        <f t="shared" ref="E9:N10" ca="1" si="3">AbraSale(URL,Username,Password,$D9,E$6,E$7)/1000</f>
        <v>0</v>
      </c>
      <c r="F9" s="91">
        <f t="shared" ca="1" si="3"/>
        <v>0</v>
      </c>
      <c r="G9" s="91">
        <f t="shared" ca="1" si="3"/>
        <v>0</v>
      </c>
      <c r="H9" s="91">
        <f t="shared" ca="1" si="3"/>
        <v>0</v>
      </c>
      <c r="I9" s="91">
        <f t="shared" ca="1" si="3"/>
        <v>0</v>
      </c>
      <c r="J9" s="91">
        <f t="shared" ca="1" si="3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1">
        <f t="shared" ca="1" si="3"/>
        <v>0</v>
      </c>
      <c r="O9" s="91">
        <f t="shared" ref="O9:AB10" ca="1" si="4">AbraSale(URL,Username,Password,$D9,O$6,O$7)/1000</f>
        <v>0</v>
      </c>
      <c r="P9" s="91">
        <f t="shared" ca="1" si="4"/>
        <v>0</v>
      </c>
      <c r="Q9" s="91">
        <f t="shared" ca="1" si="4"/>
        <v>0</v>
      </c>
      <c r="R9" s="91">
        <f t="shared" ca="1" si="4"/>
        <v>0</v>
      </c>
      <c r="S9" s="91">
        <f t="shared" ca="1" si="4"/>
        <v>0</v>
      </c>
      <c r="T9" s="91">
        <f t="shared" ca="1" si="4"/>
        <v>0</v>
      </c>
      <c r="U9" s="91">
        <f t="shared" ca="1" si="4"/>
        <v>0</v>
      </c>
      <c r="V9" s="91">
        <f t="shared" ca="1" si="4"/>
        <v>0</v>
      </c>
      <c r="W9" s="91">
        <f t="shared" ca="1" si="4"/>
        <v>0</v>
      </c>
      <c r="X9" s="91">
        <f t="shared" ca="1" si="4"/>
        <v>0</v>
      </c>
      <c r="Y9" s="91">
        <f t="shared" ca="1" si="4"/>
        <v>0</v>
      </c>
      <c r="Z9" s="91">
        <f t="shared" ca="1" si="4"/>
        <v>0</v>
      </c>
      <c r="AA9" s="91">
        <f t="shared" ca="1" si="4"/>
        <v>0</v>
      </c>
      <c r="AB9" s="91">
        <f t="shared" ca="1" si="4"/>
        <v>0</v>
      </c>
      <c r="AC9" s="92"/>
      <c r="AD9" s="81"/>
    </row>
    <row r="10" spans="1:30" ht="15" customHeight="1" thickBot="1" x14ac:dyDescent="0.25">
      <c r="B10" s="113"/>
      <c r="C10" s="114" t="s">
        <v>50</v>
      </c>
      <c r="D10" s="115" t="s">
        <v>4</v>
      </c>
      <c r="E10" s="91">
        <f t="shared" ca="1" si="3"/>
        <v>0</v>
      </c>
      <c r="F10" s="91">
        <f t="shared" ca="1" si="3"/>
        <v>0</v>
      </c>
      <c r="G10" s="91">
        <f t="shared" ca="1" si="3"/>
        <v>0</v>
      </c>
      <c r="H10" s="91">
        <f t="shared" ca="1" si="3"/>
        <v>0</v>
      </c>
      <c r="I10" s="91">
        <f t="shared" ca="1" si="3"/>
        <v>0</v>
      </c>
      <c r="J10" s="91">
        <f t="shared" ca="1" si="3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1">
        <f t="shared" ca="1" si="3"/>
        <v>0</v>
      </c>
      <c r="O10" s="91">
        <f t="shared" ca="1" si="4"/>
        <v>0</v>
      </c>
      <c r="P10" s="91">
        <f t="shared" ca="1" si="4"/>
        <v>0</v>
      </c>
      <c r="Q10" s="91">
        <f t="shared" ca="1" si="4"/>
        <v>0</v>
      </c>
      <c r="R10" s="91">
        <f t="shared" ca="1" si="4"/>
        <v>0</v>
      </c>
      <c r="S10" s="91">
        <f t="shared" ca="1" si="4"/>
        <v>0</v>
      </c>
      <c r="T10" s="91">
        <f t="shared" ca="1" si="4"/>
        <v>0</v>
      </c>
      <c r="U10" s="91">
        <f t="shared" ca="1" si="4"/>
        <v>0</v>
      </c>
      <c r="V10" s="91">
        <f t="shared" ca="1" si="4"/>
        <v>0</v>
      </c>
      <c r="W10" s="91">
        <f t="shared" ca="1" si="4"/>
        <v>0</v>
      </c>
      <c r="X10" s="91">
        <f t="shared" ca="1" si="4"/>
        <v>0</v>
      </c>
      <c r="Y10" s="91">
        <f t="shared" ca="1" si="4"/>
        <v>0</v>
      </c>
      <c r="Z10" s="91">
        <f t="shared" ca="1" si="4"/>
        <v>0</v>
      </c>
      <c r="AA10" s="91">
        <f t="shared" ca="1" si="4"/>
        <v>0</v>
      </c>
      <c r="AB10" s="91">
        <f t="shared" ca="1" si="4"/>
        <v>0</v>
      </c>
      <c r="AC10" s="92"/>
    </row>
    <row r="11" spans="1:30" ht="15" customHeight="1" thickBot="1" x14ac:dyDescent="0.25">
      <c r="B11" s="169" t="s">
        <v>38</v>
      </c>
      <c r="C11" s="171"/>
      <c r="D11" s="170"/>
      <c r="E11" s="93" t="e">
        <f ca="1">E10/E9</f>
        <v>#DIV/0!</v>
      </c>
      <c r="F11" s="93" t="e">
        <f t="shared" ref="F11:AB11" ca="1" si="5">F10/F9</f>
        <v>#DIV/0!</v>
      </c>
      <c r="G11" s="93" t="e">
        <f t="shared" ca="1" si="5"/>
        <v>#DIV/0!</v>
      </c>
      <c r="H11" s="93" t="e">
        <f t="shared" ca="1" si="5"/>
        <v>#DIV/0!</v>
      </c>
      <c r="I11" s="93" t="e">
        <f t="shared" ca="1" si="5"/>
        <v>#DIV/0!</v>
      </c>
      <c r="J11" s="93" t="e">
        <f t="shared" ca="1" si="5"/>
        <v>#DIV/0!</v>
      </c>
      <c r="K11" s="93" t="e">
        <f t="shared" ca="1" si="5"/>
        <v>#DIV/0!</v>
      </c>
      <c r="L11" s="93" t="e">
        <f t="shared" ca="1" si="5"/>
        <v>#DIV/0!</v>
      </c>
      <c r="M11" s="93" t="e">
        <f t="shared" ca="1" si="5"/>
        <v>#DIV/0!</v>
      </c>
      <c r="N11" s="93" t="e">
        <f t="shared" ca="1" si="5"/>
        <v>#DIV/0!</v>
      </c>
      <c r="O11" s="93" t="e">
        <f t="shared" ca="1" si="5"/>
        <v>#DIV/0!</v>
      </c>
      <c r="P11" s="93" t="e">
        <f t="shared" ca="1" si="5"/>
        <v>#DIV/0!</v>
      </c>
      <c r="Q11" s="93" t="e">
        <f t="shared" ca="1" si="5"/>
        <v>#DIV/0!</v>
      </c>
      <c r="R11" s="93" t="e">
        <f t="shared" ca="1" si="5"/>
        <v>#DIV/0!</v>
      </c>
      <c r="S11" s="93" t="e">
        <f t="shared" ca="1" si="5"/>
        <v>#DIV/0!</v>
      </c>
      <c r="T11" s="93" t="e">
        <f t="shared" ca="1" si="5"/>
        <v>#DIV/0!</v>
      </c>
      <c r="U11" s="93" t="e">
        <f t="shared" ca="1" si="5"/>
        <v>#DIV/0!</v>
      </c>
      <c r="V11" s="93" t="e">
        <f t="shared" ca="1" si="5"/>
        <v>#DIV/0!</v>
      </c>
      <c r="W11" s="93" t="e">
        <f t="shared" ca="1" si="5"/>
        <v>#DIV/0!</v>
      </c>
      <c r="X11" s="93" t="e">
        <f t="shared" ca="1" si="5"/>
        <v>#DIV/0!</v>
      </c>
      <c r="Y11" s="93" t="e">
        <f t="shared" ca="1" si="5"/>
        <v>#DIV/0!</v>
      </c>
      <c r="Z11" s="93" t="e">
        <f t="shared" ca="1" si="5"/>
        <v>#DIV/0!</v>
      </c>
      <c r="AA11" s="93" t="e">
        <f t="shared" ca="1" si="5"/>
        <v>#DIV/0!</v>
      </c>
      <c r="AB11" s="93" t="e">
        <f t="shared" ca="1" si="5"/>
        <v>#DIV/0!</v>
      </c>
    </row>
    <row r="12" spans="1:30" ht="15" customHeight="1" x14ac:dyDescent="0.2">
      <c r="B12" s="49"/>
      <c r="C12" s="49"/>
      <c r="D12" s="49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</row>
    <row r="13" spans="1:30" x14ac:dyDescent="0.2">
      <c r="B13" s="116"/>
      <c r="C13" s="116"/>
      <c r="D13" s="51"/>
    </row>
    <row r="14" spans="1:30" x14ac:dyDescent="0.2">
      <c r="B14" s="51"/>
      <c r="C14" s="51"/>
      <c r="D14" s="51"/>
    </row>
    <row r="15" spans="1:30" x14ac:dyDescent="0.2">
      <c r="B15" s="95"/>
      <c r="C15" s="95"/>
    </row>
    <row r="17" spans="2:3" x14ac:dyDescent="0.2">
      <c r="B17" s="96"/>
      <c r="C17" s="96"/>
    </row>
    <row r="18" spans="2:3" x14ac:dyDescent="0.2">
      <c r="B18" s="97"/>
      <c r="C18" s="97"/>
    </row>
    <row r="19" spans="2:3" x14ac:dyDescent="0.2">
      <c r="B19" s="96"/>
      <c r="C19" s="96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zoomScaleNormal="100" zoomScalePageLayoutView="130" workbookViewId="0"/>
  </sheetViews>
  <sheetFormatPr defaultColWidth="9.140625" defaultRowHeight="15" outlineLevelCol="1" x14ac:dyDescent="0.2"/>
  <cols>
    <col min="1" max="1" width="1.7109375" style="117" customWidth="1"/>
    <col min="2" max="2" width="30.28515625" style="51" bestFit="1" customWidth="1"/>
    <col min="3" max="3" width="22.85546875" style="51" customWidth="1"/>
    <col min="4" max="4" width="12.7109375" style="51" customWidth="1"/>
    <col min="5" max="7" width="12.7109375" style="120" customWidth="1"/>
    <col min="8" max="21" width="12.7109375" style="120" hidden="1" customWidth="1" outlineLevel="1"/>
    <col min="22" max="22" width="12.7109375" style="121" hidden="1" customWidth="1" outlineLevel="1"/>
    <col min="23" max="27" width="12.7109375" style="122" hidden="1" customWidth="1" outlineLevel="1"/>
    <col min="28" max="28" width="12.7109375" style="120" hidden="1" customWidth="1" outlineLevel="1"/>
    <col min="29" max="29" width="15.7109375" style="120" customWidth="1" collapsed="1"/>
    <col min="30" max="191" width="9.140625" style="120"/>
    <col min="192" max="16384" width="9.140625" style="123"/>
  </cols>
  <sheetData>
    <row r="1" spans="1:30" ht="10.35" customHeight="1" thickBot="1" x14ac:dyDescent="0.25"/>
    <row r="2" spans="1:30" ht="15" customHeight="1" x14ac:dyDescent="0.2">
      <c r="B2" s="101" t="s">
        <v>15</v>
      </c>
      <c r="C2" s="102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</row>
    <row r="3" spans="1:30" ht="15" customHeight="1" x14ac:dyDescent="0.2">
      <c r="B3" s="20" t="s">
        <v>51</v>
      </c>
      <c r="C3" s="18" t="s">
        <v>52</v>
      </c>
      <c r="D3" s="105">
        <v>43830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</row>
    <row r="4" spans="1:30" ht="15" customHeight="1" x14ac:dyDescent="0.2">
      <c r="B4" s="20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</row>
    <row r="5" spans="1:30" ht="15" customHeight="1" thickBot="1" x14ac:dyDescent="0.25">
      <c r="B5" s="106"/>
      <c r="C5" s="107"/>
      <c r="D5" s="107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</row>
    <row r="6" spans="1:30" s="119" customFormat="1" ht="15" customHeight="1" x14ac:dyDescent="0.2">
      <c r="A6" s="118"/>
      <c r="B6" s="174"/>
      <c r="C6" s="175"/>
      <c r="D6" s="176"/>
      <c r="E6" s="124">
        <f t="shared" ref="E6:AA6" si="0">E7-DAY(E7)+1</f>
        <v>43101</v>
      </c>
      <c r="F6" s="124">
        <f t="shared" si="0"/>
        <v>43132</v>
      </c>
      <c r="G6" s="124">
        <f t="shared" si="0"/>
        <v>43160</v>
      </c>
      <c r="H6" s="124">
        <f t="shared" si="0"/>
        <v>43191</v>
      </c>
      <c r="I6" s="124">
        <f t="shared" si="0"/>
        <v>43221</v>
      </c>
      <c r="J6" s="124">
        <f t="shared" si="0"/>
        <v>43252</v>
      </c>
      <c r="K6" s="124">
        <f t="shared" si="0"/>
        <v>43282</v>
      </c>
      <c r="L6" s="124">
        <f t="shared" si="0"/>
        <v>43313</v>
      </c>
      <c r="M6" s="124">
        <f t="shared" si="0"/>
        <v>43344</v>
      </c>
      <c r="N6" s="124">
        <f t="shared" si="0"/>
        <v>43374</v>
      </c>
      <c r="O6" s="124">
        <f t="shared" si="0"/>
        <v>43405</v>
      </c>
      <c r="P6" s="124">
        <f t="shared" si="0"/>
        <v>43435</v>
      </c>
      <c r="Q6" s="124">
        <f t="shared" si="0"/>
        <v>43466</v>
      </c>
      <c r="R6" s="124">
        <f t="shared" si="0"/>
        <v>43497</v>
      </c>
      <c r="S6" s="124">
        <f t="shared" si="0"/>
        <v>43525</v>
      </c>
      <c r="T6" s="124">
        <f t="shared" si="0"/>
        <v>43556</v>
      </c>
      <c r="U6" s="124">
        <f t="shared" si="0"/>
        <v>43586</v>
      </c>
      <c r="V6" s="124">
        <f t="shared" si="0"/>
        <v>43617</v>
      </c>
      <c r="W6" s="124">
        <f t="shared" si="0"/>
        <v>43647</v>
      </c>
      <c r="X6" s="124">
        <f t="shared" si="0"/>
        <v>43678</v>
      </c>
      <c r="Y6" s="124">
        <f t="shared" si="0"/>
        <v>43709</v>
      </c>
      <c r="Z6" s="124">
        <f t="shared" si="0"/>
        <v>43739</v>
      </c>
      <c r="AA6" s="124">
        <f t="shared" si="0"/>
        <v>43770</v>
      </c>
      <c r="AB6" s="124">
        <f>AB7-DAY(AB7)+1</f>
        <v>43800</v>
      </c>
    </row>
    <row r="7" spans="1:30" s="119" customFormat="1" ht="15" customHeight="1" thickBot="1" x14ac:dyDescent="0.25">
      <c r="A7" s="118"/>
      <c r="B7" s="177"/>
      <c r="C7" s="178"/>
      <c r="D7" s="179"/>
      <c r="E7" s="125">
        <f t="shared" ref="E7:AA7" si="1">F6-1</f>
        <v>43131</v>
      </c>
      <c r="F7" s="126">
        <f t="shared" si="1"/>
        <v>43159</v>
      </c>
      <c r="G7" s="126">
        <f t="shared" si="1"/>
        <v>43190</v>
      </c>
      <c r="H7" s="126">
        <f t="shared" si="1"/>
        <v>43220</v>
      </c>
      <c r="I7" s="126">
        <f t="shared" si="1"/>
        <v>43251</v>
      </c>
      <c r="J7" s="126">
        <f t="shared" si="1"/>
        <v>43281</v>
      </c>
      <c r="K7" s="126">
        <f t="shared" si="1"/>
        <v>43312</v>
      </c>
      <c r="L7" s="126">
        <f t="shared" si="1"/>
        <v>43343</v>
      </c>
      <c r="M7" s="126">
        <f t="shared" si="1"/>
        <v>43373</v>
      </c>
      <c r="N7" s="126">
        <f t="shared" si="1"/>
        <v>43404</v>
      </c>
      <c r="O7" s="126">
        <f t="shared" si="1"/>
        <v>43434</v>
      </c>
      <c r="P7" s="126">
        <f t="shared" si="1"/>
        <v>43465</v>
      </c>
      <c r="Q7" s="126">
        <f t="shared" si="1"/>
        <v>43496</v>
      </c>
      <c r="R7" s="126">
        <f t="shared" si="1"/>
        <v>43524</v>
      </c>
      <c r="S7" s="126">
        <f t="shared" si="1"/>
        <v>43555</v>
      </c>
      <c r="T7" s="126">
        <f t="shared" si="1"/>
        <v>43585</v>
      </c>
      <c r="U7" s="126">
        <f t="shared" si="1"/>
        <v>43616</v>
      </c>
      <c r="V7" s="126">
        <f t="shared" si="1"/>
        <v>43646</v>
      </c>
      <c r="W7" s="126">
        <f t="shared" si="1"/>
        <v>43677</v>
      </c>
      <c r="X7" s="126">
        <f t="shared" si="1"/>
        <v>43708</v>
      </c>
      <c r="Y7" s="126">
        <f t="shared" si="1"/>
        <v>43738</v>
      </c>
      <c r="Z7" s="126">
        <f t="shared" si="1"/>
        <v>43769</v>
      </c>
      <c r="AA7" s="126">
        <f t="shared" si="1"/>
        <v>43799</v>
      </c>
      <c r="AB7" s="126">
        <f>D3</f>
        <v>43830</v>
      </c>
    </row>
    <row r="8" spans="1:30" s="119" customFormat="1" ht="15" customHeight="1" thickBot="1" x14ac:dyDescent="0.25">
      <c r="B8" s="108" t="s">
        <v>0</v>
      </c>
      <c r="C8" s="100" t="s">
        <v>14</v>
      </c>
      <c r="D8" s="109" t="s">
        <v>47</v>
      </c>
      <c r="E8" s="127">
        <f t="shared" ref="E8:AB8" si="2">E6</f>
        <v>43101</v>
      </c>
      <c r="F8" s="128">
        <f t="shared" si="2"/>
        <v>43132</v>
      </c>
      <c r="G8" s="128">
        <f t="shared" si="2"/>
        <v>43160</v>
      </c>
      <c r="H8" s="128">
        <f t="shared" si="2"/>
        <v>43191</v>
      </c>
      <c r="I8" s="128">
        <f t="shared" si="2"/>
        <v>43221</v>
      </c>
      <c r="J8" s="128">
        <f t="shared" si="2"/>
        <v>43252</v>
      </c>
      <c r="K8" s="128">
        <f t="shared" si="2"/>
        <v>43282</v>
      </c>
      <c r="L8" s="128">
        <f t="shared" si="2"/>
        <v>43313</v>
      </c>
      <c r="M8" s="128">
        <f t="shared" si="2"/>
        <v>43344</v>
      </c>
      <c r="N8" s="128">
        <f t="shared" si="2"/>
        <v>43374</v>
      </c>
      <c r="O8" s="128">
        <f t="shared" si="2"/>
        <v>43405</v>
      </c>
      <c r="P8" s="128">
        <f t="shared" si="2"/>
        <v>43435</v>
      </c>
      <c r="Q8" s="128">
        <f t="shared" si="2"/>
        <v>43466</v>
      </c>
      <c r="R8" s="128">
        <f t="shared" si="2"/>
        <v>43497</v>
      </c>
      <c r="S8" s="128">
        <f t="shared" si="2"/>
        <v>43525</v>
      </c>
      <c r="T8" s="128">
        <f t="shared" si="2"/>
        <v>43556</v>
      </c>
      <c r="U8" s="128">
        <f t="shared" si="2"/>
        <v>43586</v>
      </c>
      <c r="V8" s="128">
        <f t="shared" si="2"/>
        <v>43617</v>
      </c>
      <c r="W8" s="128">
        <f t="shared" si="2"/>
        <v>43647</v>
      </c>
      <c r="X8" s="128">
        <f t="shared" si="2"/>
        <v>43678</v>
      </c>
      <c r="Y8" s="128">
        <f t="shared" si="2"/>
        <v>43709</v>
      </c>
      <c r="Z8" s="128">
        <f t="shared" si="2"/>
        <v>43739</v>
      </c>
      <c r="AA8" s="128">
        <f t="shared" si="2"/>
        <v>43770</v>
      </c>
      <c r="AB8" s="128">
        <f t="shared" si="2"/>
        <v>43800</v>
      </c>
    </row>
    <row r="9" spans="1:30" ht="15" customHeight="1" thickBot="1" x14ac:dyDescent="0.25">
      <c r="B9" s="110"/>
      <c r="C9" s="111" t="s">
        <v>1</v>
      </c>
      <c r="D9" s="112" t="s">
        <v>17</v>
      </c>
      <c r="E9" s="129">
        <f t="shared" ref="E9:N12" ca="1" si="3">AbraReceivable(URL,Username,Password,$D9,E$6,E$7)/1000</f>
        <v>0</v>
      </c>
      <c r="F9" s="129">
        <f t="shared" ca="1" si="3"/>
        <v>0</v>
      </c>
      <c r="G9" s="129">
        <f t="shared" ca="1" si="3"/>
        <v>0</v>
      </c>
      <c r="H9" s="129">
        <f t="shared" ca="1" si="3"/>
        <v>0</v>
      </c>
      <c r="I9" s="129">
        <f t="shared" ca="1" si="3"/>
        <v>0</v>
      </c>
      <c r="J9" s="129">
        <f t="shared" ca="1" si="3"/>
        <v>0</v>
      </c>
      <c r="K9" s="129">
        <f t="shared" ca="1" si="3"/>
        <v>0</v>
      </c>
      <c r="L9" s="129">
        <f t="shared" ca="1" si="3"/>
        <v>0</v>
      </c>
      <c r="M9" s="129">
        <f t="shared" ca="1" si="3"/>
        <v>0</v>
      </c>
      <c r="N9" s="129">
        <f t="shared" ca="1" si="3"/>
        <v>0</v>
      </c>
      <c r="O9" s="129">
        <f t="shared" ref="O9:AB12" ca="1" si="4">AbraReceivable(URL,Username,Password,$D9,O$6,O$7)/1000</f>
        <v>0</v>
      </c>
      <c r="P9" s="129">
        <f t="shared" ca="1" si="4"/>
        <v>0</v>
      </c>
      <c r="Q9" s="129">
        <f t="shared" ca="1" si="4"/>
        <v>0</v>
      </c>
      <c r="R9" s="129">
        <f t="shared" ca="1" si="4"/>
        <v>0</v>
      </c>
      <c r="S9" s="129">
        <f t="shared" ca="1" si="4"/>
        <v>0</v>
      </c>
      <c r="T9" s="129">
        <f t="shared" ca="1" si="4"/>
        <v>0</v>
      </c>
      <c r="U9" s="129">
        <f t="shared" ca="1" si="4"/>
        <v>0</v>
      </c>
      <c r="V9" s="129">
        <f t="shared" ca="1" si="4"/>
        <v>0</v>
      </c>
      <c r="W9" s="129">
        <f t="shared" ca="1" si="4"/>
        <v>0</v>
      </c>
      <c r="X9" s="129">
        <f t="shared" ca="1" si="4"/>
        <v>0</v>
      </c>
      <c r="Y9" s="129">
        <f t="shared" ca="1" si="4"/>
        <v>0</v>
      </c>
      <c r="Z9" s="129">
        <f t="shared" ca="1" si="4"/>
        <v>0</v>
      </c>
      <c r="AA9" s="129">
        <f t="shared" ca="1" si="4"/>
        <v>0</v>
      </c>
      <c r="AB9" s="129">
        <f t="shared" ca="1" si="4"/>
        <v>0</v>
      </c>
      <c r="AC9" s="130"/>
      <c r="AD9" s="119"/>
    </row>
    <row r="10" spans="1:30" ht="15" customHeight="1" thickBot="1" x14ac:dyDescent="0.25">
      <c r="B10" s="131"/>
      <c r="C10" s="132" t="s">
        <v>53</v>
      </c>
      <c r="D10" s="133" t="s">
        <v>18</v>
      </c>
      <c r="E10" s="129">
        <f t="shared" ca="1" si="3"/>
        <v>0</v>
      </c>
      <c r="F10" s="129">
        <f t="shared" ca="1" si="3"/>
        <v>0</v>
      </c>
      <c r="G10" s="129">
        <f t="shared" ca="1" si="3"/>
        <v>0</v>
      </c>
      <c r="H10" s="129">
        <f t="shared" ca="1" si="3"/>
        <v>0</v>
      </c>
      <c r="I10" s="129">
        <f t="shared" ca="1" si="3"/>
        <v>0</v>
      </c>
      <c r="J10" s="129">
        <f t="shared" ca="1" si="3"/>
        <v>0</v>
      </c>
      <c r="K10" s="129">
        <f t="shared" ca="1" si="3"/>
        <v>0</v>
      </c>
      <c r="L10" s="129">
        <f t="shared" ca="1" si="3"/>
        <v>0</v>
      </c>
      <c r="M10" s="129">
        <f t="shared" ca="1" si="3"/>
        <v>0</v>
      </c>
      <c r="N10" s="129">
        <f t="shared" ca="1" si="3"/>
        <v>0</v>
      </c>
      <c r="O10" s="129">
        <f t="shared" ca="1" si="4"/>
        <v>0</v>
      </c>
      <c r="P10" s="129">
        <f t="shared" ca="1" si="4"/>
        <v>0</v>
      </c>
      <c r="Q10" s="129">
        <f t="shared" ca="1" si="4"/>
        <v>0</v>
      </c>
      <c r="R10" s="129">
        <f t="shared" ca="1" si="4"/>
        <v>0</v>
      </c>
      <c r="S10" s="129">
        <f t="shared" ca="1" si="4"/>
        <v>0</v>
      </c>
      <c r="T10" s="129">
        <f t="shared" ca="1" si="4"/>
        <v>0</v>
      </c>
      <c r="U10" s="129">
        <f t="shared" ca="1" si="4"/>
        <v>0</v>
      </c>
      <c r="V10" s="129">
        <f t="shared" ca="1" si="4"/>
        <v>0</v>
      </c>
      <c r="W10" s="129">
        <f t="shared" ca="1" si="4"/>
        <v>0</v>
      </c>
      <c r="X10" s="129">
        <f t="shared" ca="1" si="4"/>
        <v>0</v>
      </c>
      <c r="Y10" s="129">
        <f t="shared" ca="1" si="4"/>
        <v>0</v>
      </c>
      <c r="Z10" s="129">
        <f t="shared" ca="1" si="4"/>
        <v>0</v>
      </c>
      <c r="AA10" s="129">
        <f t="shared" ca="1" si="4"/>
        <v>0</v>
      </c>
      <c r="AB10" s="129">
        <f t="shared" ca="1" si="4"/>
        <v>0</v>
      </c>
      <c r="AC10" s="130"/>
      <c r="AD10" s="119"/>
    </row>
    <row r="11" spans="1:30" ht="15" customHeight="1" thickBot="1" x14ac:dyDescent="0.25">
      <c r="B11" s="131"/>
      <c r="C11" s="132" t="s">
        <v>54</v>
      </c>
      <c r="D11" s="133" t="s">
        <v>19</v>
      </c>
      <c r="E11" s="129">
        <f t="shared" ca="1" si="3"/>
        <v>0</v>
      </c>
      <c r="F11" s="129">
        <f t="shared" ca="1" si="3"/>
        <v>0</v>
      </c>
      <c r="G11" s="129">
        <f t="shared" ca="1" si="3"/>
        <v>0</v>
      </c>
      <c r="H11" s="129">
        <f t="shared" ca="1" si="3"/>
        <v>0</v>
      </c>
      <c r="I11" s="129">
        <f t="shared" ca="1" si="3"/>
        <v>0</v>
      </c>
      <c r="J11" s="129">
        <f t="shared" ca="1" si="3"/>
        <v>0</v>
      </c>
      <c r="K11" s="129">
        <f t="shared" ca="1" si="3"/>
        <v>0</v>
      </c>
      <c r="L11" s="129">
        <f t="shared" ca="1" si="3"/>
        <v>0</v>
      </c>
      <c r="M11" s="129">
        <f t="shared" ca="1" si="3"/>
        <v>0</v>
      </c>
      <c r="N11" s="129">
        <f t="shared" ca="1" si="3"/>
        <v>0</v>
      </c>
      <c r="O11" s="129">
        <f t="shared" ca="1" si="4"/>
        <v>0</v>
      </c>
      <c r="P11" s="129">
        <f t="shared" ca="1" si="4"/>
        <v>0</v>
      </c>
      <c r="Q11" s="129">
        <f t="shared" ca="1" si="4"/>
        <v>0</v>
      </c>
      <c r="R11" s="129">
        <f t="shared" ca="1" si="4"/>
        <v>0</v>
      </c>
      <c r="S11" s="129">
        <f t="shared" ca="1" si="4"/>
        <v>0</v>
      </c>
      <c r="T11" s="129">
        <f t="shared" ca="1" si="4"/>
        <v>0</v>
      </c>
      <c r="U11" s="129">
        <f t="shared" ca="1" si="4"/>
        <v>0</v>
      </c>
      <c r="V11" s="129">
        <f t="shared" ca="1" si="4"/>
        <v>0</v>
      </c>
      <c r="W11" s="129">
        <f t="shared" ca="1" si="4"/>
        <v>0</v>
      </c>
      <c r="X11" s="129">
        <f t="shared" ca="1" si="4"/>
        <v>0</v>
      </c>
      <c r="Y11" s="129">
        <f t="shared" ca="1" si="4"/>
        <v>0</v>
      </c>
      <c r="Z11" s="129">
        <f t="shared" ca="1" si="4"/>
        <v>0</v>
      </c>
      <c r="AA11" s="129">
        <f t="shared" ca="1" si="4"/>
        <v>0</v>
      </c>
      <c r="AB11" s="129">
        <f t="shared" ca="1" si="4"/>
        <v>0</v>
      </c>
      <c r="AC11" s="130"/>
      <c r="AD11" s="119"/>
    </row>
    <row r="12" spans="1:30" ht="15" customHeight="1" x14ac:dyDescent="0.2">
      <c r="B12" s="113"/>
      <c r="C12" s="114" t="s">
        <v>55</v>
      </c>
      <c r="D12" s="115" t="s">
        <v>20</v>
      </c>
      <c r="E12" s="129">
        <f t="shared" ca="1" si="3"/>
        <v>0</v>
      </c>
      <c r="F12" s="129">
        <f t="shared" ca="1" si="3"/>
        <v>0</v>
      </c>
      <c r="G12" s="129">
        <f t="shared" ca="1" si="3"/>
        <v>0</v>
      </c>
      <c r="H12" s="129">
        <f t="shared" ca="1" si="3"/>
        <v>0</v>
      </c>
      <c r="I12" s="129">
        <f t="shared" ca="1" si="3"/>
        <v>0</v>
      </c>
      <c r="J12" s="129">
        <f t="shared" ca="1" si="3"/>
        <v>0</v>
      </c>
      <c r="K12" s="129">
        <f t="shared" ca="1" si="3"/>
        <v>0</v>
      </c>
      <c r="L12" s="129">
        <f t="shared" ca="1" si="3"/>
        <v>0</v>
      </c>
      <c r="M12" s="129">
        <f t="shared" ca="1" si="3"/>
        <v>0</v>
      </c>
      <c r="N12" s="129">
        <f t="shared" ca="1" si="3"/>
        <v>0</v>
      </c>
      <c r="O12" s="129">
        <f t="shared" ca="1" si="4"/>
        <v>0</v>
      </c>
      <c r="P12" s="129">
        <f t="shared" ca="1" si="4"/>
        <v>0</v>
      </c>
      <c r="Q12" s="129">
        <f t="shared" ca="1" si="4"/>
        <v>0</v>
      </c>
      <c r="R12" s="129">
        <f t="shared" ca="1" si="4"/>
        <v>0</v>
      </c>
      <c r="S12" s="129">
        <f t="shared" ca="1" si="4"/>
        <v>0</v>
      </c>
      <c r="T12" s="129">
        <f t="shared" ca="1" si="4"/>
        <v>0</v>
      </c>
      <c r="U12" s="129">
        <f t="shared" ca="1" si="4"/>
        <v>0</v>
      </c>
      <c r="V12" s="129">
        <f t="shared" ca="1" si="4"/>
        <v>0</v>
      </c>
      <c r="W12" s="129">
        <f t="shared" ca="1" si="4"/>
        <v>0</v>
      </c>
      <c r="X12" s="129">
        <f t="shared" ca="1" si="4"/>
        <v>0</v>
      </c>
      <c r="Y12" s="129">
        <f t="shared" ca="1" si="4"/>
        <v>0</v>
      </c>
      <c r="Z12" s="129">
        <f t="shared" ca="1" si="4"/>
        <v>0</v>
      </c>
      <c r="AA12" s="129">
        <f t="shared" ca="1" si="4"/>
        <v>0</v>
      </c>
      <c r="AB12" s="129">
        <f t="shared" ca="1" si="4"/>
        <v>0</v>
      </c>
      <c r="AC12" s="130"/>
    </row>
    <row r="13" spans="1:30" ht="15" customHeight="1" x14ac:dyDescent="0.2">
      <c r="B13" s="49"/>
      <c r="C13" s="49"/>
      <c r="D13" s="49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</row>
    <row r="14" spans="1:30" ht="15" customHeight="1" x14ac:dyDescent="0.2">
      <c r="B14" s="49"/>
      <c r="C14" s="49"/>
      <c r="D14" s="49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34"/>
    </row>
    <row r="15" spans="1:30" ht="15.75" thickBot="1" x14ac:dyDescent="0.25">
      <c r="B15" s="116"/>
      <c r="C15" s="116"/>
    </row>
    <row r="16" spans="1:30" x14ac:dyDescent="0.2">
      <c r="B16" s="101" t="s">
        <v>16</v>
      </c>
      <c r="C16" s="102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</row>
    <row r="17" spans="2:29" x14ac:dyDescent="0.2">
      <c r="B17" s="20" t="s">
        <v>56</v>
      </c>
      <c r="C17" s="18" t="s">
        <v>45</v>
      </c>
      <c r="D17" s="105">
        <v>43830</v>
      </c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</row>
    <row r="18" spans="2:29" x14ac:dyDescent="0.2">
      <c r="B18" s="20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</row>
    <row r="19" spans="2:29" ht="15.75" thickBot="1" x14ac:dyDescent="0.25">
      <c r="B19" s="106"/>
      <c r="C19" s="107"/>
      <c r="D19" s="107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</row>
    <row r="20" spans="2:29" x14ac:dyDescent="0.2">
      <c r="B20" s="174"/>
      <c r="C20" s="175"/>
      <c r="D20" s="176"/>
      <c r="E20" s="124">
        <f t="shared" ref="E20:AA20" si="5">E21-DAY(E21)+1</f>
        <v>43101</v>
      </c>
      <c r="F20" s="124">
        <f t="shared" si="5"/>
        <v>43132</v>
      </c>
      <c r="G20" s="124">
        <f t="shared" si="5"/>
        <v>43160</v>
      </c>
      <c r="H20" s="124">
        <f t="shared" si="5"/>
        <v>43191</v>
      </c>
      <c r="I20" s="124">
        <f t="shared" si="5"/>
        <v>43221</v>
      </c>
      <c r="J20" s="124">
        <f t="shared" si="5"/>
        <v>43252</v>
      </c>
      <c r="K20" s="124">
        <f t="shared" si="5"/>
        <v>43282</v>
      </c>
      <c r="L20" s="124">
        <f t="shared" si="5"/>
        <v>43313</v>
      </c>
      <c r="M20" s="124">
        <f t="shared" si="5"/>
        <v>43344</v>
      </c>
      <c r="N20" s="124">
        <f t="shared" si="5"/>
        <v>43374</v>
      </c>
      <c r="O20" s="124">
        <f t="shared" si="5"/>
        <v>43405</v>
      </c>
      <c r="P20" s="124">
        <f t="shared" si="5"/>
        <v>43435</v>
      </c>
      <c r="Q20" s="124">
        <f t="shared" si="5"/>
        <v>43466</v>
      </c>
      <c r="R20" s="124">
        <f t="shared" si="5"/>
        <v>43497</v>
      </c>
      <c r="S20" s="124">
        <f t="shared" si="5"/>
        <v>43525</v>
      </c>
      <c r="T20" s="124">
        <f t="shared" si="5"/>
        <v>43556</v>
      </c>
      <c r="U20" s="124">
        <f t="shared" si="5"/>
        <v>43586</v>
      </c>
      <c r="V20" s="124">
        <f t="shared" si="5"/>
        <v>43617</v>
      </c>
      <c r="W20" s="124">
        <f t="shared" si="5"/>
        <v>43647</v>
      </c>
      <c r="X20" s="124">
        <f t="shared" si="5"/>
        <v>43678</v>
      </c>
      <c r="Y20" s="124">
        <f t="shared" si="5"/>
        <v>43709</v>
      </c>
      <c r="Z20" s="124">
        <f t="shared" si="5"/>
        <v>43739</v>
      </c>
      <c r="AA20" s="124">
        <f t="shared" si="5"/>
        <v>43770</v>
      </c>
      <c r="AB20" s="124">
        <f>AB21-DAY(AB21)+1</f>
        <v>43800</v>
      </c>
      <c r="AC20" s="119"/>
    </row>
    <row r="21" spans="2:29" ht="15.75" thickBot="1" x14ac:dyDescent="0.25">
      <c r="B21" s="177"/>
      <c r="C21" s="178"/>
      <c r="D21" s="179"/>
      <c r="E21" s="125">
        <f t="shared" ref="E21" si="6">F20-1</f>
        <v>43131</v>
      </c>
      <c r="F21" s="126">
        <f t="shared" ref="F21" si="7">G20-1</f>
        <v>43159</v>
      </c>
      <c r="G21" s="126">
        <f t="shared" ref="G21" si="8">H20-1</f>
        <v>43190</v>
      </c>
      <c r="H21" s="126">
        <f t="shared" ref="H21" si="9">I20-1</f>
        <v>43220</v>
      </c>
      <c r="I21" s="126">
        <f t="shared" ref="I21" si="10">J20-1</f>
        <v>43251</v>
      </c>
      <c r="J21" s="126">
        <f t="shared" ref="J21" si="11">K20-1</f>
        <v>43281</v>
      </c>
      <c r="K21" s="126">
        <f t="shared" ref="K21" si="12">L20-1</f>
        <v>43312</v>
      </c>
      <c r="L21" s="126">
        <f t="shared" ref="L21" si="13">M20-1</f>
        <v>43343</v>
      </c>
      <c r="M21" s="126">
        <f t="shared" ref="M21" si="14">N20-1</f>
        <v>43373</v>
      </c>
      <c r="N21" s="126">
        <f t="shared" ref="N21" si="15">O20-1</f>
        <v>43404</v>
      </c>
      <c r="O21" s="126">
        <f t="shared" ref="O21" si="16">P20-1</f>
        <v>43434</v>
      </c>
      <c r="P21" s="126">
        <f t="shared" ref="P21" si="17">Q20-1</f>
        <v>43465</v>
      </c>
      <c r="Q21" s="126">
        <f t="shared" ref="Q21" si="18">R20-1</f>
        <v>43496</v>
      </c>
      <c r="R21" s="126">
        <f t="shared" ref="R21" si="19">S20-1</f>
        <v>43524</v>
      </c>
      <c r="S21" s="126">
        <f t="shared" ref="S21" si="20">T20-1</f>
        <v>43555</v>
      </c>
      <c r="T21" s="126">
        <f t="shared" ref="T21" si="21">U20-1</f>
        <v>43585</v>
      </c>
      <c r="U21" s="126">
        <f t="shared" ref="U21" si="22">V20-1</f>
        <v>43616</v>
      </c>
      <c r="V21" s="126">
        <f t="shared" ref="V21" si="23">W20-1</f>
        <v>43646</v>
      </c>
      <c r="W21" s="126">
        <f t="shared" ref="W21" si="24">X20-1</f>
        <v>43677</v>
      </c>
      <c r="X21" s="126">
        <f t="shared" ref="X21" si="25">Y20-1</f>
        <v>43708</v>
      </c>
      <c r="Y21" s="126">
        <f t="shared" ref="Y21" si="26">Z20-1</f>
        <v>43738</v>
      </c>
      <c r="Z21" s="126">
        <f t="shared" ref="Z21" si="27">AA20-1</f>
        <v>43769</v>
      </c>
      <c r="AA21" s="126">
        <f t="shared" ref="AA21" si="28">AB20-1</f>
        <v>43799</v>
      </c>
      <c r="AB21" s="126">
        <f>D17</f>
        <v>43830</v>
      </c>
      <c r="AC21" s="119"/>
    </row>
    <row r="22" spans="2:29" ht="15.75" thickBot="1" x14ac:dyDescent="0.25">
      <c r="B22" s="108" t="s">
        <v>0</v>
      </c>
      <c r="C22" s="100" t="s">
        <v>14</v>
      </c>
      <c r="D22" s="109" t="s">
        <v>47</v>
      </c>
      <c r="E22" s="127">
        <f t="shared" ref="E22:AB22" si="29">E20</f>
        <v>43101</v>
      </c>
      <c r="F22" s="128">
        <f t="shared" si="29"/>
        <v>43132</v>
      </c>
      <c r="G22" s="128">
        <f t="shared" si="29"/>
        <v>43160</v>
      </c>
      <c r="H22" s="128">
        <f t="shared" si="29"/>
        <v>43191</v>
      </c>
      <c r="I22" s="128">
        <f t="shared" si="29"/>
        <v>43221</v>
      </c>
      <c r="J22" s="128">
        <f t="shared" si="29"/>
        <v>43252</v>
      </c>
      <c r="K22" s="128">
        <f t="shared" si="29"/>
        <v>43282</v>
      </c>
      <c r="L22" s="128">
        <f t="shared" si="29"/>
        <v>43313</v>
      </c>
      <c r="M22" s="128">
        <f t="shared" si="29"/>
        <v>43344</v>
      </c>
      <c r="N22" s="128">
        <f t="shared" si="29"/>
        <v>43374</v>
      </c>
      <c r="O22" s="128">
        <f t="shared" si="29"/>
        <v>43405</v>
      </c>
      <c r="P22" s="128">
        <f t="shared" si="29"/>
        <v>43435</v>
      </c>
      <c r="Q22" s="128">
        <f t="shared" si="29"/>
        <v>43466</v>
      </c>
      <c r="R22" s="128">
        <f t="shared" si="29"/>
        <v>43497</v>
      </c>
      <c r="S22" s="128">
        <f t="shared" si="29"/>
        <v>43525</v>
      </c>
      <c r="T22" s="128">
        <f t="shared" si="29"/>
        <v>43556</v>
      </c>
      <c r="U22" s="128">
        <f t="shared" si="29"/>
        <v>43586</v>
      </c>
      <c r="V22" s="128">
        <f t="shared" si="29"/>
        <v>43617</v>
      </c>
      <c r="W22" s="128">
        <f t="shared" si="29"/>
        <v>43647</v>
      </c>
      <c r="X22" s="128">
        <f t="shared" si="29"/>
        <v>43678</v>
      </c>
      <c r="Y22" s="128">
        <f t="shared" si="29"/>
        <v>43709</v>
      </c>
      <c r="Z22" s="128">
        <f t="shared" si="29"/>
        <v>43739</v>
      </c>
      <c r="AA22" s="128">
        <f t="shared" si="29"/>
        <v>43770</v>
      </c>
      <c r="AB22" s="128">
        <f t="shared" si="29"/>
        <v>43800</v>
      </c>
      <c r="AC22" s="119"/>
    </row>
    <row r="23" spans="2:29" ht="15.75" thickBot="1" x14ac:dyDescent="0.25">
      <c r="B23" s="110"/>
      <c r="C23" s="111" t="s">
        <v>1</v>
      </c>
      <c r="D23" s="112" t="s">
        <v>17</v>
      </c>
      <c r="E23" s="129">
        <f t="shared" ref="E23:N26" ca="1" si="30">AbraPayable(URL,Username,Password,$D23,E$20,E$21)/1000</f>
        <v>0</v>
      </c>
      <c r="F23" s="129">
        <f t="shared" ca="1" si="30"/>
        <v>0</v>
      </c>
      <c r="G23" s="129">
        <f t="shared" ca="1" si="30"/>
        <v>0</v>
      </c>
      <c r="H23" s="129">
        <f t="shared" ca="1" si="30"/>
        <v>0</v>
      </c>
      <c r="I23" s="129">
        <f t="shared" ca="1" si="30"/>
        <v>0</v>
      </c>
      <c r="J23" s="129">
        <f t="shared" ca="1" si="30"/>
        <v>0</v>
      </c>
      <c r="K23" s="129">
        <f t="shared" ca="1" si="30"/>
        <v>0</v>
      </c>
      <c r="L23" s="129">
        <f t="shared" ca="1" si="30"/>
        <v>0</v>
      </c>
      <c r="M23" s="129">
        <f t="shared" ca="1" si="30"/>
        <v>0</v>
      </c>
      <c r="N23" s="129">
        <f t="shared" ca="1" si="30"/>
        <v>0</v>
      </c>
      <c r="O23" s="129">
        <f t="shared" ref="O23:AB26" ca="1" si="31">AbraPayable(URL,Username,Password,$D23,O$20,O$21)/1000</f>
        <v>0</v>
      </c>
      <c r="P23" s="129">
        <f t="shared" ca="1" si="31"/>
        <v>0</v>
      </c>
      <c r="Q23" s="129">
        <f t="shared" ca="1" si="31"/>
        <v>0</v>
      </c>
      <c r="R23" s="129">
        <f t="shared" ca="1" si="31"/>
        <v>0</v>
      </c>
      <c r="S23" s="129">
        <f t="shared" ca="1" si="31"/>
        <v>0</v>
      </c>
      <c r="T23" s="129">
        <f t="shared" ca="1" si="31"/>
        <v>0</v>
      </c>
      <c r="U23" s="129">
        <f t="shared" ca="1" si="31"/>
        <v>0</v>
      </c>
      <c r="V23" s="129">
        <f t="shared" ca="1" si="31"/>
        <v>0</v>
      </c>
      <c r="W23" s="129">
        <f t="shared" ca="1" si="31"/>
        <v>0</v>
      </c>
      <c r="X23" s="129">
        <f t="shared" ca="1" si="31"/>
        <v>0</v>
      </c>
      <c r="Y23" s="129">
        <f t="shared" ca="1" si="31"/>
        <v>0</v>
      </c>
      <c r="Z23" s="129">
        <f t="shared" ca="1" si="31"/>
        <v>0</v>
      </c>
      <c r="AA23" s="129">
        <f t="shared" ca="1" si="31"/>
        <v>0</v>
      </c>
      <c r="AB23" s="129">
        <f t="shared" ca="1" si="31"/>
        <v>0</v>
      </c>
      <c r="AC23" s="130"/>
    </row>
    <row r="24" spans="2:29" ht="15.75" thickBot="1" x14ac:dyDescent="0.25">
      <c r="B24" s="131"/>
      <c r="C24" s="132" t="s">
        <v>53</v>
      </c>
      <c r="D24" s="133" t="s">
        <v>18</v>
      </c>
      <c r="E24" s="129">
        <f t="shared" ca="1" si="30"/>
        <v>0</v>
      </c>
      <c r="F24" s="129">
        <f t="shared" ca="1" si="30"/>
        <v>0</v>
      </c>
      <c r="G24" s="129">
        <f t="shared" ca="1" si="30"/>
        <v>0</v>
      </c>
      <c r="H24" s="129">
        <f t="shared" ca="1" si="30"/>
        <v>0</v>
      </c>
      <c r="I24" s="129">
        <f t="shared" ca="1" si="30"/>
        <v>0</v>
      </c>
      <c r="J24" s="129">
        <f t="shared" ca="1" si="30"/>
        <v>0</v>
      </c>
      <c r="K24" s="129">
        <f t="shared" ca="1" si="30"/>
        <v>0</v>
      </c>
      <c r="L24" s="129">
        <f t="shared" ca="1" si="30"/>
        <v>0</v>
      </c>
      <c r="M24" s="129">
        <f t="shared" ca="1" si="30"/>
        <v>0</v>
      </c>
      <c r="N24" s="129">
        <f t="shared" ca="1" si="30"/>
        <v>0</v>
      </c>
      <c r="O24" s="129">
        <f t="shared" ca="1" si="31"/>
        <v>0</v>
      </c>
      <c r="P24" s="129">
        <f t="shared" ca="1" si="31"/>
        <v>0</v>
      </c>
      <c r="Q24" s="129">
        <f t="shared" ca="1" si="31"/>
        <v>0</v>
      </c>
      <c r="R24" s="129">
        <f t="shared" ca="1" si="31"/>
        <v>0</v>
      </c>
      <c r="S24" s="129">
        <f t="shared" ca="1" si="31"/>
        <v>0</v>
      </c>
      <c r="T24" s="129">
        <f t="shared" ca="1" si="31"/>
        <v>0</v>
      </c>
      <c r="U24" s="129">
        <f t="shared" ca="1" si="31"/>
        <v>0</v>
      </c>
      <c r="V24" s="129">
        <f t="shared" ca="1" si="31"/>
        <v>0</v>
      </c>
      <c r="W24" s="129">
        <f t="shared" ca="1" si="31"/>
        <v>0</v>
      </c>
      <c r="X24" s="129">
        <f t="shared" ca="1" si="31"/>
        <v>0</v>
      </c>
      <c r="Y24" s="129">
        <f t="shared" ca="1" si="31"/>
        <v>0</v>
      </c>
      <c r="Z24" s="129">
        <f t="shared" ca="1" si="31"/>
        <v>0</v>
      </c>
      <c r="AA24" s="129">
        <f t="shared" ca="1" si="31"/>
        <v>0</v>
      </c>
      <c r="AB24" s="129">
        <f t="shared" ca="1" si="31"/>
        <v>0</v>
      </c>
      <c r="AC24" s="130"/>
    </row>
    <row r="25" spans="2:29" ht="15.75" thickBot="1" x14ac:dyDescent="0.25">
      <c r="B25" s="131"/>
      <c r="C25" s="132" t="s">
        <v>54</v>
      </c>
      <c r="D25" s="133" t="s">
        <v>19</v>
      </c>
      <c r="E25" s="129">
        <f t="shared" ca="1" si="30"/>
        <v>0</v>
      </c>
      <c r="F25" s="129">
        <f t="shared" ca="1" si="30"/>
        <v>0</v>
      </c>
      <c r="G25" s="129">
        <f t="shared" ca="1" si="30"/>
        <v>0</v>
      </c>
      <c r="H25" s="129">
        <f t="shared" ca="1" si="30"/>
        <v>0</v>
      </c>
      <c r="I25" s="129">
        <f t="shared" ca="1" si="30"/>
        <v>0</v>
      </c>
      <c r="J25" s="129">
        <f t="shared" ca="1" si="30"/>
        <v>0</v>
      </c>
      <c r="K25" s="129">
        <f t="shared" ca="1" si="30"/>
        <v>0</v>
      </c>
      <c r="L25" s="129">
        <f t="shared" ca="1" si="30"/>
        <v>0</v>
      </c>
      <c r="M25" s="129">
        <f t="shared" ca="1" si="30"/>
        <v>0</v>
      </c>
      <c r="N25" s="129">
        <f t="shared" ca="1" si="30"/>
        <v>0</v>
      </c>
      <c r="O25" s="129">
        <f t="shared" ca="1" si="31"/>
        <v>0</v>
      </c>
      <c r="P25" s="129">
        <f t="shared" ca="1" si="31"/>
        <v>0</v>
      </c>
      <c r="Q25" s="129">
        <f t="shared" ca="1" si="31"/>
        <v>0</v>
      </c>
      <c r="R25" s="129">
        <f t="shared" ca="1" si="31"/>
        <v>0</v>
      </c>
      <c r="S25" s="129">
        <f t="shared" ca="1" si="31"/>
        <v>0</v>
      </c>
      <c r="T25" s="129">
        <f t="shared" ca="1" si="31"/>
        <v>0</v>
      </c>
      <c r="U25" s="129">
        <f t="shared" ca="1" si="31"/>
        <v>0</v>
      </c>
      <c r="V25" s="129">
        <f t="shared" ca="1" si="31"/>
        <v>0</v>
      </c>
      <c r="W25" s="129">
        <f t="shared" ca="1" si="31"/>
        <v>0</v>
      </c>
      <c r="X25" s="129">
        <f t="shared" ca="1" si="31"/>
        <v>0</v>
      </c>
      <c r="Y25" s="129">
        <f t="shared" ca="1" si="31"/>
        <v>0</v>
      </c>
      <c r="Z25" s="129">
        <f t="shared" ca="1" si="31"/>
        <v>0</v>
      </c>
      <c r="AA25" s="129">
        <f t="shared" ca="1" si="31"/>
        <v>0</v>
      </c>
      <c r="AB25" s="129">
        <f t="shared" ca="1" si="31"/>
        <v>0</v>
      </c>
      <c r="AC25" s="130"/>
    </row>
    <row r="26" spans="2:29" x14ac:dyDescent="0.2">
      <c r="B26" s="113"/>
      <c r="C26" s="114" t="s">
        <v>55</v>
      </c>
      <c r="D26" s="115" t="s">
        <v>20</v>
      </c>
      <c r="E26" s="129">
        <f t="shared" ca="1" si="30"/>
        <v>0</v>
      </c>
      <c r="F26" s="129">
        <f t="shared" ca="1" si="30"/>
        <v>0</v>
      </c>
      <c r="G26" s="129">
        <f t="shared" ca="1" si="30"/>
        <v>0</v>
      </c>
      <c r="H26" s="129">
        <f t="shared" ca="1" si="30"/>
        <v>0</v>
      </c>
      <c r="I26" s="129">
        <f t="shared" ca="1" si="30"/>
        <v>0</v>
      </c>
      <c r="J26" s="129">
        <f t="shared" ca="1" si="30"/>
        <v>0</v>
      </c>
      <c r="K26" s="129">
        <f t="shared" ca="1" si="30"/>
        <v>0</v>
      </c>
      <c r="L26" s="129">
        <f t="shared" ca="1" si="30"/>
        <v>0</v>
      </c>
      <c r="M26" s="129">
        <f t="shared" ca="1" si="30"/>
        <v>0</v>
      </c>
      <c r="N26" s="129">
        <f t="shared" ca="1" si="30"/>
        <v>0</v>
      </c>
      <c r="O26" s="129">
        <f t="shared" ca="1" si="31"/>
        <v>0</v>
      </c>
      <c r="P26" s="129">
        <f t="shared" ca="1" si="31"/>
        <v>0</v>
      </c>
      <c r="Q26" s="129">
        <f t="shared" ca="1" si="31"/>
        <v>0</v>
      </c>
      <c r="R26" s="129">
        <f t="shared" ca="1" si="31"/>
        <v>0</v>
      </c>
      <c r="S26" s="129">
        <f t="shared" ca="1" si="31"/>
        <v>0</v>
      </c>
      <c r="T26" s="129">
        <f t="shared" ca="1" si="31"/>
        <v>0</v>
      </c>
      <c r="U26" s="129">
        <f t="shared" ca="1" si="31"/>
        <v>0</v>
      </c>
      <c r="V26" s="129">
        <f t="shared" ca="1" si="31"/>
        <v>0</v>
      </c>
      <c r="W26" s="129">
        <f t="shared" ca="1" si="31"/>
        <v>0</v>
      </c>
      <c r="X26" s="129">
        <f t="shared" ca="1" si="31"/>
        <v>0</v>
      </c>
      <c r="Y26" s="129">
        <f t="shared" ca="1" si="31"/>
        <v>0</v>
      </c>
      <c r="Z26" s="129">
        <f t="shared" ca="1" si="31"/>
        <v>0</v>
      </c>
      <c r="AA26" s="129">
        <f t="shared" ca="1" si="31"/>
        <v>0</v>
      </c>
      <c r="AB26" s="129">
        <f t="shared" ca="1" si="31"/>
        <v>0</v>
      </c>
      <c r="AC26" s="130"/>
    </row>
    <row r="27" spans="2:29" x14ac:dyDescent="0.2">
      <c r="B27" s="49"/>
      <c r="C27" s="49"/>
      <c r="D27" s="49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  <c r="AA27" s="134"/>
      <c r="AB27" s="134"/>
    </row>
    <row r="28" spans="2:29" x14ac:dyDescent="0.2">
      <c r="B28" s="49"/>
      <c r="C28" s="49"/>
      <c r="D28" s="49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</row>
    <row r="30" spans="2:29" x14ac:dyDescent="0.2">
      <c r="B30" s="135"/>
      <c r="C30" s="135"/>
    </row>
    <row r="32" spans="2:29" x14ac:dyDescent="0.2">
      <c r="B32" s="136"/>
      <c r="C32" s="136"/>
    </row>
    <row r="33" spans="2:3" x14ac:dyDescent="0.2">
      <c r="B33" s="136"/>
      <c r="C33" s="136"/>
    </row>
    <row r="34" spans="2:3" x14ac:dyDescent="0.2">
      <c r="B34" s="136"/>
      <c r="C34" s="136"/>
    </row>
    <row r="35" spans="2:3" x14ac:dyDescent="0.2">
      <c r="B35" s="136"/>
      <c r="C35" s="136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Normal="100" zoomScalePageLayoutView="130" workbookViewId="0"/>
  </sheetViews>
  <sheetFormatPr defaultColWidth="9.140625" defaultRowHeight="15" outlineLevelCol="1" x14ac:dyDescent="0.2"/>
  <cols>
    <col min="1" max="1" width="1.7109375" style="21" customWidth="1"/>
    <col min="2" max="2" width="30.28515625" style="51" bestFit="1" customWidth="1"/>
    <col min="3" max="3" width="30.28515625" style="51" customWidth="1"/>
    <col min="4" max="4" width="12.7109375" style="51" customWidth="1"/>
    <col min="5" max="7" width="12.7109375" style="52" customWidth="1"/>
    <col min="8" max="21" width="12.7109375" style="52" hidden="1" customWidth="1" outlineLevel="1"/>
    <col min="22" max="22" width="12.7109375" style="53" hidden="1" customWidth="1" outlineLevel="1"/>
    <col min="23" max="27" width="12.7109375" style="54" hidden="1" customWidth="1" outlineLevel="1"/>
    <col min="28" max="28" width="12.7109375" style="52" hidden="1" customWidth="1" outlineLevel="1"/>
    <col min="29" max="29" width="9.140625" style="52" collapsed="1"/>
    <col min="30" max="191" width="9.140625" style="52"/>
    <col min="192" max="16384" width="9.140625" style="65"/>
  </cols>
  <sheetData>
    <row r="1" spans="1:30" ht="10.35" customHeight="1" thickBot="1" x14ac:dyDescent="0.25"/>
    <row r="2" spans="1:30" ht="15" customHeight="1" x14ac:dyDescent="0.2">
      <c r="B2" s="66" t="s">
        <v>62</v>
      </c>
      <c r="C2" s="62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30" ht="15" customHeight="1" x14ac:dyDescent="0.2">
      <c r="B4" s="71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</row>
    <row r="5" spans="1:30" ht="15" customHeight="1" thickBot="1" x14ac:dyDescent="0.25">
      <c r="B5" s="72"/>
      <c r="C5" s="73"/>
      <c r="D5" s="73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</row>
    <row r="6" spans="1:30" s="29" customFormat="1" ht="15" customHeight="1" x14ac:dyDescent="0.2">
      <c r="A6" s="27"/>
      <c r="B6" s="165"/>
      <c r="C6" s="172"/>
      <c r="D6" s="166"/>
      <c r="E6" s="34">
        <f t="shared" ref="E6:AA6" si="0">E7-DAY(E7)+1</f>
        <v>43101</v>
      </c>
      <c r="F6" s="34">
        <f t="shared" si="0"/>
        <v>43132</v>
      </c>
      <c r="G6" s="34">
        <f t="shared" si="0"/>
        <v>43160</v>
      </c>
      <c r="H6" s="34">
        <f t="shared" si="0"/>
        <v>43191</v>
      </c>
      <c r="I6" s="34">
        <f t="shared" si="0"/>
        <v>43221</v>
      </c>
      <c r="J6" s="34">
        <f t="shared" si="0"/>
        <v>43252</v>
      </c>
      <c r="K6" s="34">
        <f t="shared" si="0"/>
        <v>43282</v>
      </c>
      <c r="L6" s="34">
        <f t="shared" si="0"/>
        <v>43313</v>
      </c>
      <c r="M6" s="34">
        <f t="shared" si="0"/>
        <v>43344</v>
      </c>
      <c r="N6" s="34">
        <f t="shared" si="0"/>
        <v>43374</v>
      </c>
      <c r="O6" s="34">
        <f t="shared" si="0"/>
        <v>43405</v>
      </c>
      <c r="P6" s="34">
        <f t="shared" si="0"/>
        <v>43435</v>
      </c>
      <c r="Q6" s="34">
        <f t="shared" si="0"/>
        <v>43466</v>
      </c>
      <c r="R6" s="34">
        <f t="shared" si="0"/>
        <v>43497</v>
      </c>
      <c r="S6" s="34">
        <f t="shared" si="0"/>
        <v>43525</v>
      </c>
      <c r="T6" s="34">
        <f t="shared" si="0"/>
        <v>43556</v>
      </c>
      <c r="U6" s="34">
        <f t="shared" si="0"/>
        <v>43586</v>
      </c>
      <c r="V6" s="34">
        <f t="shared" si="0"/>
        <v>43617</v>
      </c>
      <c r="W6" s="34">
        <f t="shared" si="0"/>
        <v>43647</v>
      </c>
      <c r="X6" s="34">
        <f t="shared" si="0"/>
        <v>43678</v>
      </c>
      <c r="Y6" s="34">
        <f t="shared" si="0"/>
        <v>43709</v>
      </c>
      <c r="Z6" s="34">
        <f t="shared" si="0"/>
        <v>43739</v>
      </c>
      <c r="AA6" s="34">
        <f t="shared" si="0"/>
        <v>43770</v>
      </c>
      <c r="AB6" s="34">
        <f>AB7-DAY(AB7)+1</f>
        <v>43800</v>
      </c>
    </row>
    <row r="7" spans="1:30" s="29" customFormat="1" ht="15" customHeight="1" thickBot="1" x14ac:dyDescent="0.25">
      <c r="A7" s="27"/>
      <c r="B7" s="167"/>
      <c r="C7" s="173"/>
      <c r="D7" s="168"/>
      <c r="E7" s="35">
        <f t="shared" ref="E7:AA7" si="1">F6-1</f>
        <v>43131</v>
      </c>
      <c r="F7" s="36">
        <f t="shared" si="1"/>
        <v>43159</v>
      </c>
      <c r="G7" s="36">
        <f t="shared" si="1"/>
        <v>43190</v>
      </c>
      <c r="H7" s="36">
        <f t="shared" si="1"/>
        <v>43220</v>
      </c>
      <c r="I7" s="36">
        <f t="shared" si="1"/>
        <v>43251</v>
      </c>
      <c r="J7" s="36">
        <f t="shared" si="1"/>
        <v>43281</v>
      </c>
      <c r="K7" s="36">
        <f t="shared" si="1"/>
        <v>43312</v>
      </c>
      <c r="L7" s="36">
        <f t="shared" si="1"/>
        <v>43343</v>
      </c>
      <c r="M7" s="36">
        <f t="shared" si="1"/>
        <v>43373</v>
      </c>
      <c r="N7" s="36">
        <f t="shared" si="1"/>
        <v>43404</v>
      </c>
      <c r="O7" s="36">
        <f t="shared" si="1"/>
        <v>43434</v>
      </c>
      <c r="P7" s="36">
        <f t="shared" si="1"/>
        <v>43465</v>
      </c>
      <c r="Q7" s="36">
        <f t="shared" si="1"/>
        <v>43496</v>
      </c>
      <c r="R7" s="36">
        <f t="shared" si="1"/>
        <v>43524</v>
      </c>
      <c r="S7" s="36">
        <f t="shared" si="1"/>
        <v>43555</v>
      </c>
      <c r="T7" s="36">
        <f t="shared" si="1"/>
        <v>43585</v>
      </c>
      <c r="U7" s="36">
        <f t="shared" si="1"/>
        <v>43616</v>
      </c>
      <c r="V7" s="36">
        <f t="shared" si="1"/>
        <v>43646</v>
      </c>
      <c r="W7" s="36">
        <f t="shared" si="1"/>
        <v>43677</v>
      </c>
      <c r="X7" s="36">
        <f t="shared" si="1"/>
        <v>43708</v>
      </c>
      <c r="Y7" s="36">
        <f t="shared" si="1"/>
        <v>43738</v>
      </c>
      <c r="Z7" s="36">
        <f t="shared" si="1"/>
        <v>43769</v>
      </c>
      <c r="AA7" s="36">
        <f t="shared" si="1"/>
        <v>43799</v>
      </c>
      <c r="AB7" s="36">
        <f>D3</f>
        <v>43830</v>
      </c>
    </row>
    <row r="8" spans="1:30" s="29" customFormat="1" ht="15" customHeight="1" thickBot="1" x14ac:dyDescent="0.25">
      <c r="B8" s="11" t="s">
        <v>0</v>
      </c>
      <c r="C8" s="99" t="s">
        <v>14</v>
      </c>
      <c r="D8" s="12" t="s">
        <v>47</v>
      </c>
      <c r="E8" s="159">
        <f t="shared" ref="E8:AB8" si="2">E6</f>
        <v>43101</v>
      </c>
      <c r="F8" s="38">
        <f t="shared" si="2"/>
        <v>43132</v>
      </c>
      <c r="G8" s="38">
        <f t="shared" si="2"/>
        <v>43160</v>
      </c>
      <c r="H8" s="39">
        <f t="shared" si="2"/>
        <v>43191</v>
      </c>
      <c r="I8" s="39">
        <f t="shared" si="2"/>
        <v>43221</v>
      </c>
      <c r="J8" s="39">
        <f t="shared" si="2"/>
        <v>43252</v>
      </c>
      <c r="K8" s="39">
        <f t="shared" si="2"/>
        <v>43282</v>
      </c>
      <c r="L8" s="39">
        <f t="shared" si="2"/>
        <v>43313</v>
      </c>
      <c r="M8" s="39">
        <f t="shared" si="2"/>
        <v>43344</v>
      </c>
      <c r="N8" s="39">
        <f t="shared" si="2"/>
        <v>43374</v>
      </c>
      <c r="O8" s="39">
        <f t="shared" si="2"/>
        <v>43405</v>
      </c>
      <c r="P8" s="39">
        <f t="shared" si="2"/>
        <v>43435</v>
      </c>
      <c r="Q8" s="39">
        <f t="shared" si="2"/>
        <v>43466</v>
      </c>
      <c r="R8" s="39">
        <f t="shared" si="2"/>
        <v>43497</v>
      </c>
      <c r="S8" s="39">
        <f t="shared" si="2"/>
        <v>43525</v>
      </c>
      <c r="T8" s="39">
        <f t="shared" si="2"/>
        <v>43556</v>
      </c>
      <c r="U8" s="39">
        <f t="shared" si="2"/>
        <v>43586</v>
      </c>
      <c r="V8" s="39">
        <f t="shared" si="2"/>
        <v>43617</v>
      </c>
      <c r="W8" s="39">
        <f t="shared" si="2"/>
        <v>43647</v>
      </c>
      <c r="X8" s="39">
        <f t="shared" si="2"/>
        <v>43678</v>
      </c>
      <c r="Y8" s="39">
        <f t="shared" si="2"/>
        <v>43709</v>
      </c>
      <c r="Z8" s="39">
        <f t="shared" si="2"/>
        <v>43739</v>
      </c>
      <c r="AA8" s="39">
        <f t="shared" si="2"/>
        <v>43770</v>
      </c>
      <c r="AB8" s="39">
        <f t="shared" si="2"/>
        <v>43800</v>
      </c>
    </row>
    <row r="9" spans="1:30" ht="15" customHeight="1" x14ac:dyDescent="0.2">
      <c r="B9" s="40"/>
      <c r="C9" s="40" t="s">
        <v>26</v>
      </c>
      <c r="D9" s="157" t="s">
        <v>4</v>
      </c>
      <c r="E9" s="153">
        <f t="shared" ref="E9:T10" ca="1" si="3">AbraDepreciation(URL,Username,Password,$D9,E$6,E$7)/1000</f>
        <v>0</v>
      </c>
      <c r="F9" s="158">
        <f t="shared" ca="1" si="3"/>
        <v>0</v>
      </c>
      <c r="G9" s="149">
        <f t="shared" ca="1" si="3"/>
        <v>0</v>
      </c>
      <c r="H9" s="149">
        <f t="shared" ca="1" si="3"/>
        <v>0</v>
      </c>
      <c r="I9" s="149">
        <f t="shared" ca="1" si="3"/>
        <v>0</v>
      </c>
      <c r="J9" s="149">
        <f t="shared" ca="1" si="3"/>
        <v>0</v>
      </c>
      <c r="K9" s="149">
        <f t="shared" ca="1" si="3"/>
        <v>0</v>
      </c>
      <c r="L9" s="149">
        <f t="shared" ca="1" si="3"/>
        <v>0</v>
      </c>
      <c r="M9" s="149">
        <f t="shared" ca="1" si="3"/>
        <v>0</v>
      </c>
      <c r="N9" s="149">
        <f t="shared" ca="1" si="3"/>
        <v>0</v>
      </c>
      <c r="O9" s="149">
        <f t="shared" ca="1" si="3"/>
        <v>0</v>
      </c>
      <c r="P9" s="149">
        <f t="shared" ca="1" si="3"/>
        <v>0</v>
      </c>
      <c r="Q9" s="149">
        <f t="shared" ca="1" si="3"/>
        <v>0</v>
      </c>
      <c r="R9" s="149">
        <f t="shared" ca="1" si="3"/>
        <v>0</v>
      </c>
      <c r="S9" s="149">
        <f t="shared" ca="1" si="3"/>
        <v>0</v>
      </c>
      <c r="T9" s="149">
        <f t="shared" ca="1" si="3"/>
        <v>0</v>
      </c>
      <c r="U9" s="149">
        <f t="shared" ref="U9:AB9" ca="1" si="4">AbraDepreciation(URL,Username,Password,$D9,U$6,U$7)/1000</f>
        <v>0</v>
      </c>
      <c r="V9" s="149">
        <f t="shared" ca="1" si="4"/>
        <v>0</v>
      </c>
      <c r="W9" s="149">
        <f t="shared" ca="1" si="4"/>
        <v>0</v>
      </c>
      <c r="X9" s="149">
        <f t="shared" ca="1" si="4"/>
        <v>0</v>
      </c>
      <c r="Y9" s="149">
        <f t="shared" ca="1" si="4"/>
        <v>0</v>
      </c>
      <c r="Z9" s="149">
        <f t="shared" ca="1" si="4"/>
        <v>0</v>
      </c>
      <c r="AA9" s="149">
        <f t="shared" ca="1" si="4"/>
        <v>0</v>
      </c>
      <c r="AB9" s="149">
        <f t="shared" ca="1" si="4"/>
        <v>0</v>
      </c>
      <c r="AC9" s="29"/>
      <c r="AD9" s="29"/>
    </row>
    <row r="10" spans="1:30" ht="15" customHeight="1" thickBot="1" x14ac:dyDescent="0.25">
      <c r="B10" s="44"/>
      <c r="C10" s="44" t="s">
        <v>27</v>
      </c>
      <c r="D10" s="46" t="s">
        <v>17</v>
      </c>
      <c r="E10" s="137">
        <f t="shared" ca="1" si="3"/>
        <v>0</v>
      </c>
      <c r="F10" s="137">
        <f t="shared" ca="1" si="3"/>
        <v>0</v>
      </c>
      <c r="G10" s="137">
        <f t="shared" ca="1" si="3"/>
        <v>0</v>
      </c>
      <c r="H10" s="137">
        <f t="shared" ca="1" si="3"/>
        <v>0</v>
      </c>
      <c r="I10" s="137">
        <f t="shared" ca="1" si="3"/>
        <v>0</v>
      </c>
      <c r="J10" s="137">
        <f t="shared" ca="1" si="3"/>
        <v>0</v>
      </c>
      <c r="K10" s="137">
        <f t="shared" ca="1" si="3"/>
        <v>0</v>
      </c>
      <c r="L10" s="137">
        <f t="shared" ca="1" si="3"/>
        <v>0</v>
      </c>
      <c r="M10" s="137">
        <f t="shared" ca="1" si="3"/>
        <v>0</v>
      </c>
      <c r="N10" s="137">
        <f t="shared" ca="1" si="3"/>
        <v>0</v>
      </c>
      <c r="O10" s="137">
        <f t="shared" ref="O10:AB10" ca="1" si="5">AbraDepreciation(URL,Username,Password,$D10,O$6,O$7)/1000</f>
        <v>0</v>
      </c>
      <c r="P10" s="137">
        <f t="shared" ca="1" si="5"/>
        <v>0</v>
      </c>
      <c r="Q10" s="137">
        <f t="shared" ca="1" si="5"/>
        <v>0</v>
      </c>
      <c r="R10" s="137">
        <f t="shared" ca="1" si="5"/>
        <v>0</v>
      </c>
      <c r="S10" s="137">
        <f t="shared" ca="1" si="5"/>
        <v>0</v>
      </c>
      <c r="T10" s="137">
        <f t="shared" ca="1" si="5"/>
        <v>0</v>
      </c>
      <c r="U10" s="137">
        <f t="shared" ca="1" si="5"/>
        <v>0</v>
      </c>
      <c r="V10" s="137">
        <f t="shared" ca="1" si="5"/>
        <v>0</v>
      </c>
      <c r="W10" s="137">
        <f t="shared" ca="1" si="5"/>
        <v>0</v>
      </c>
      <c r="X10" s="137">
        <f t="shared" ca="1" si="5"/>
        <v>0</v>
      </c>
      <c r="Y10" s="137">
        <f t="shared" ca="1" si="5"/>
        <v>0</v>
      </c>
      <c r="Z10" s="137">
        <f t="shared" ca="1" si="5"/>
        <v>0</v>
      </c>
      <c r="AA10" s="137">
        <f t="shared" ca="1" si="5"/>
        <v>0</v>
      </c>
      <c r="AB10" s="137">
        <f t="shared" ca="1" si="5"/>
        <v>0</v>
      </c>
    </row>
    <row r="11" spans="1:30" ht="15" customHeight="1" thickBot="1" x14ac:dyDescent="0.25">
      <c r="B11" s="169" t="s">
        <v>21</v>
      </c>
      <c r="C11" s="171"/>
      <c r="D11" s="170"/>
      <c r="E11" s="47">
        <f ca="1">E9-E10</f>
        <v>0</v>
      </c>
      <c r="F11" s="47">
        <f t="shared" ref="F11:AB11" ca="1" si="6">F9-F10</f>
        <v>0</v>
      </c>
      <c r="G11" s="47">
        <f t="shared" ca="1" si="6"/>
        <v>0</v>
      </c>
      <c r="H11" s="47">
        <f t="shared" ca="1" si="6"/>
        <v>0</v>
      </c>
      <c r="I11" s="47">
        <f t="shared" ca="1" si="6"/>
        <v>0</v>
      </c>
      <c r="J11" s="47">
        <f t="shared" ca="1" si="6"/>
        <v>0</v>
      </c>
      <c r="K11" s="47">
        <f t="shared" ca="1" si="6"/>
        <v>0</v>
      </c>
      <c r="L11" s="47">
        <f t="shared" ca="1" si="6"/>
        <v>0</v>
      </c>
      <c r="M11" s="47">
        <f t="shared" ca="1" si="6"/>
        <v>0</v>
      </c>
      <c r="N11" s="47">
        <f t="shared" ca="1" si="6"/>
        <v>0</v>
      </c>
      <c r="O11" s="47">
        <f t="shared" ca="1" si="6"/>
        <v>0</v>
      </c>
      <c r="P11" s="47">
        <f t="shared" ca="1" si="6"/>
        <v>0</v>
      </c>
      <c r="Q11" s="47">
        <f t="shared" ca="1" si="6"/>
        <v>0</v>
      </c>
      <c r="R11" s="47">
        <f t="shared" ca="1" si="6"/>
        <v>0</v>
      </c>
      <c r="S11" s="47">
        <f t="shared" ca="1" si="6"/>
        <v>0</v>
      </c>
      <c r="T11" s="47">
        <f t="shared" ca="1" si="6"/>
        <v>0</v>
      </c>
      <c r="U11" s="47">
        <f t="shared" ca="1" si="6"/>
        <v>0</v>
      </c>
      <c r="V11" s="47">
        <f t="shared" ca="1" si="6"/>
        <v>0</v>
      </c>
      <c r="W11" s="47">
        <f t="shared" ca="1" si="6"/>
        <v>0</v>
      </c>
      <c r="X11" s="47">
        <f t="shared" ca="1" si="6"/>
        <v>0</v>
      </c>
      <c r="Y11" s="47">
        <f t="shared" ca="1" si="6"/>
        <v>0</v>
      </c>
      <c r="Z11" s="47">
        <f t="shared" ca="1" si="6"/>
        <v>0</v>
      </c>
      <c r="AA11" s="47">
        <f t="shared" ca="1" si="6"/>
        <v>0</v>
      </c>
      <c r="AB11" s="47">
        <f t="shared" ca="1" si="6"/>
        <v>0</v>
      </c>
    </row>
    <row r="12" spans="1:30" ht="15" customHeight="1" x14ac:dyDescent="0.2">
      <c r="B12" s="49"/>
      <c r="C12" s="49"/>
      <c r="D12" s="49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</row>
    <row r="13" spans="1:30" ht="15.75" thickBot="1" x14ac:dyDescent="0.25"/>
    <row r="14" spans="1:30" x14ac:dyDescent="0.2">
      <c r="B14" s="66" t="s">
        <v>63</v>
      </c>
      <c r="C14" s="62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</row>
    <row r="15" spans="1:30" x14ac:dyDescent="0.2">
      <c r="B15" s="20" t="s">
        <v>61</v>
      </c>
      <c r="C15" s="18" t="s">
        <v>52</v>
      </c>
      <c r="D15" s="7">
        <v>43830</v>
      </c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</row>
    <row r="16" spans="1:30" x14ac:dyDescent="0.2">
      <c r="B16" s="71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</row>
    <row r="17" spans="2:29" ht="15.75" thickBot="1" x14ac:dyDescent="0.25">
      <c r="B17" s="72"/>
      <c r="C17" s="73"/>
      <c r="D17" s="73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2:29" x14ac:dyDescent="0.2">
      <c r="B18" s="165"/>
      <c r="C18" s="172"/>
      <c r="D18" s="166"/>
      <c r="E18" s="34">
        <f t="shared" ref="E18:AA18" si="7">E19-DAY(E19)+1</f>
        <v>43101</v>
      </c>
      <c r="F18" s="34">
        <f t="shared" si="7"/>
        <v>43132</v>
      </c>
      <c r="G18" s="34">
        <f t="shared" si="7"/>
        <v>43160</v>
      </c>
      <c r="H18" s="34">
        <f t="shared" si="7"/>
        <v>43191</v>
      </c>
      <c r="I18" s="34">
        <f t="shared" si="7"/>
        <v>43221</v>
      </c>
      <c r="J18" s="34">
        <f t="shared" si="7"/>
        <v>43252</v>
      </c>
      <c r="K18" s="34">
        <f t="shared" si="7"/>
        <v>43282</v>
      </c>
      <c r="L18" s="34">
        <f t="shared" si="7"/>
        <v>43313</v>
      </c>
      <c r="M18" s="34">
        <f t="shared" si="7"/>
        <v>43344</v>
      </c>
      <c r="N18" s="34">
        <f t="shared" si="7"/>
        <v>43374</v>
      </c>
      <c r="O18" s="34">
        <f t="shared" si="7"/>
        <v>43405</v>
      </c>
      <c r="P18" s="34">
        <f t="shared" si="7"/>
        <v>43435</v>
      </c>
      <c r="Q18" s="34">
        <f t="shared" si="7"/>
        <v>43466</v>
      </c>
      <c r="R18" s="34">
        <f t="shared" si="7"/>
        <v>43497</v>
      </c>
      <c r="S18" s="34">
        <f t="shared" si="7"/>
        <v>43525</v>
      </c>
      <c r="T18" s="34">
        <f t="shared" si="7"/>
        <v>43556</v>
      </c>
      <c r="U18" s="34">
        <f t="shared" si="7"/>
        <v>43586</v>
      </c>
      <c r="V18" s="34">
        <f t="shared" si="7"/>
        <v>43617</v>
      </c>
      <c r="W18" s="34">
        <f t="shared" si="7"/>
        <v>43647</v>
      </c>
      <c r="X18" s="34">
        <f t="shared" si="7"/>
        <v>43678</v>
      </c>
      <c r="Y18" s="34">
        <f t="shared" si="7"/>
        <v>43709</v>
      </c>
      <c r="Z18" s="34">
        <f t="shared" si="7"/>
        <v>43739</v>
      </c>
      <c r="AA18" s="34">
        <f t="shared" si="7"/>
        <v>43770</v>
      </c>
      <c r="AB18" s="34">
        <f>AB19-DAY(AB19)+1</f>
        <v>43800</v>
      </c>
    </row>
    <row r="19" spans="2:29" ht="15.75" thickBot="1" x14ac:dyDescent="0.25">
      <c r="B19" s="167"/>
      <c r="C19" s="173"/>
      <c r="D19" s="168"/>
      <c r="E19" s="35">
        <f t="shared" ref="E19" si="8">F18-1</f>
        <v>43131</v>
      </c>
      <c r="F19" s="36">
        <f t="shared" ref="F19" si="9">G18-1</f>
        <v>43159</v>
      </c>
      <c r="G19" s="36">
        <f t="shared" ref="G19" si="10">H18-1</f>
        <v>43190</v>
      </c>
      <c r="H19" s="36">
        <f t="shared" ref="H19" si="11">I18-1</f>
        <v>43220</v>
      </c>
      <c r="I19" s="36">
        <f t="shared" ref="I19" si="12">J18-1</f>
        <v>43251</v>
      </c>
      <c r="J19" s="36">
        <f t="shared" ref="J19" si="13">K18-1</f>
        <v>43281</v>
      </c>
      <c r="K19" s="36">
        <f t="shared" ref="K19" si="14">L18-1</f>
        <v>43312</v>
      </c>
      <c r="L19" s="36">
        <f t="shared" ref="L19" si="15">M18-1</f>
        <v>43343</v>
      </c>
      <c r="M19" s="36">
        <f t="shared" ref="M19" si="16">N18-1</f>
        <v>43373</v>
      </c>
      <c r="N19" s="36">
        <f t="shared" ref="N19" si="17">O18-1</f>
        <v>43404</v>
      </c>
      <c r="O19" s="36">
        <f t="shared" ref="O19" si="18">P18-1</f>
        <v>43434</v>
      </c>
      <c r="P19" s="36">
        <f t="shared" ref="P19" si="19">Q18-1</f>
        <v>43465</v>
      </c>
      <c r="Q19" s="36">
        <f t="shared" ref="Q19" si="20">R18-1</f>
        <v>43496</v>
      </c>
      <c r="R19" s="36">
        <f t="shared" ref="R19" si="21">S18-1</f>
        <v>43524</v>
      </c>
      <c r="S19" s="36">
        <f t="shared" ref="S19" si="22">T18-1</f>
        <v>43555</v>
      </c>
      <c r="T19" s="36">
        <f t="shared" ref="T19" si="23">U18-1</f>
        <v>43585</v>
      </c>
      <c r="U19" s="36">
        <f t="shared" ref="U19" si="24">V18-1</f>
        <v>43616</v>
      </c>
      <c r="V19" s="36">
        <f t="shared" ref="V19" si="25">W18-1</f>
        <v>43646</v>
      </c>
      <c r="W19" s="36">
        <f t="shared" ref="W19" si="26">X18-1</f>
        <v>43677</v>
      </c>
      <c r="X19" s="36">
        <f t="shared" ref="X19" si="27">Y18-1</f>
        <v>43708</v>
      </c>
      <c r="Y19" s="36">
        <f t="shared" ref="Y19" si="28">Z18-1</f>
        <v>43738</v>
      </c>
      <c r="Z19" s="36">
        <f t="shared" ref="Z19" si="29">AA18-1</f>
        <v>43769</v>
      </c>
      <c r="AA19" s="36">
        <f t="shared" ref="AA19" si="30">AB18-1</f>
        <v>43799</v>
      </c>
      <c r="AB19" s="36">
        <f>D15</f>
        <v>43830</v>
      </c>
    </row>
    <row r="20" spans="2:29" ht="15" customHeight="1" thickBot="1" x14ac:dyDescent="0.25">
      <c r="B20" s="11" t="s">
        <v>0</v>
      </c>
      <c r="C20" s="99" t="s">
        <v>14</v>
      </c>
      <c r="D20" s="12" t="s">
        <v>47</v>
      </c>
      <c r="E20" s="37">
        <f t="shared" ref="E20:AB20" si="31">E18</f>
        <v>43101</v>
      </c>
      <c r="F20" s="38">
        <f t="shared" si="31"/>
        <v>43132</v>
      </c>
      <c r="G20" s="38">
        <f t="shared" si="31"/>
        <v>43160</v>
      </c>
      <c r="H20" s="39">
        <f t="shared" si="31"/>
        <v>43191</v>
      </c>
      <c r="I20" s="39">
        <f t="shared" si="31"/>
        <v>43221</v>
      </c>
      <c r="J20" s="39">
        <f t="shared" si="31"/>
        <v>43252</v>
      </c>
      <c r="K20" s="39">
        <f t="shared" si="31"/>
        <v>43282</v>
      </c>
      <c r="L20" s="39">
        <f t="shared" si="31"/>
        <v>43313</v>
      </c>
      <c r="M20" s="39">
        <f t="shared" si="31"/>
        <v>43344</v>
      </c>
      <c r="N20" s="39">
        <f t="shared" si="31"/>
        <v>43374</v>
      </c>
      <c r="O20" s="39">
        <f t="shared" si="31"/>
        <v>43405</v>
      </c>
      <c r="P20" s="39">
        <f t="shared" si="31"/>
        <v>43435</v>
      </c>
      <c r="Q20" s="39">
        <f t="shared" si="31"/>
        <v>43466</v>
      </c>
      <c r="R20" s="39">
        <f t="shared" si="31"/>
        <v>43497</v>
      </c>
      <c r="S20" s="39">
        <f t="shared" si="31"/>
        <v>43525</v>
      </c>
      <c r="T20" s="39">
        <f t="shared" si="31"/>
        <v>43556</v>
      </c>
      <c r="U20" s="39">
        <f t="shared" si="31"/>
        <v>43586</v>
      </c>
      <c r="V20" s="39">
        <f t="shared" si="31"/>
        <v>43617</v>
      </c>
      <c r="W20" s="39">
        <f t="shared" si="31"/>
        <v>43647</v>
      </c>
      <c r="X20" s="39">
        <f t="shared" si="31"/>
        <v>43678</v>
      </c>
      <c r="Y20" s="39">
        <f t="shared" si="31"/>
        <v>43709</v>
      </c>
      <c r="Z20" s="39">
        <f t="shared" si="31"/>
        <v>43739</v>
      </c>
      <c r="AA20" s="39">
        <f t="shared" si="31"/>
        <v>43770</v>
      </c>
      <c r="AB20" s="39">
        <f t="shared" si="31"/>
        <v>43800</v>
      </c>
    </row>
    <row r="21" spans="2:29" x14ac:dyDescent="0.2">
      <c r="B21" s="55"/>
      <c r="C21" s="55" t="s">
        <v>57</v>
      </c>
      <c r="D21" s="57" t="s">
        <v>22</v>
      </c>
      <c r="E21" s="58">
        <f t="shared" ref="E21:N24" ca="1" si="32">AbraAsset(URL,Username,Password,$D21,E$19)/1000</f>
        <v>0</v>
      </c>
      <c r="F21" s="58">
        <f t="shared" ca="1" si="32"/>
        <v>0</v>
      </c>
      <c r="G21" s="58">
        <f t="shared" ca="1" si="32"/>
        <v>0</v>
      </c>
      <c r="H21" s="58">
        <f t="shared" ca="1" si="32"/>
        <v>0</v>
      </c>
      <c r="I21" s="58">
        <f t="shared" ca="1" si="32"/>
        <v>0</v>
      </c>
      <c r="J21" s="58">
        <f t="shared" ca="1" si="32"/>
        <v>0</v>
      </c>
      <c r="K21" s="58">
        <f t="shared" ca="1" si="32"/>
        <v>0</v>
      </c>
      <c r="L21" s="58">
        <f t="shared" ca="1" si="32"/>
        <v>0</v>
      </c>
      <c r="M21" s="58">
        <f t="shared" ca="1" si="32"/>
        <v>0</v>
      </c>
      <c r="N21" s="58">
        <f t="shared" ca="1" si="32"/>
        <v>0</v>
      </c>
      <c r="O21" s="58">
        <f t="shared" ref="O21:AB24" ca="1" si="33">AbraAsset(URL,Username,Password,$D21,O$19)/1000</f>
        <v>0</v>
      </c>
      <c r="P21" s="58">
        <f t="shared" ca="1" si="33"/>
        <v>0</v>
      </c>
      <c r="Q21" s="58">
        <f t="shared" ca="1" si="33"/>
        <v>0</v>
      </c>
      <c r="R21" s="58">
        <f t="shared" ca="1" si="33"/>
        <v>0</v>
      </c>
      <c r="S21" s="58">
        <f t="shared" ca="1" si="33"/>
        <v>0</v>
      </c>
      <c r="T21" s="58">
        <f t="shared" ca="1" si="33"/>
        <v>0</v>
      </c>
      <c r="U21" s="58">
        <f t="shared" ca="1" si="33"/>
        <v>0</v>
      </c>
      <c r="V21" s="58">
        <f t="shared" ca="1" si="33"/>
        <v>0</v>
      </c>
      <c r="W21" s="58">
        <f t="shared" ca="1" si="33"/>
        <v>0</v>
      </c>
      <c r="X21" s="58">
        <f t="shared" ca="1" si="33"/>
        <v>0</v>
      </c>
      <c r="Y21" s="58">
        <f t="shared" ca="1" si="33"/>
        <v>0</v>
      </c>
      <c r="Z21" s="58">
        <f t="shared" ca="1" si="33"/>
        <v>0</v>
      </c>
      <c r="AA21" s="58">
        <f t="shared" ca="1" si="33"/>
        <v>0</v>
      </c>
      <c r="AB21" s="58">
        <f t="shared" ca="1" si="33"/>
        <v>0</v>
      </c>
      <c r="AC21" s="138"/>
    </row>
    <row r="22" spans="2:29" x14ac:dyDescent="0.2">
      <c r="B22" s="139"/>
      <c r="C22" s="139" t="s">
        <v>58</v>
      </c>
      <c r="D22" s="140" t="s">
        <v>23</v>
      </c>
      <c r="E22" s="58">
        <f t="shared" ca="1" si="32"/>
        <v>0</v>
      </c>
      <c r="F22" s="58">
        <f t="shared" ca="1" si="32"/>
        <v>0</v>
      </c>
      <c r="G22" s="58">
        <f t="shared" ca="1" si="32"/>
        <v>0</v>
      </c>
      <c r="H22" s="150">
        <f t="shared" ca="1" si="32"/>
        <v>0</v>
      </c>
      <c r="I22" s="58">
        <f t="shared" ca="1" si="32"/>
        <v>0</v>
      </c>
      <c r="J22" s="58">
        <f t="shared" ca="1" si="32"/>
        <v>0</v>
      </c>
      <c r="K22" s="58">
        <f t="shared" ca="1" si="32"/>
        <v>0</v>
      </c>
      <c r="L22" s="58">
        <f t="shared" ca="1" si="32"/>
        <v>0</v>
      </c>
      <c r="M22" s="58">
        <f t="shared" ca="1" si="32"/>
        <v>0</v>
      </c>
      <c r="N22" s="58">
        <f t="shared" ca="1" si="32"/>
        <v>0</v>
      </c>
      <c r="O22" s="58">
        <f t="shared" ca="1" si="33"/>
        <v>0</v>
      </c>
      <c r="P22" s="58">
        <f t="shared" ca="1" si="33"/>
        <v>0</v>
      </c>
      <c r="Q22" s="58">
        <f t="shared" ca="1" si="33"/>
        <v>0</v>
      </c>
      <c r="R22" s="58">
        <f t="shared" ca="1" si="33"/>
        <v>0</v>
      </c>
      <c r="S22" s="58">
        <f t="shared" ca="1" si="33"/>
        <v>0</v>
      </c>
      <c r="T22" s="58">
        <f t="shared" ca="1" si="33"/>
        <v>0</v>
      </c>
      <c r="U22" s="58">
        <f t="shared" ca="1" si="33"/>
        <v>0</v>
      </c>
      <c r="V22" s="58">
        <f t="shared" ca="1" si="33"/>
        <v>0</v>
      </c>
      <c r="W22" s="58">
        <f t="shared" ca="1" si="33"/>
        <v>0</v>
      </c>
      <c r="X22" s="58">
        <f t="shared" ca="1" si="33"/>
        <v>0</v>
      </c>
      <c r="Y22" s="58">
        <f t="shared" ca="1" si="33"/>
        <v>0</v>
      </c>
      <c r="Z22" s="58">
        <f t="shared" ca="1" si="33"/>
        <v>0</v>
      </c>
      <c r="AA22" s="58">
        <f t="shared" ca="1" si="33"/>
        <v>0</v>
      </c>
      <c r="AB22" s="58">
        <f t="shared" ca="1" si="33"/>
        <v>0</v>
      </c>
      <c r="AC22" s="138"/>
    </row>
    <row r="23" spans="2:29" x14ac:dyDescent="0.2">
      <c r="B23" s="139"/>
      <c r="C23" s="139" t="s">
        <v>59</v>
      </c>
      <c r="D23" s="140" t="s">
        <v>24</v>
      </c>
      <c r="E23" s="58">
        <f t="shared" ca="1" si="32"/>
        <v>0</v>
      </c>
      <c r="F23" s="58">
        <f t="shared" ca="1" si="32"/>
        <v>0</v>
      </c>
      <c r="G23" s="58">
        <f t="shared" ca="1" si="32"/>
        <v>0</v>
      </c>
      <c r="H23" s="160">
        <f t="shared" ca="1" si="32"/>
        <v>0</v>
      </c>
      <c r="I23" s="58">
        <f t="shared" ca="1" si="32"/>
        <v>0</v>
      </c>
      <c r="J23" s="58">
        <f t="shared" ca="1" si="32"/>
        <v>0</v>
      </c>
      <c r="K23" s="58">
        <f t="shared" ca="1" si="32"/>
        <v>0</v>
      </c>
      <c r="L23" s="58">
        <f t="shared" ca="1" si="32"/>
        <v>0</v>
      </c>
      <c r="M23" s="58">
        <f t="shared" ca="1" si="32"/>
        <v>0</v>
      </c>
      <c r="N23" s="58">
        <f t="shared" ca="1" si="32"/>
        <v>0</v>
      </c>
      <c r="O23" s="58">
        <f t="shared" ca="1" si="33"/>
        <v>0</v>
      </c>
      <c r="P23" s="58">
        <f t="shared" ca="1" si="33"/>
        <v>0</v>
      </c>
      <c r="Q23" s="58">
        <f t="shared" ca="1" si="33"/>
        <v>0</v>
      </c>
      <c r="R23" s="58">
        <f t="shared" ca="1" si="33"/>
        <v>0</v>
      </c>
      <c r="S23" s="58">
        <f t="shared" ca="1" si="33"/>
        <v>0</v>
      </c>
      <c r="T23" s="58">
        <f t="shared" ca="1" si="33"/>
        <v>0</v>
      </c>
      <c r="U23" s="58">
        <f t="shared" ca="1" si="33"/>
        <v>0</v>
      </c>
      <c r="V23" s="58">
        <f t="shared" ca="1" si="33"/>
        <v>0</v>
      </c>
      <c r="W23" s="58">
        <f t="shared" ca="1" si="33"/>
        <v>0</v>
      </c>
      <c r="X23" s="58">
        <f t="shared" ca="1" si="33"/>
        <v>0</v>
      </c>
      <c r="Y23" s="58">
        <f t="shared" ca="1" si="33"/>
        <v>0</v>
      </c>
      <c r="Z23" s="58">
        <f t="shared" ca="1" si="33"/>
        <v>0</v>
      </c>
      <c r="AA23" s="58">
        <f t="shared" ca="1" si="33"/>
        <v>0</v>
      </c>
      <c r="AB23" s="58">
        <f t="shared" ca="1" si="33"/>
        <v>0</v>
      </c>
      <c r="AC23" s="138"/>
    </row>
    <row r="24" spans="2:29" x14ac:dyDescent="0.2">
      <c r="B24" s="44"/>
      <c r="C24" s="44" t="s">
        <v>60</v>
      </c>
      <c r="D24" s="60" t="s">
        <v>25</v>
      </c>
      <c r="E24" s="58">
        <f t="shared" ca="1" si="32"/>
        <v>0</v>
      </c>
      <c r="F24" s="58">
        <f t="shared" ca="1" si="32"/>
        <v>0</v>
      </c>
      <c r="G24" s="58">
        <f t="shared" ca="1" si="32"/>
        <v>0</v>
      </c>
      <c r="H24" s="148">
        <f t="shared" ca="1" si="32"/>
        <v>0</v>
      </c>
      <c r="I24" s="58">
        <f t="shared" ca="1" si="32"/>
        <v>0</v>
      </c>
      <c r="J24" s="58">
        <f t="shared" ca="1" si="32"/>
        <v>0</v>
      </c>
      <c r="K24" s="58">
        <f t="shared" ca="1" si="32"/>
        <v>0</v>
      </c>
      <c r="L24" s="58">
        <f t="shared" ca="1" si="32"/>
        <v>0</v>
      </c>
      <c r="M24" s="58">
        <f t="shared" ca="1" si="32"/>
        <v>0</v>
      </c>
      <c r="N24" s="58">
        <f t="shared" ca="1" si="32"/>
        <v>0</v>
      </c>
      <c r="O24" s="58">
        <f t="shared" ca="1" si="33"/>
        <v>0</v>
      </c>
      <c r="P24" s="58">
        <f t="shared" ca="1" si="33"/>
        <v>0</v>
      </c>
      <c r="Q24" s="58">
        <f t="shared" ca="1" si="33"/>
        <v>0</v>
      </c>
      <c r="R24" s="58">
        <f t="shared" ca="1" si="33"/>
        <v>0</v>
      </c>
      <c r="S24" s="58">
        <f t="shared" ca="1" si="33"/>
        <v>0</v>
      </c>
      <c r="T24" s="58">
        <f t="shared" ca="1" si="33"/>
        <v>0</v>
      </c>
      <c r="U24" s="58">
        <f t="shared" ca="1" si="33"/>
        <v>0</v>
      </c>
      <c r="V24" s="58">
        <f t="shared" ca="1" si="33"/>
        <v>0</v>
      </c>
      <c r="W24" s="58">
        <f t="shared" ca="1" si="33"/>
        <v>0</v>
      </c>
      <c r="X24" s="58">
        <f t="shared" ca="1" si="33"/>
        <v>0</v>
      </c>
      <c r="Y24" s="58">
        <f t="shared" ca="1" si="33"/>
        <v>0</v>
      </c>
      <c r="Z24" s="58">
        <f t="shared" ca="1" si="33"/>
        <v>0</v>
      </c>
      <c r="AA24" s="58">
        <f t="shared" ca="1" si="33"/>
        <v>0</v>
      </c>
      <c r="AB24" s="58">
        <f t="shared" ca="1" si="33"/>
        <v>0</v>
      </c>
      <c r="AC24" s="138"/>
    </row>
    <row r="25" spans="2:29" x14ac:dyDescent="0.2">
      <c r="B25" s="49"/>
      <c r="C25" s="49"/>
      <c r="D25" s="49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</row>
    <row r="28" spans="2:29" x14ac:dyDescent="0.2">
      <c r="B28" s="141"/>
      <c r="C28" s="141"/>
    </row>
    <row r="29" spans="2:29" x14ac:dyDescent="0.2">
      <c r="B29" s="116"/>
      <c r="C29" s="116"/>
    </row>
    <row r="30" spans="2:29" x14ac:dyDescent="0.2">
      <c r="B30" s="116"/>
      <c r="C30" s="116"/>
    </row>
    <row r="32" spans="2:29" x14ac:dyDescent="0.2">
      <c r="B32" s="141"/>
      <c r="C32" s="141"/>
    </row>
    <row r="33" spans="2:3" x14ac:dyDescent="0.2">
      <c r="B33" s="116"/>
      <c r="C33" s="116"/>
    </row>
    <row r="34" spans="2:3" x14ac:dyDescent="0.2">
      <c r="B34" s="116"/>
      <c r="C34" s="116"/>
    </row>
    <row r="35" spans="2:3" x14ac:dyDescent="0.2">
      <c r="B35" s="116"/>
      <c r="C35" s="116"/>
    </row>
    <row r="36" spans="2:3" x14ac:dyDescent="0.2">
      <c r="B36" s="116"/>
      <c r="C36" s="116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zoomScaleNormal="100" zoomScalePageLayoutView="115" workbookViewId="0"/>
  </sheetViews>
  <sheetFormatPr defaultColWidth="9.140625" defaultRowHeight="15" outlineLevelCol="1" x14ac:dyDescent="0.2"/>
  <cols>
    <col min="1" max="1" width="1.7109375" style="21" customWidth="1"/>
    <col min="2" max="2" width="21.5703125" style="21" customWidth="1"/>
    <col min="3" max="3" width="30.28515625" style="51" bestFit="1" customWidth="1"/>
    <col min="4" max="4" width="12.7109375" style="51" customWidth="1"/>
    <col min="5" max="7" width="12.7109375" style="52" customWidth="1"/>
    <col min="8" max="21" width="12.7109375" style="52" hidden="1" customWidth="1" outlineLevel="1"/>
    <col min="22" max="22" width="12.7109375" style="53" hidden="1" customWidth="1" outlineLevel="1"/>
    <col min="23" max="27" width="12.7109375" style="54" hidden="1" customWidth="1" outlineLevel="1"/>
    <col min="28" max="28" width="12.7109375" style="52" hidden="1" customWidth="1" outlineLevel="1"/>
    <col min="29" max="29" width="9.140625" style="52" collapsed="1"/>
    <col min="30" max="191" width="9.140625" style="52"/>
    <col min="192" max="16384" width="9.140625" style="65"/>
  </cols>
  <sheetData>
    <row r="1" spans="1:30" ht="10.35" customHeight="1" thickBot="1" x14ac:dyDescent="0.25"/>
    <row r="2" spans="1:30" ht="15" customHeight="1" x14ac:dyDescent="0.2">
      <c r="B2" s="66" t="s">
        <v>13</v>
      </c>
      <c r="C2" s="62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30" ht="15" customHeight="1" x14ac:dyDescent="0.2">
      <c r="B4" s="71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</row>
    <row r="5" spans="1:30" ht="12" customHeight="1" thickBot="1" x14ac:dyDescent="0.25">
      <c r="B5" s="72"/>
      <c r="C5" s="73"/>
      <c r="D5" s="73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</row>
    <row r="6" spans="1:30" s="29" customFormat="1" ht="15" customHeight="1" x14ac:dyDescent="0.2">
      <c r="A6" s="21"/>
      <c r="B6" s="142"/>
      <c r="C6" s="165"/>
      <c r="D6" s="166"/>
      <c r="E6" s="34">
        <f t="shared" ref="E6:AA6" si="0">E7-DAY(E7)+1</f>
        <v>43101</v>
      </c>
      <c r="F6" s="34">
        <f t="shared" si="0"/>
        <v>43132</v>
      </c>
      <c r="G6" s="34">
        <f t="shared" si="0"/>
        <v>43160</v>
      </c>
      <c r="H6" s="34">
        <f t="shared" si="0"/>
        <v>43191</v>
      </c>
      <c r="I6" s="34">
        <f t="shared" si="0"/>
        <v>43221</v>
      </c>
      <c r="J6" s="34">
        <f t="shared" si="0"/>
        <v>43252</v>
      </c>
      <c r="K6" s="34">
        <f>K7-DAY(K7)+1</f>
        <v>43282</v>
      </c>
      <c r="L6" s="34">
        <f t="shared" si="0"/>
        <v>43313</v>
      </c>
      <c r="M6" s="34">
        <f t="shared" si="0"/>
        <v>43344</v>
      </c>
      <c r="N6" s="34">
        <f t="shared" si="0"/>
        <v>43374</v>
      </c>
      <c r="O6" s="34">
        <f t="shared" si="0"/>
        <v>43405</v>
      </c>
      <c r="P6" s="34">
        <f t="shared" si="0"/>
        <v>43435</v>
      </c>
      <c r="Q6" s="34">
        <f t="shared" si="0"/>
        <v>43466</v>
      </c>
      <c r="R6" s="34">
        <f t="shared" si="0"/>
        <v>43497</v>
      </c>
      <c r="S6" s="34">
        <f t="shared" si="0"/>
        <v>43525</v>
      </c>
      <c r="T6" s="34">
        <f t="shared" si="0"/>
        <v>43556</v>
      </c>
      <c r="U6" s="34">
        <f t="shared" si="0"/>
        <v>43586</v>
      </c>
      <c r="V6" s="34">
        <f t="shared" si="0"/>
        <v>43617</v>
      </c>
      <c r="W6" s="34">
        <f t="shared" si="0"/>
        <v>43647</v>
      </c>
      <c r="X6" s="34">
        <f t="shared" si="0"/>
        <v>43678</v>
      </c>
      <c r="Y6" s="34">
        <f t="shared" si="0"/>
        <v>43709</v>
      </c>
      <c r="Z6" s="34">
        <f t="shared" si="0"/>
        <v>43739</v>
      </c>
      <c r="AA6" s="34">
        <f t="shared" si="0"/>
        <v>43770</v>
      </c>
      <c r="AB6" s="34">
        <f>AB7-DAY(AB7)+1</f>
        <v>43800</v>
      </c>
    </row>
    <row r="7" spans="1:30" s="29" customFormat="1" ht="15" customHeight="1" thickBot="1" x14ac:dyDescent="0.25">
      <c r="A7" s="21"/>
      <c r="B7" s="143"/>
      <c r="C7" s="167"/>
      <c r="D7" s="168"/>
      <c r="E7" s="35">
        <f t="shared" ref="E7:AA7" si="1">F6-1</f>
        <v>43131</v>
      </c>
      <c r="F7" s="36">
        <f t="shared" si="1"/>
        <v>43159</v>
      </c>
      <c r="G7" s="36">
        <f t="shared" si="1"/>
        <v>43190</v>
      </c>
      <c r="H7" s="36">
        <f t="shared" si="1"/>
        <v>43220</v>
      </c>
      <c r="I7" s="36">
        <f t="shared" si="1"/>
        <v>43251</v>
      </c>
      <c r="J7" s="36">
        <f t="shared" si="1"/>
        <v>43281</v>
      </c>
      <c r="K7" s="36">
        <f t="shared" si="1"/>
        <v>43312</v>
      </c>
      <c r="L7" s="36">
        <f t="shared" si="1"/>
        <v>43343</v>
      </c>
      <c r="M7" s="36">
        <f t="shared" si="1"/>
        <v>43373</v>
      </c>
      <c r="N7" s="36">
        <f t="shared" si="1"/>
        <v>43404</v>
      </c>
      <c r="O7" s="36">
        <f t="shared" si="1"/>
        <v>43434</v>
      </c>
      <c r="P7" s="36">
        <f t="shared" si="1"/>
        <v>43465</v>
      </c>
      <c r="Q7" s="36">
        <f t="shared" si="1"/>
        <v>43496</v>
      </c>
      <c r="R7" s="36">
        <f t="shared" si="1"/>
        <v>43524</v>
      </c>
      <c r="S7" s="36">
        <f t="shared" si="1"/>
        <v>43555</v>
      </c>
      <c r="T7" s="36">
        <f t="shared" si="1"/>
        <v>43585</v>
      </c>
      <c r="U7" s="36">
        <f t="shared" si="1"/>
        <v>43616</v>
      </c>
      <c r="V7" s="36">
        <f t="shared" si="1"/>
        <v>43646</v>
      </c>
      <c r="W7" s="36">
        <f t="shared" si="1"/>
        <v>43677</v>
      </c>
      <c r="X7" s="36">
        <f t="shared" si="1"/>
        <v>43708</v>
      </c>
      <c r="Y7" s="36">
        <f t="shared" si="1"/>
        <v>43738</v>
      </c>
      <c r="Z7" s="36">
        <f t="shared" si="1"/>
        <v>43769</v>
      </c>
      <c r="AA7" s="36">
        <f t="shared" si="1"/>
        <v>43799</v>
      </c>
      <c r="AB7" s="36">
        <f>D3</f>
        <v>43830</v>
      </c>
    </row>
    <row r="8" spans="1:30" s="29" customFormat="1" ht="15" customHeight="1" thickBot="1" x14ac:dyDescent="0.25">
      <c r="A8" s="21"/>
      <c r="B8" s="109" t="s">
        <v>64</v>
      </c>
      <c r="C8" s="11" t="s">
        <v>14</v>
      </c>
      <c r="D8" s="109" t="s">
        <v>47</v>
      </c>
      <c r="E8" s="144">
        <f t="shared" ref="E8:AB8" si="2">E6</f>
        <v>43101</v>
      </c>
      <c r="F8" s="144">
        <f t="shared" si="2"/>
        <v>43132</v>
      </c>
      <c r="G8" s="144">
        <f t="shared" si="2"/>
        <v>43160</v>
      </c>
      <c r="H8" s="144">
        <f t="shared" si="2"/>
        <v>43191</v>
      </c>
      <c r="I8" s="144">
        <f t="shared" si="2"/>
        <v>43221</v>
      </c>
      <c r="J8" s="144">
        <f t="shared" si="2"/>
        <v>43252</v>
      </c>
      <c r="K8" s="144">
        <f t="shared" si="2"/>
        <v>43282</v>
      </c>
      <c r="L8" s="144">
        <f t="shared" si="2"/>
        <v>43313</v>
      </c>
      <c r="M8" s="144">
        <f t="shared" si="2"/>
        <v>43344</v>
      </c>
      <c r="N8" s="144">
        <f t="shared" si="2"/>
        <v>43374</v>
      </c>
      <c r="O8" s="144">
        <f t="shared" si="2"/>
        <v>43405</v>
      </c>
      <c r="P8" s="144">
        <f t="shared" si="2"/>
        <v>43435</v>
      </c>
      <c r="Q8" s="144">
        <f t="shared" si="2"/>
        <v>43466</v>
      </c>
      <c r="R8" s="144">
        <f t="shared" si="2"/>
        <v>43497</v>
      </c>
      <c r="S8" s="144">
        <f t="shared" si="2"/>
        <v>43525</v>
      </c>
      <c r="T8" s="144">
        <f t="shared" si="2"/>
        <v>43556</v>
      </c>
      <c r="U8" s="144">
        <f t="shared" si="2"/>
        <v>43586</v>
      </c>
      <c r="V8" s="144">
        <f t="shared" si="2"/>
        <v>43617</v>
      </c>
      <c r="W8" s="144">
        <f t="shared" si="2"/>
        <v>43647</v>
      </c>
      <c r="X8" s="144">
        <f t="shared" si="2"/>
        <v>43678</v>
      </c>
      <c r="Y8" s="144">
        <f t="shared" si="2"/>
        <v>43709</v>
      </c>
      <c r="Z8" s="144">
        <f t="shared" si="2"/>
        <v>43739</v>
      </c>
      <c r="AA8" s="144">
        <f t="shared" si="2"/>
        <v>43770</v>
      </c>
      <c r="AB8" s="144">
        <f t="shared" si="2"/>
        <v>43800</v>
      </c>
    </row>
    <row r="9" spans="1:30" ht="15" customHeight="1" thickBot="1" x14ac:dyDescent="0.25">
      <c r="B9" s="145"/>
      <c r="C9" s="40" t="s">
        <v>32</v>
      </c>
      <c r="D9" s="145" t="s">
        <v>28</v>
      </c>
      <c r="E9" s="43">
        <f t="shared" ref="E9:AB10" ca="1" si="3">AbraPayroll(URL,Username,Password,$D9,E$8)</f>
        <v>0</v>
      </c>
      <c r="F9" s="43">
        <f t="shared" ca="1" si="3"/>
        <v>0</v>
      </c>
      <c r="G9" s="43">
        <f t="shared" ca="1" si="3"/>
        <v>0</v>
      </c>
      <c r="H9" s="43">
        <f t="shared" ca="1" si="3"/>
        <v>0</v>
      </c>
      <c r="I9" s="43">
        <f t="shared" ca="1" si="3"/>
        <v>0</v>
      </c>
      <c r="J9" s="43">
        <f t="shared" ca="1" si="3"/>
        <v>0</v>
      </c>
      <c r="K9" s="43">
        <f t="shared" ca="1" si="3"/>
        <v>0</v>
      </c>
      <c r="L9" s="43">
        <f t="shared" ca="1" si="3"/>
        <v>0</v>
      </c>
      <c r="M9" s="43">
        <f t="shared" ca="1" si="3"/>
        <v>0</v>
      </c>
      <c r="N9" s="43">
        <f t="shared" ca="1" si="3"/>
        <v>0</v>
      </c>
      <c r="O9" s="43">
        <f t="shared" ca="1" si="3"/>
        <v>0</v>
      </c>
      <c r="P9" s="43">
        <f t="shared" ca="1" si="3"/>
        <v>0</v>
      </c>
      <c r="Q9" s="43">
        <f t="shared" ca="1" si="3"/>
        <v>0</v>
      </c>
      <c r="R9" s="43">
        <f t="shared" ca="1" si="3"/>
        <v>0</v>
      </c>
      <c r="S9" s="43">
        <f t="shared" ca="1" si="3"/>
        <v>0</v>
      </c>
      <c r="T9" s="43">
        <f t="shared" ca="1" si="3"/>
        <v>0</v>
      </c>
      <c r="U9" s="43">
        <f t="shared" ca="1" si="3"/>
        <v>0</v>
      </c>
      <c r="V9" s="43">
        <f t="shared" ca="1" si="3"/>
        <v>0</v>
      </c>
      <c r="W9" s="43">
        <f t="shared" ca="1" si="3"/>
        <v>0</v>
      </c>
      <c r="X9" s="43">
        <f t="shared" ca="1" si="3"/>
        <v>0</v>
      </c>
      <c r="Y9" s="43">
        <f t="shared" ca="1" si="3"/>
        <v>0</v>
      </c>
      <c r="Z9" s="43">
        <f t="shared" ca="1" si="3"/>
        <v>0</v>
      </c>
      <c r="AA9" s="43">
        <f t="shared" ca="1" si="3"/>
        <v>0</v>
      </c>
      <c r="AB9" s="43">
        <f t="shared" ca="1" si="3"/>
        <v>0</v>
      </c>
      <c r="AC9" s="29"/>
      <c r="AD9" s="29"/>
    </row>
    <row r="10" spans="1:30" ht="15" customHeight="1" thickBot="1" x14ac:dyDescent="0.25">
      <c r="B10" s="146"/>
      <c r="C10" s="139" t="s">
        <v>33</v>
      </c>
      <c r="D10" s="146" t="s">
        <v>29</v>
      </c>
      <c r="E10" s="43">
        <f t="shared" ca="1" si="3"/>
        <v>0</v>
      </c>
      <c r="F10" s="43">
        <f t="shared" ca="1" si="3"/>
        <v>0</v>
      </c>
      <c r="G10" s="43">
        <f t="shared" ca="1" si="3"/>
        <v>0</v>
      </c>
      <c r="H10" s="43">
        <f t="shared" ca="1" si="3"/>
        <v>0</v>
      </c>
      <c r="I10" s="43">
        <f t="shared" ca="1" si="3"/>
        <v>0</v>
      </c>
      <c r="J10" s="43">
        <f t="shared" ca="1" si="3"/>
        <v>0</v>
      </c>
      <c r="K10" s="43">
        <f t="shared" ca="1" si="3"/>
        <v>0</v>
      </c>
      <c r="L10" s="43">
        <f t="shared" ca="1" si="3"/>
        <v>0</v>
      </c>
      <c r="M10" s="43">
        <f t="shared" ca="1" si="3"/>
        <v>0</v>
      </c>
      <c r="N10" s="43">
        <f t="shared" ca="1" si="3"/>
        <v>0</v>
      </c>
      <c r="O10" s="43">
        <f t="shared" ca="1" si="3"/>
        <v>0</v>
      </c>
      <c r="P10" s="43">
        <f t="shared" ca="1" si="3"/>
        <v>0</v>
      </c>
      <c r="Q10" s="43">
        <f ca="1">AbraPayroll(URL,Username,Password,$D10,Q$8)</f>
        <v>0</v>
      </c>
      <c r="R10" s="43">
        <f t="shared" ca="1" si="3"/>
        <v>0</v>
      </c>
      <c r="S10" s="43">
        <f t="shared" ca="1" si="3"/>
        <v>0</v>
      </c>
      <c r="T10" s="43">
        <f t="shared" ca="1" si="3"/>
        <v>0</v>
      </c>
      <c r="U10" s="43">
        <f t="shared" ca="1" si="3"/>
        <v>0</v>
      </c>
      <c r="V10" s="43">
        <f t="shared" ca="1" si="3"/>
        <v>0</v>
      </c>
      <c r="W10" s="43">
        <f t="shared" ca="1" si="3"/>
        <v>0</v>
      </c>
      <c r="X10" s="43">
        <f ca="1">AbraPayroll(URL,Username,Password,$D10,X$8)</f>
        <v>0</v>
      </c>
      <c r="Y10" s="43">
        <f t="shared" ca="1" si="3"/>
        <v>0</v>
      </c>
      <c r="Z10" s="43">
        <f t="shared" ca="1" si="3"/>
        <v>0</v>
      </c>
      <c r="AA10" s="43">
        <f t="shared" ca="1" si="3"/>
        <v>0</v>
      </c>
      <c r="AB10" s="43">
        <f t="shared" ca="1" si="3"/>
        <v>0</v>
      </c>
      <c r="AC10" s="29"/>
      <c r="AD10" s="29"/>
    </row>
    <row r="11" spans="1:30" ht="15" customHeight="1" thickBot="1" x14ac:dyDescent="0.25">
      <c r="B11" s="146"/>
      <c r="C11" s="139" t="s">
        <v>34</v>
      </c>
      <c r="D11" s="146" t="s">
        <v>30</v>
      </c>
      <c r="E11" s="43">
        <f t="shared" ref="E11:N12" ca="1" si="4">AbraPayroll(URL,Username,Password,$D11,E$8)</f>
        <v>0</v>
      </c>
      <c r="F11" s="43">
        <f t="shared" ca="1" si="4"/>
        <v>0</v>
      </c>
      <c r="G11" s="43">
        <f t="shared" ca="1" si="4"/>
        <v>0</v>
      </c>
      <c r="H11" s="43">
        <f t="shared" ca="1" si="4"/>
        <v>0</v>
      </c>
      <c r="I11" s="43">
        <f t="shared" ca="1" si="4"/>
        <v>0</v>
      </c>
      <c r="J11" s="43">
        <f t="shared" ca="1" si="4"/>
        <v>0</v>
      </c>
      <c r="K11" s="43">
        <f t="shared" ca="1" si="4"/>
        <v>0</v>
      </c>
      <c r="L11" s="43">
        <f t="shared" ca="1" si="4"/>
        <v>0</v>
      </c>
      <c r="M11" s="43">
        <f t="shared" ca="1" si="4"/>
        <v>0</v>
      </c>
      <c r="N11" s="43">
        <f t="shared" ca="1" si="4"/>
        <v>0</v>
      </c>
      <c r="O11" s="43">
        <f t="shared" ref="O11:AB12" ca="1" si="5">AbraPayroll(URL,Username,Password,$D11,O$8)</f>
        <v>0</v>
      </c>
      <c r="P11" s="43">
        <f t="shared" ca="1" si="5"/>
        <v>0</v>
      </c>
      <c r="Q11" s="43">
        <f t="shared" ca="1" si="5"/>
        <v>0</v>
      </c>
      <c r="R11" s="43">
        <f t="shared" ca="1" si="5"/>
        <v>0</v>
      </c>
      <c r="S11" s="43">
        <f t="shared" ca="1" si="5"/>
        <v>0</v>
      </c>
      <c r="T11" s="43">
        <f t="shared" ca="1" si="5"/>
        <v>0</v>
      </c>
      <c r="U11" s="43">
        <f t="shared" ca="1" si="5"/>
        <v>0</v>
      </c>
      <c r="V11" s="43">
        <f t="shared" ca="1" si="5"/>
        <v>0</v>
      </c>
      <c r="W11" s="43">
        <f t="shared" ca="1" si="5"/>
        <v>0</v>
      </c>
      <c r="X11" s="43">
        <f t="shared" ca="1" si="5"/>
        <v>0</v>
      </c>
      <c r="Y11" s="43">
        <f t="shared" ca="1" si="5"/>
        <v>0</v>
      </c>
      <c r="Z11" s="43">
        <f t="shared" ca="1" si="5"/>
        <v>0</v>
      </c>
      <c r="AA11" s="43">
        <f t="shared" ca="1" si="5"/>
        <v>0</v>
      </c>
      <c r="AB11" s="43">
        <f t="shared" ca="1" si="5"/>
        <v>0</v>
      </c>
      <c r="AC11" s="29"/>
      <c r="AD11" s="29"/>
    </row>
    <row r="12" spans="1:30" ht="15" customHeight="1" thickBot="1" x14ac:dyDescent="0.25">
      <c r="B12" s="146"/>
      <c r="C12" s="139" t="s">
        <v>35</v>
      </c>
      <c r="D12" s="146" t="s">
        <v>17</v>
      </c>
      <c r="E12" s="43">
        <f t="shared" ca="1" si="4"/>
        <v>0</v>
      </c>
      <c r="F12" s="43">
        <f t="shared" ca="1" si="4"/>
        <v>0</v>
      </c>
      <c r="G12" s="43">
        <f t="shared" ca="1" si="4"/>
        <v>0</v>
      </c>
      <c r="H12" s="43">
        <f t="shared" ca="1" si="4"/>
        <v>0</v>
      </c>
      <c r="I12" s="43">
        <f t="shared" ca="1" si="4"/>
        <v>0</v>
      </c>
      <c r="J12" s="43">
        <f t="shared" ca="1" si="4"/>
        <v>0</v>
      </c>
      <c r="K12" s="43">
        <f t="shared" ca="1" si="4"/>
        <v>0</v>
      </c>
      <c r="L12" s="43">
        <f t="shared" ca="1" si="4"/>
        <v>0</v>
      </c>
      <c r="M12" s="43">
        <f t="shared" ca="1" si="4"/>
        <v>0</v>
      </c>
      <c r="N12" s="43">
        <f t="shared" ca="1" si="4"/>
        <v>0</v>
      </c>
      <c r="O12" s="43">
        <f t="shared" ca="1" si="5"/>
        <v>0</v>
      </c>
      <c r="P12" s="43">
        <f t="shared" ca="1" si="5"/>
        <v>0</v>
      </c>
      <c r="Q12" s="43">
        <f t="shared" ca="1" si="5"/>
        <v>0</v>
      </c>
      <c r="R12" s="43">
        <f t="shared" ca="1" si="5"/>
        <v>0</v>
      </c>
      <c r="S12" s="43">
        <f t="shared" ca="1" si="5"/>
        <v>0</v>
      </c>
      <c r="T12" s="43">
        <f t="shared" ca="1" si="5"/>
        <v>0</v>
      </c>
      <c r="U12" s="43">
        <f t="shared" ca="1" si="5"/>
        <v>0</v>
      </c>
      <c r="V12" s="43">
        <f t="shared" ca="1" si="5"/>
        <v>0</v>
      </c>
      <c r="W12" s="43">
        <f t="shared" ca="1" si="5"/>
        <v>0</v>
      </c>
      <c r="X12" s="43">
        <f t="shared" ca="1" si="5"/>
        <v>0</v>
      </c>
      <c r="Y12" s="43">
        <f t="shared" ca="1" si="5"/>
        <v>0</v>
      </c>
      <c r="Z12" s="43">
        <f t="shared" ca="1" si="5"/>
        <v>0</v>
      </c>
      <c r="AA12" s="43">
        <f t="shared" ca="1" si="5"/>
        <v>0</v>
      </c>
      <c r="AB12" s="43">
        <f t="shared" ca="1" si="5"/>
        <v>0</v>
      </c>
      <c r="AC12" s="29"/>
      <c r="AD12" s="29"/>
    </row>
    <row r="13" spans="1:30" ht="15" customHeight="1" x14ac:dyDescent="0.2">
      <c r="B13" s="147"/>
      <c r="C13" s="44" t="s">
        <v>36</v>
      </c>
      <c r="D13" s="147" t="s">
        <v>31</v>
      </c>
      <c r="E13" s="43">
        <f t="shared" ref="E13:AB13" ca="1" si="6">AbraPayroll(URL,Username,Password,$D13,E$8)/1000</f>
        <v>0</v>
      </c>
      <c r="F13" s="43">
        <f t="shared" ca="1" si="6"/>
        <v>0</v>
      </c>
      <c r="G13" s="43">
        <f t="shared" ca="1" si="6"/>
        <v>0</v>
      </c>
      <c r="H13" s="43">
        <f t="shared" ca="1" si="6"/>
        <v>0</v>
      </c>
      <c r="I13" s="43">
        <f t="shared" ca="1" si="6"/>
        <v>0</v>
      </c>
      <c r="J13" s="43">
        <f t="shared" ca="1" si="6"/>
        <v>0</v>
      </c>
      <c r="K13" s="43">
        <f t="shared" ca="1" si="6"/>
        <v>0</v>
      </c>
      <c r="L13" s="43">
        <f t="shared" ca="1" si="6"/>
        <v>0</v>
      </c>
      <c r="M13" s="43">
        <f t="shared" ca="1" si="6"/>
        <v>0</v>
      </c>
      <c r="N13" s="43">
        <f t="shared" ca="1" si="6"/>
        <v>0</v>
      </c>
      <c r="O13" s="43">
        <f t="shared" ca="1" si="6"/>
        <v>0</v>
      </c>
      <c r="P13" s="43">
        <f t="shared" ca="1" si="6"/>
        <v>0</v>
      </c>
      <c r="Q13" s="43">
        <f t="shared" ca="1" si="6"/>
        <v>0</v>
      </c>
      <c r="R13" s="43">
        <f t="shared" ca="1" si="6"/>
        <v>0</v>
      </c>
      <c r="S13" s="43">
        <f t="shared" ca="1" si="6"/>
        <v>0</v>
      </c>
      <c r="T13" s="43">
        <f t="shared" ca="1" si="6"/>
        <v>0</v>
      </c>
      <c r="U13" s="43">
        <f t="shared" ca="1" si="6"/>
        <v>0</v>
      </c>
      <c r="V13" s="43">
        <f t="shared" ca="1" si="6"/>
        <v>0</v>
      </c>
      <c r="W13" s="43">
        <f t="shared" ca="1" si="6"/>
        <v>0</v>
      </c>
      <c r="X13" s="43">
        <f t="shared" ca="1" si="6"/>
        <v>0</v>
      </c>
      <c r="Y13" s="43">
        <f t="shared" ca="1" si="6"/>
        <v>0</v>
      </c>
      <c r="Z13" s="43">
        <f t="shared" ca="1" si="6"/>
        <v>0</v>
      </c>
      <c r="AA13" s="43">
        <f t="shared" ca="1" si="6"/>
        <v>0</v>
      </c>
      <c r="AB13" s="43">
        <f t="shared" ca="1" si="6"/>
        <v>0</v>
      </c>
    </row>
    <row r="14" spans="1:30" ht="15" customHeight="1" x14ac:dyDescent="0.2">
      <c r="B14" s="49"/>
      <c r="C14" s="49"/>
      <c r="D14" s="49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</row>
    <row r="18" spans="3:3" x14ac:dyDescent="0.2">
      <c r="C18" s="136"/>
    </row>
    <row r="19" spans="3:3" x14ac:dyDescent="0.2">
      <c r="C19" s="136"/>
    </row>
    <row r="20" spans="3:3" x14ac:dyDescent="0.2">
      <c r="C20" s="136"/>
    </row>
    <row r="21" spans="3:3" x14ac:dyDescent="0.2">
      <c r="C21" s="136"/>
    </row>
    <row r="22" spans="3:3" x14ac:dyDescent="0.2">
      <c r="C22" s="136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5</vt:i4>
      </vt:variant>
    </vt:vector>
  </HeadingPairs>
  <TitlesOfParts>
    <vt:vector size="13" baseType="lpstr">
      <vt:lpstr>API</vt:lpstr>
      <vt:lpstr>Náklady a výnosy</vt:lpstr>
      <vt:lpstr>Účty s vývojem</vt:lpstr>
      <vt:lpstr>Sklady</vt:lpstr>
      <vt:lpstr>Prodej</vt:lpstr>
      <vt:lpstr>Pohledávky a závazky</vt:lpstr>
      <vt:lpstr>Majetek</vt:lpstr>
      <vt:lpstr>Mzdy</vt:lpstr>
      <vt:lpstr>ConnectionTimeout</vt:lpstr>
      <vt:lpstr>Password</vt:lpstr>
      <vt:lpstr>Timeout</vt:lpstr>
      <vt:lpstr>URL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2019-11-11T10:36:50Z</dcterms:created>
  <dcterms:modified xsi:type="dcterms:W3CDTF">2021-04-20T11:21:32Z</dcterms:modified>
</cp:coreProperties>
</file>