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34C9EE11-C1C5-4C19-9E23-A6DA160B13A1}" xr6:coauthVersionLast="43" xr6:coauthVersionMax="44" xr10:uidLastSave="{00000000-0000-0000-0000-000000000000}"/>
  <bookViews>
    <workbookView xWindow="-12300" yWindow="-12435" windowWidth="21600" windowHeight="11385" activeTab="1" xr2:uid="{00000000-000D-0000-FFFF-FFFF00000000}"/>
  </bookViews>
  <sheets>
    <sheet name="Osnova" sheetId="28" r:id="rId1"/>
    <sheet name="Naklady" sheetId="31" r:id="rId2"/>
    <sheet name="Config" sheetId="3" r:id="rId3"/>
    <sheet name="Example" sheetId="1" state="hidden" r:id="rId4"/>
  </sheets>
  <functionGroups builtInGroupCount="19"/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0" i="31" l="1"/>
  <c r="G7" i="28"/>
  <c r="G8" i="28"/>
  <c r="G10" i="28"/>
  <c r="H15" i="1" a="1"/>
  <c r="H15" i="1"/>
  <c r="L15" i="1" a="1"/>
  <c r="L15" i="1"/>
  <c r="D15" i="1" a="1"/>
  <c r="D15" i="1"/>
  <c r="D24" i="1" a="1"/>
  <c r="D24" i="1"/>
  <c r="G66" i="28"/>
  <c r="G65" i="28"/>
  <c r="G62" i="28"/>
  <c r="G61" i="28"/>
  <c r="G58" i="28"/>
  <c r="G57" i="28"/>
  <c r="E52" i="28"/>
  <c r="G52" i="28"/>
  <c r="E51" i="28"/>
  <c r="G51" i="28"/>
  <c r="E50" i="28"/>
  <c r="G50" i="28"/>
  <c r="E49" i="28"/>
  <c r="G49" i="28"/>
  <c r="E48" i="28"/>
  <c r="G48" i="28"/>
  <c r="E47" i="28"/>
  <c r="G47" i="28"/>
  <c r="G44" i="28"/>
  <c r="G43" i="28"/>
  <c r="G42" i="28"/>
  <c r="G41" i="28"/>
  <c r="G37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3" i="31"/>
  <c r="G32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9" i="31"/>
  <c r="G53" i="28"/>
  <c r="G54" i="28"/>
  <c r="G36" i="28"/>
  <c r="G38" i="28"/>
  <c r="G9" i="28"/>
</calcChain>
</file>

<file path=xl/sharedStrings.xml><?xml version="1.0" encoding="utf-8"?>
<sst xmlns="http://schemas.openxmlformats.org/spreadsheetml/2006/main" count="275" uniqueCount="198">
  <si>
    <t>Účty:</t>
  </si>
  <si>
    <t>Střediska:</t>
  </si>
  <si>
    <t>Zakázky:</t>
  </si>
  <si>
    <t>Obchodní případy:</t>
  </si>
  <si>
    <t>Datum od:</t>
  </si>
  <si>
    <t>Omezení:</t>
  </si>
  <si>
    <t>False</t>
  </si>
  <si>
    <t>Hodnota</t>
  </si>
  <si>
    <t>Obrat za vybrané omezení:</t>
  </si>
  <si>
    <t>Výraz pro omezení:</t>
  </si>
  <si>
    <t>včetně podřízených</t>
  </si>
  <si>
    <t>True</t>
  </si>
  <si>
    <t>Accounts:343MD$;Divisions:000</t>
  </si>
  <si>
    <t>Projekty:</t>
  </si>
  <si>
    <t>započítat žádosti</t>
  </si>
  <si>
    <t>Další omezení:</t>
  </si>
  <si>
    <t>Vždy True</t>
  </si>
  <si>
    <t>Vždy False</t>
  </si>
  <si>
    <t>Příklad použití funkce GetTurnover()</t>
  </si>
  <si>
    <t>Příklad použití funkce Real()</t>
  </si>
  <si>
    <t>Příklad použití funkce GetTurnoverSimple()</t>
  </si>
  <si>
    <t>Příklad použití funkce AbraTurnover()</t>
  </si>
  <si>
    <t>Firmy:</t>
  </si>
  <si>
    <t>URL:</t>
  </si>
  <si>
    <t>UserName:</t>
  </si>
  <si>
    <t>Password:</t>
  </si>
  <si>
    <t>Web API údaje</t>
  </si>
  <si>
    <t>Cestovné</t>
  </si>
  <si>
    <t>Účetní služby</t>
  </si>
  <si>
    <t>https://4a49-abc3-4571eda3e01a1d202429da4e6api.abra.eu/cz</t>
  </si>
  <si>
    <t>PETA</t>
  </si>
  <si>
    <t>Popis</t>
  </si>
  <si>
    <t>ABRA Gen - licence</t>
  </si>
  <si>
    <t>Mobilní skladník - licence</t>
  </si>
  <si>
    <t>E-shop - licence</t>
  </si>
  <si>
    <t>ABRA Gen - RLP</t>
  </si>
  <si>
    <t>ABRA FlexiBee - RLP</t>
  </si>
  <si>
    <t>Mobilní skladník - RLP</t>
  </si>
  <si>
    <t>E-shop - RLP</t>
  </si>
  <si>
    <t>Implementační studie</t>
  </si>
  <si>
    <t>HOT Line</t>
  </si>
  <si>
    <t>Projektové řízení</t>
  </si>
  <si>
    <t>Vzdělávání - z LS</t>
  </si>
  <si>
    <t>Vdělávání - placená školení</t>
  </si>
  <si>
    <t>Poplatky od SMLS</t>
  </si>
  <si>
    <t>60267</t>
  </si>
  <si>
    <t>Přeprodej zboží a služeb</t>
  </si>
  <si>
    <t>Webhosting a WWW domény</t>
  </si>
  <si>
    <t>Cloudové služby</t>
  </si>
  <si>
    <t>Technologické služby</t>
  </si>
  <si>
    <t>60284</t>
  </si>
  <si>
    <t>60271</t>
  </si>
  <si>
    <t>82100MD</t>
  </si>
  <si>
    <t>82100D</t>
  </si>
  <si>
    <t>82100</t>
  </si>
  <si>
    <t>4303</t>
  </si>
  <si>
    <t>Ostatní</t>
  </si>
  <si>
    <t>Přidaná hodnota (PH)</t>
  </si>
  <si>
    <t>Středisko:</t>
  </si>
  <si>
    <t>Zakázka:</t>
  </si>
  <si>
    <t>Typ</t>
  </si>
  <si>
    <t>Zkratka</t>
  </si>
  <si>
    <t>Výnosy</t>
  </si>
  <si>
    <t>PH101</t>
  </si>
  <si>
    <t>60211,60212,60213,60215,60217,60218,60219,60220,60241,60257</t>
  </si>
  <si>
    <t>PH102</t>
  </si>
  <si>
    <t>ABRA primaERP</t>
  </si>
  <si>
    <t>60221</t>
  </si>
  <si>
    <t>PH103</t>
  </si>
  <si>
    <t>ABRA FlexiBee - licence</t>
  </si>
  <si>
    <t>60216,60222,60285</t>
  </si>
  <si>
    <t>PH105</t>
  </si>
  <si>
    <t>60260</t>
  </si>
  <si>
    <t>PH107</t>
  </si>
  <si>
    <t>PH201</t>
  </si>
  <si>
    <t>60201,60202,60203,60205,60207,60208,60209,60210,60255</t>
  </si>
  <si>
    <t>PH203</t>
  </si>
  <si>
    <t>PH205</t>
  </si>
  <si>
    <t>60259</t>
  </si>
  <si>
    <t>PH206</t>
  </si>
  <si>
    <t>Publisher</t>
  </si>
  <si>
    <t>PH207</t>
  </si>
  <si>
    <t>PH301</t>
  </si>
  <si>
    <t>Konzultantaské služby</t>
  </si>
  <si>
    <t>60234,60236,60237,60272,60273,60274,60275,60276,60277,60278,60279,-90277</t>
  </si>
  <si>
    <t>PH302</t>
  </si>
  <si>
    <t>PH303</t>
  </si>
  <si>
    <t>PH304</t>
  </si>
  <si>
    <t>PH305</t>
  </si>
  <si>
    <t>PH306</t>
  </si>
  <si>
    <t>PH307</t>
  </si>
  <si>
    <t>PH308</t>
  </si>
  <si>
    <t>PH309</t>
  </si>
  <si>
    <t>PH401</t>
  </si>
  <si>
    <t>60281,60420,60430,60450,60460,-50420,-50430,-50450,-50460</t>
  </si>
  <si>
    <t>PH402</t>
  </si>
  <si>
    <t>60238,60440,-50440</t>
  </si>
  <si>
    <t>PH403</t>
  </si>
  <si>
    <t>60282,60283,-90282</t>
  </si>
  <si>
    <t>PH404</t>
  </si>
  <si>
    <t>PH501</t>
  </si>
  <si>
    <t>Osobní náklady (D)</t>
  </si>
  <si>
    <t>PH</t>
  </si>
  <si>
    <t>Licence</t>
  </si>
  <si>
    <t>RLP</t>
  </si>
  <si>
    <t>Služby</t>
  </si>
  <si>
    <t>Přeprodej</t>
  </si>
  <si>
    <t>450</t>
  </si>
  <si>
    <t>Osobní náklady - subdodávky</t>
  </si>
  <si>
    <t>82140D</t>
  </si>
  <si>
    <t>602,-60270,-60250,604,-504,-902</t>
  </si>
  <si>
    <t>Kontrola</t>
  </si>
  <si>
    <t>PH kontrolní</t>
  </si>
  <si>
    <t>PH106</t>
  </si>
  <si>
    <t>FLORES on-line sklad</t>
  </si>
  <si>
    <t>FLORES on-line sklad - RLP</t>
  </si>
  <si>
    <t>60254</t>
  </si>
  <si>
    <t>60299</t>
  </si>
  <si>
    <t>60490,-50590</t>
  </si>
  <si>
    <t>90200</t>
  </si>
  <si>
    <t>60250</t>
  </si>
  <si>
    <t>Tržby nezapočtené do PH</t>
  </si>
  <si>
    <t>Dobropiy daňově neuznatelné</t>
  </si>
  <si>
    <t>Výnosy za nedaňové náklady</t>
  </si>
  <si>
    <t>Tržby za reklamu</t>
  </si>
  <si>
    <t>Ostatní PH</t>
  </si>
  <si>
    <t>Subscription</t>
  </si>
  <si>
    <t>PH208</t>
  </si>
  <si>
    <t>Typy</t>
  </si>
  <si>
    <t>Interní</t>
  </si>
  <si>
    <t>602,604,504</t>
  </si>
  <si>
    <t>Plus Accounts</t>
  </si>
  <si>
    <t>Minus Accounts</t>
  </si>
  <si>
    <t>PH ABRA BI</t>
  </si>
  <si>
    <t>60250,60270,902</t>
  </si>
  <si>
    <t>Test</t>
  </si>
  <si>
    <t>Test1</t>
  </si>
  <si>
    <t>Test2</t>
  </si>
  <si>
    <t>902</t>
  </si>
  <si>
    <t>Osobní náklady</t>
  </si>
  <si>
    <t>52,82,81887</t>
  </si>
  <si>
    <t>Reklama</t>
  </si>
  <si>
    <t>Nájem a energie</t>
  </si>
  <si>
    <t>Komunikace</t>
  </si>
  <si>
    <t>51821,51822,51823,51825,51826,81821,81822,81823</t>
  </si>
  <si>
    <t>Pojištění</t>
  </si>
  <si>
    <t>Opravy</t>
  </si>
  <si>
    <t>Odpisy, DIM, leasing, TZ</t>
  </si>
  <si>
    <t>Odpisy SW ABRA</t>
  </si>
  <si>
    <t>55120,55130</t>
  </si>
  <si>
    <t>Materiál</t>
  </si>
  <si>
    <t>PHM</t>
  </si>
  <si>
    <t>Fleet</t>
  </si>
  <si>
    <t>512,-51290</t>
  </si>
  <si>
    <t>Reprezentace</t>
  </si>
  <si>
    <t>513,813</t>
  </si>
  <si>
    <t>Finanční náklady</t>
  </si>
  <si>
    <t>Daně</t>
  </si>
  <si>
    <t>Ostatní náklady</t>
  </si>
  <si>
    <t>Nestandardní operace</t>
  </si>
  <si>
    <t>50131,50132</t>
  </si>
  <si>
    <t>511,8112</t>
  </si>
  <si>
    <t>8113,81810</t>
  </si>
  <si>
    <t>Vnitropodnikové</t>
  </si>
  <si>
    <t>89500</t>
  </si>
  <si>
    <t>Fondy</t>
  </si>
  <si>
    <t>89,-89500</t>
  </si>
  <si>
    <t>5484</t>
  </si>
  <si>
    <t>Náklady</t>
  </si>
  <si>
    <t>5485,55100,55120,5012,51827,80127,81827</t>
  </si>
  <si>
    <t>5011,50130,8010</t>
  </si>
  <si>
    <t>5010,5181,81886</t>
  </si>
  <si>
    <t>56200,563,568,-56899</t>
  </si>
  <si>
    <t>5180,54810,54830,5188,8185,81885,81888</t>
  </si>
  <si>
    <t>53,59</t>
  </si>
  <si>
    <t>51899,51199,51290,51870,58,57,56299,56899,543,544,545,546,5489,549,554,557,558,559,55198,50199,50299,561,541,542,55199</t>
  </si>
  <si>
    <t>NAJ</t>
  </si>
  <si>
    <t>KOM</t>
  </si>
  <si>
    <t>FLT</t>
  </si>
  <si>
    <t>CES</t>
  </si>
  <si>
    <t>POJ</t>
  </si>
  <si>
    <t>OPR</t>
  </si>
  <si>
    <t>ODP</t>
  </si>
  <si>
    <t>DIM</t>
  </si>
  <si>
    <t>MAT</t>
  </si>
  <si>
    <t>PRE</t>
  </si>
  <si>
    <t>REK</t>
  </si>
  <si>
    <t>FIN</t>
  </si>
  <si>
    <t>OSN</t>
  </si>
  <si>
    <t>DAN</t>
  </si>
  <si>
    <t>OSO</t>
  </si>
  <si>
    <t>NES</t>
  </si>
  <si>
    <t>VNI</t>
  </si>
  <si>
    <t>FON</t>
  </si>
  <si>
    <t>http://localhost/data</t>
  </si>
  <si>
    <t>Supervisor</t>
  </si>
  <si>
    <t>milda</t>
  </si>
  <si>
    <t>602,603,604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</si>
</sst>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Kč&quot;_-;\-* #,##0.00\ &quot;Kč&quot;_-;_-* &quot;-&quot;??\ &quot;Kč&quot;_-;_-@_-"/>
    <numFmt numFmtId="164" formatCode="#,##0_ ;\-#,##0\ "/>
  </numFmts>
  <fonts count="17" x14ac:knownFonts="1">
    <font>
      <sz val="11"/>
      <color theme="1"/>
      <name val="Calibri"/>
      <family val="2"/>
      <charset val="238"/>
      <scheme val="minor"/>
    </font>
    <font>
      <sz val="11"/>
      <color indexed="8"/>
      <name val="Calibri"/>
      <family val="2"/>
      <charset val="238"/>
    </font>
    <font>
      <b/>
      <sz val="11"/>
      <color indexed="8"/>
      <name val="Calibri"/>
      <family val="2"/>
      <charset val="238"/>
    </font>
    <font>
      <b/>
      <sz val="11"/>
      <color indexed="9"/>
      <name val="Calibri"/>
      <family val="2"/>
      <charset val="238"/>
    </font>
    <font>
      <b/>
      <sz val="16"/>
      <color indexed="30"/>
      <name val="Calibri"/>
      <family val="2"/>
      <charset val="238"/>
    </font>
    <font>
      <b/>
      <sz val="14"/>
      <color indexed="8"/>
      <name val="Calibri"/>
      <family val="2"/>
      <charset val="238"/>
    </font>
    <font>
      <sz val="8"/>
      <name val="Arial"/>
      <family val="2"/>
      <charset val="238"/>
    </font>
    <font>
      <b/>
      <sz val="8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charset val="238"/>
      <scheme val="minor"/>
    </font>
    <font>
      <sz val="8"/>
      <color theme="1"/>
      <name val="Arial"/>
      <family val="2"/>
      <charset val="238"/>
    </font>
    <font>
      <sz val="8"/>
      <color theme="0"/>
      <name val="Arial"/>
      <family val="2"/>
      <charset val="238"/>
    </font>
    <font>
      <b/>
      <sz val="8"/>
      <color theme="1"/>
      <name val="Arial"/>
      <family val="2"/>
      <charset val="238"/>
    </font>
    <font>
      <sz val="8"/>
      <color theme="0" tint="-0.49998474074526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76">
    <xf numFmtId="0" fontId="0" fillId="0" borderId="0" xfId="0"/>
    <xf numFmtId="49" fontId="0" fillId="0" borderId="1" xfId="0" applyNumberFormat="1" applyBorder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0" xfId="0" applyFill="1"/>
    <xf numFmtId="0" fontId="0" fillId="3" borderId="11" xfId="0" applyFill="1" applyBorder="1"/>
    <xf numFmtId="14" fontId="0" fillId="3" borderId="0" xfId="0" applyNumberFormat="1" applyFill="1"/>
    <xf numFmtId="0" fontId="4" fillId="3" borderId="0" xfId="0" applyFont="1" applyFill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49" fontId="0" fillId="0" borderId="15" xfId="0" applyNumberFormat="1" applyBorder="1"/>
    <xf numFmtId="2" fontId="5" fillId="3" borderId="0" xfId="0" applyNumberFormat="1" applyFont="1" applyFill="1"/>
    <xf numFmtId="0" fontId="0" fillId="4" borderId="3" xfId="0" applyFill="1" applyBorder="1"/>
    <xf numFmtId="0" fontId="0" fillId="4" borderId="2" xfId="0" applyFill="1" applyBorder="1"/>
    <xf numFmtId="0" fontId="2" fillId="4" borderId="16" xfId="0" applyFont="1" applyFill="1" applyBorder="1"/>
    <xf numFmtId="0" fontId="2" fillId="4" borderId="17" xfId="0" applyFont="1" applyFill="1" applyBorder="1"/>
    <xf numFmtId="0" fontId="5" fillId="4" borderId="18" xfId="0" applyFont="1" applyFill="1" applyBorder="1"/>
    <xf numFmtId="0" fontId="5" fillId="4" borderId="19" xfId="0" applyFont="1" applyFill="1" applyBorder="1"/>
    <xf numFmtId="4" fontId="5" fillId="3" borderId="20" xfId="0" applyNumberFormat="1" applyFont="1" applyFill="1" applyBorder="1"/>
    <xf numFmtId="0" fontId="0" fillId="4" borderId="21" xfId="0" applyFill="1" applyBorder="1"/>
    <xf numFmtId="0" fontId="0" fillId="5" borderId="0" xfId="0" applyFill="1"/>
    <xf numFmtId="0" fontId="8" fillId="6" borderId="22" xfId="0" applyFont="1" applyFill="1" applyBorder="1"/>
    <xf numFmtId="0" fontId="8" fillId="6" borderId="23" xfId="0" applyFont="1" applyFill="1" applyBorder="1"/>
    <xf numFmtId="0" fontId="8" fillId="6" borderId="24" xfId="0" applyFont="1" applyFill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164" fontId="11" fillId="0" borderId="0" xfId="0" applyNumberFormat="1" applyFont="1" applyAlignment="1">
      <alignment vertical="center"/>
    </xf>
    <xf numFmtId="49" fontId="12" fillId="0" borderId="28" xfId="0" applyNumberFormat="1" applyFont="1" applyBorder="1" applyAlignment="1">
      <alignment horizontal="center"/>
    </xf>
    <xf numFmtId="49" fontId="11" fillId="0" borderId="28" xfId="0" applyNumberFormat="1" applyFont="1" applyBorder="1" applyAlignment="1">
      <alignment horizontal="center" vertical="center"/>
    </xf>
    <xf numFmtId="0" fontId="10" fillId="7" borderId="28" xfId="0" applyFont="1" applyFill="1" applyBorder="1" applyAlignment="1">
      <alignment vertical="center"/>
    </xf>
    <xf numFmtId="0" fontId="11" fillId="0" borderId="28" xfId="0" applyFont="1" applyBorder="1" applyAlignment="1">
      <alignment vertical="center"/>
    </xf>
    <xf numFmtId="164" fontId="11" fillId="0" borderId="28" xfId="1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/>
    <xf numFmtId="0" fontId="13" fillId="0" borderId="0" xfId="0" applyFont="1"/>
    <xf numFmtId="0" fontId="13" fillId="0" borderId="28" xfId="0" applyFont="1" applyBorder="1"/>
    <xf numFmtId="0" fontId="14" fillId="0" borderId="28" xfId="0" applyFont="1" applyBorder="1" applyProtection="1">
      <protection hidden="1"/>
    </xf>
    <xf numFmtId="0" fontId="15" fillId="4" borderId="28" xfId="0" applyFont="1" applyFill="1" applyBorder="1"/>
    <xf numFmtId="164" fontId="11" fillId="0" borderId="0" xfId="1" applyNumberFormat="1" applyFont="1" applyBorder="1" applyAlignment="1">
      <alignment vertical="center"/>
    </xf>
    <xf numFmtId="49" fontId="10" fillId="7" borderId="28" xfId="0" applyNumberFormat="1" applyFont="1" applyFill="1" applyBorder="1" applyAlignment="1">
      <alignment horizontal="left" vertical="center" wrapText="1"/>
    </xf>
    <xf numFmtId="49" fontId="11" fillId="0" borderId="28" xfId="0" applyNumberFormat="1" applyFont="1" applyBorder="1" applyAlignment="1">
      <alignment horizontal="left" vertical="center"/>
    </xf>
    <xf numFmtId="0" fontId="11" fillId="0" borderId="0" xfId="0" applyFont="1" applyAlignment="1">
      <alignment vertical="center" wrapText="1"/>
    </xf>
    <xf numFmtId="0" fontId="11" fillId="0" borderId="28" xfId="0" applyFont="1" applyBorder="1" applyAlignment="1">
      <alignment vertical="center" wrapText="1"/>
    </xf>
    <xf numFmtId="0" fontId="11" fillId="0" borderId="28" xfId="0" applyFont="1" applyBorder="1" applyAlignment="1">
      <alignment horizontal="left" vertical="center" wrapText="1"/>
    </xf>
    <xf numFmtId="49" fontId="11" fillId="0" borderId="0" xfId="0" applyNumberFormat="1" applyFont="1" applyAlignment="1">
      <alignment horizontal="left" vertical="center"/>
    </xf>
    <xf numFmtId="14" fontId="11" fillId="0" borderId="28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49" fontId="11" fillId="0" borderId="0" xfId="0" applyNumberFormat="1" applyFont="1" applyBorder="1" applyAlignment="1">
      <alignment horizontal="left" vertical="center"/>
    </xf>
    <xf numFmtId="0" fontId="10" fillId="8" borderId="28" xfId="0" applyFont="1" applyFill="1" applyBorder="1" applyAlignment="1">
      <alignment vertical="center"/>
    </xf>
    <xf numFmtId="49" fontId="10" fillId="8" borderId="28" xfId="0" applyNumberFormat="1" applyFont="1" applyFill="1" applyBorder="1" applyAlignment="1">
      <alignment horizontal="left" vertical="center"/>
    </xf>
    <xf numFmtId="164" fontId="10" fillId="8" borderId="28" xfId="0" applyNumberFormat="1" applyFont="1" applyFill="1" applyBorder="1" applyAlignment="1">
      <alignment vertical="center"/>
    </xf>
    <xf numFmtId="49" fontId="10" fillId="7" borderId="28" xfId="0" applyNumberFormat="1" applyFont="1" applyFill="1" applyBorder="1" applyAlignment="1">
      <alignment horizontal="center" vertical="center"/>
    </xf>
    <xf numFmtId="0" fontId="11" fillId="0" borderId="28" xfId="0" applyNumberFormat="1" applyFont="1" applyBorder="1" applyAlignment="1">
      <alignment horizontal="left" vertical="center"/>
    </xf>
    <xf numFmtId="0" fontId="16" fillId="0" borderId="28" xfId="0" applyFont="1" applyFill="1" applyBorder="1" applyAlignment="1">
      <alignment vertical="center"/>
    </xf>
    <xf numFmtId="49" fontId="16" fillId="0" borderId="28" xfId="0" applyNumberFormat="1" applyFont="1" applyFill="1" applyBorder="1" applyAlignment="1">
      <alignment horizontal="left" vertical="center"/>
    </xf>
    <xf numFmtId="164" fontId="16" fillId="0" borderId="28" xfId="0" applyNumberFormat="1" applyFont="1" applyFill="1" applyBorder="1" applyAlignment="1">
      <alignment vertical="center"/>
    </xf>
    <xf numFmtId="0" fontId="9" fillId="3" borderId="25" xfId="2" applyFill="1" applyBorder="1" applyAlignment="1">
      <alignment horizontal="left"/>
    </xf>
    <xf numFmtId="0" fontId="9" fillId="3" borderId="8" xfId="2" applyFill="1" applyBorder="1" applyAlignment="1">
      <alignment horizontal="left"/>
    </xf>
    <xf numFmtId="0" fontId="9" fillId="3" borderId="9" xfId="2" applyFill="1" applyBorder="1" applyAlignment="1">
      <alignment horizontal="left"/>
    </xf>
    <xf numFmtId="0" fontId="0" fillId="3" borderId="26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27" xfId="0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9" fillId="0" borderId="28" xfId="2" applyBorder="1"/>
  </cellXfs>
  <cellStyles count="4">
    <cellStyle name="Currency 2" xfId="1" xr:uid="{00000000-0005-0000-0000-000000000000}"/>
    <cellStyle name="Hypertextový odkaz" xfId="2" builtinId="8"/>
    <cellStyle name="Normální" xfId="0" builtinId="0"/>
    <cellStyle name="Percent 2" xfId="3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D01F77"/>
      <color rgb="FFF3B039"/>
      <color rgb="FFFF4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</xdr:colOff>
      <xdr:row>26</xdr:row>
      <xdr:rowOff>0</xdr:rowOff>
    </xdr:from>
    <xdr:to>
      <xdr:col>12</xdr:col>
      <xdr:colOff>619091</xdr:colOff>
      <xdr:row>32</xdr:row>
      <xdr:rowOff>104775</xdr:rowOff>
    </xdr:to>
    <xdr:sp macro="" textlink="">
      <xdr:nvSpPr>
        <xdr:cNvPr id="1029" name="TextovéPole 1">
          <a:extLst>
            <a:ext uri="{FF2B5EF4-FFF2-40B4-BE49-F238E27FC236}">
              <a16:creationId xmlns:a16="http://schemas.microsoft.com/office/drawing/2014/main" id="{6F92D8DD-B419-094B-AE87-0027A3DAFD4C}"/>
            </a:ext>
          </a:extLst>
        </xdr:cNvPr>
        <xdr:cNvSpPr txBox="1">
          <a:spLocks noChangeArrowheads="1"/>
        </xdr:cNvSpPr>
      </xdr:nvSpPr>
      <xdr:spPr bwMode="auto">
        <a:xfrm>
          <a:off x="38100" y="5534025"/>
          <a:ext cx="16592550" cy="1247775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cs-CZ" sz="1100" b="1" i="0" u="none" strike="noStrike" baseline="0">
              <a:solidFill>
                <a:srgbClr val="000000"/>
              </a:solidFill>
              <a:latin typeface="Calibri"/>
            </a:rPr>
            <a:t>Upozornění !!!</a:t>
          </a:r>
        </a:p>
        <a:p>
          <a:pPr algn="l" rtl="0">
            <a:lnSpc>
              <a:spcPts val="1200"/>
            </a:lnSpc>
            <a:defRPr sz="1000"/>
          </a:pPr>
          <a:r>
            <a:rPr lang="cs-CZ" sz="1100" b="1" i="0" u="none" strike="noStrike" baseline="0">
              <a:solidFill>
                <a:srgbClr val="000000"/>
              </a:solidFill>
              <a:latin typeface="Calibri"/>
            </a:rPr>
            <a:t>Ke správné funkci tohoto příkladu je nutné mít do MS Office nainstalovaný doplněk GetTurnoverAPI.XLA, který naleznete ve stejném umístění v instalaci jako tento příklad. Pro instalaci použijte správce doplňků v Možnostech aplikace MS Office.</a:t>
          </a:r>
        </a:p>
        <a:p>
          <a:pPr rtl="0">
            <a:lnSpc>
              <a:spcPts val="1200"/>
            </a:lnSpc>
          </a:pPr>
          <a:r>
            <a:rPr lang="cs-CZ" sz="1100" b="1" i="0" baseline="0">
              <a:effectLst/>
              <a:latin typeface="+mn-lt"/>
              <a:ea typeface="+mn-ea"/>
              <a:cs typeface="+mn-cs"/>
            </a:rPr>
            <a:t>Dalším předpokladem pro správnou funkci je běžící ABRA WebAPI. </a:t>
          </a:r>
          <a:endParaRPr lang="cs-CZ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/data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4a49-abc3-4571eda3e01a1d202429da4e6api.abra.eu/cz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2C5A9-CA2E-2A44-A8CD-9BC30EA05613}">
  <sheetPr codeName="Sheet2">
    <pageSetUpPr fitToPage="1"/>
  </sheetPr>
  <dimension ref="B2:H66"/>
  <sheetViews>
    <sheetView showGridLines="0" zoomScale="130" zoomScaleNormal="130" workbookViewId="0">
      <selection activeCell="G11" sqref="G11"/>
    </sheetView>
  </sheetViews>
  <sheetFormatPr defaultColWidth="8.85546875" defaultRowHeight="12.95" customHeight="1" x14ac:dyDescent="0.25"/>
  <cols>
    <col min="1" max="1" width="3" style="34" customWidth="1"/>
    <col min="2" max="2" width="9.140625" style="34" customWidth="1"/>
    <col min="3" max="3" width="8.28515625" style="34" customWidth="1"/>
    <col min="4" max="4" width="21.7109375" style="34" customWidth="1"/>
    <col min="5" max="5" width="53.28515625" style="54" customWidth="1"/>
    <col min="6" max="6" width="3" style="34" customWidth="1"/>
    <col min="7" max="7" width="10" style="34" customWidth="1"/>
    <col min="8" max="16384" width="8.85546875" style="34"/>
  </cols>
  <sheetData>
    <row r="2" spans="2:7" ht="12.95" customHeight="1" x14ac:dyDescent="0.25">
      <c r="B2" s="33" t="s">
        <v>57</v>
      </c>
      <c r="F2" s="35" t="s">
        <v>58</v>
      </c>
      <c r="G2" s="38" t="s">
        <v>107</v>
      </c>
    </row>
    <row r="3" spans="2:7" ht="12.95" customHeight="1" x14ac:dyDescent="0.2">
      <c r="B3" s="33"/>
      <c r="F3" s="35" t="s">
        <v>59</v>
      </c>
      <c r="G3" s="37"/>
    </row>
    <row r="5" spans="2:7" ht="12.95" customHeight="1" x14ac:dyDescent="0.25">
      <c r="G5" s="38">
        <v>2019</v>
      </c>
    </row>
    <row r="6" spans="2:7" ht="12.95" customHeight="1" x14ac:dyDescent="0.25">
      <c r="G6" s="38">
        <v>7</v>
      </c>
    </row>
    <row r="7" spans="2:7" ht="12.95" hidden="1" customHeight="1" x14ac:dyDescent="0.25">
      <c r="G7" s="55">
        <f ca="1">DATE(G5,G6,1)</f>
        <v>43647</v>
      </c>
    </row>
    <row r="8" spans="2:7" ht="12.95" hidden="1" customHeight="1" x14ac:dyDescent="0.25">
      <c r="G8" s="55">
        <f ca="1">EOMONTH(G7,0)</f>
        <v>43677</v>
      </c>
    </row>
    <row r="9" spans="2:7" ht="12.95" customHeight="1" x14ac:dyDescent="0.25">
      <c r="B9" s="39" t="s">
        <v>60</v>
      </c>
      <c r="C9" s="39" t="s">
        <v>61</v>
      </c>
      <c r="D9" s="39" t="s">
        <v>31</v>
      </c>
      <c r="E9" s="49" t="s">
        <v>62</v>
      </c>
      <c r="G9" s="61">
        <f ca="1">G6</f>
        <v>7</v>
      </c>
    </row>
    <row r="10" spans="2:7" ht="12.95" customHeight="1" x14ac:dyDescent="0.25">
      <c r="B10" s="40" t="s">
        <v>103</v>
      </c>
      <c r="C10" s="40" t="s">
        <v>63</v>
      </c>
      <c r="D10" s="40" t="s">
        <v>32</v>
      </c>
      <c r="E10" s="50" t="s">
        <v>64</v>
      </c>
      <c r="G10" s="41">
        <f ca="1">Real(Config!$C$4,Config!$C$5,Config!$C$6,$E10,G$7,G$8,$G$2,$G$3,"","","")</f>
        <v>0</v>
      </c>
    </row>
    <row r="11" spans="2:7" ht="12.95" customHeight="1" x14ac:dyDescent="0.25">
      <c r="B11" s="40"/>
      <c r="C11" s="40" t="s">
        <v>65</v>
      </c>
      <c r="D11" s="40" t="s">
        <v>66</v>
      </c>
      <c r="E11" s="50" t="s">
        <v>67</v>
      </c>
      <c r="G11" s="41">
        <f ca="1">Real(Config!$C$4,Config!$C$5,Config!$C$6,$E11,G$7,G$8,$G$2,$G$3,"","","")</f>
        <v>0</v>
      </c>
    </row>
    <row r="12" spans="2:7" ht="12.95" customHeight="1" x14ac:dyDescent="0.25">
      <c r="B12" s="40"/>
      <c r="C12" s="40" t="s">
        <v>68</v>
      </c>
      <c r="D12" s="40" t="s">
        <v>69</v>
      </c>
      <c r="E12" s="50" t="s">
        <v>70</v>
      </c>
      <c r="G12" s="41">
        <f ca="1">Real(Config!$C$4,Config!$C$5,Config!$C$6,$E12,G$7,G$8,$G$2,$G$3,"","","")</f>
        <v>0</v>
      </c>
    </row>
    <row r="13" spans="2:7" ht="12.95" customHeight="1" x14ac:dyDescent="0.25">
      <c r="B13" s="40"/>
      <c r="C13" s="40" t="s">
        <v>71</v>
      </c>
      <c r="D13" s="40" t="s">
        <v>33</v>
      </c>
      <c r="E13" s="50" t="s">
        <v>72</v>
      </c>
      <c r="G13" s="41">
        <f ca="1">Real(Config!$C$4,Config!$C$5,Config!$C$6,$E13,G$7,G$8,$G$2,$G$3,"","","")</f>
        <v>0</v>
      </c>
    </row>
    <row r="14" spans="2:7" ht="12.95" customHeight="1" x14ac:dyDescent="0.25">
      <c r="B14" s="40"/>
      <c r="C14" s="40" t="s">
        <v>113</v>
      </c>
      <c r="D14" s="40" t="s">
        <v>114</v>
      </c>
      <c r="E14" s="50" t="s">
        <v>118</v>
      </c>
      <c r="G14" s="41">
        <f ca="1">Real(Config!$C$4,Config!$C$5,Config!$C$6,$E14,G$7,G$8,$G$2,$G$3,"","","")</f>
        <v>0</v>
      </c>
    </row>
    <row r="15" spans="2:7" ht="12.95" customHeight="1" x14ac:dyDescent="0.25">
      <c r="B15" s="40"/>
      <c r="C15" s="40" t="s">
        <v>73</v>
      </c>
      <c r="D15" s="40" t="s">
        <v>34</v>
      </c>
      <c r="E15" s="50">
        <v>60258</v>
      </c>
      <c r="G15" s="41">
        <f ca="1">Real(Config!$C$4,Config!$C$5,Config!$C$6,$E15,G$7,G$8,$G$2,$G$3,"","","")</f>
        <v>0</v>
      </c>
    </row>
    <row r="16" spans="2:7" ht="12.95" customHeight="1" x14ac:dyDescent="0.25">
      <c r="B16" s="40" t="s">
        <v>126</v>
      </c>
      <c r="C16" s="40" t="s">
        <v>74</v>
      </c>
      <c r="D16" s="40" t="s">
        <v>35</v>
      </c>
      <c r="E16" s="50" t="s">
        <v>75</v>
      </c>
      <c r="G16" s="41">
        <f ca="1">Real(Config!$C$4,Config!$C$5,Config!$C$6,$E16,G$7,G$8,$G$2,$G$3,"","","")</f>
        <v>0</v>
      </c>
    </row>
    <row r="17" spans="2:7" ht="12.95" customHeight="1" x14ac:dyDescent="0.25">
      <c r="B17" s="40"/>
      <c r="C17" s="40" t="s">
        <v>76</v>
      </c>
      <c r="D17" s="40" t="s">
        <v>36</v>
      </c>
      <c r="E17" s="50">
        <v>60206</v>
      </c>
      <c r="G17" s="41">
        <f ca="1">Real(Config!$C$4,Config!$C$5,Config!$C$6,$E17,G$7,G$8,$G$2,$G$3,"","","")</f>
        <v>0</v>
      </c>
    </row>
    <row r="18" spans="2:7" ht="12.95" customHeight="1" x14ac:dyDescent="0.25">
      <c r="B18" s="40"/>
      <c r="C18" s="40" t="s">
        <v>77</v>
      </c>
      <c r="D18" s="40" t="s">
        <v>37</v>
      </c>
      <c r="E18" s="50" t="s">
        <v>78</v>
      </c>
      <c r="G18" s="41">
        <f ca="1">Real(Config!$C$4,Config!$C$5,Config!$C$6,$E18,G$7,G$8,$G$2,$G$3,"","","")</f>
        <v>0</v>
      </c>
    </row>
    <row r="19" spans="2:7" ht="12.95" customHeight="1" x14ac:dyDescent="0.25">
      <c r="B19" s="40"/>
      <c r="C19" s="40" t="s">
        <v>79</v>
      </c>
      <c r="D19" s="40" t="s">
        <v>115</v>
      </c>
      <c r="E19" s="50" t="s">
        <v>116</v>
      </c>
      <c r="G19" s="41">
        <f ca="1">Real(Config!$C$4,Config!$C$5,Config!$C$6,$E19,G$7,G$8,$G$2,$G$3,"","","")</f>
        <v>0</v>
      </c>
    </row>
    <row r="20" spans="2:7" ht="12.95" customHeight="1" x14ac:dyDescent="0.25">
      <c r="B20" s="40"/>
      <c r="C20" s="40" t="s">
        <v>127</v>
      </c>
      <c r="D20" s="40" t="s">
        <v>80</v>
      </c>
      <c r="E20" s="50">
        <v>60204.602140000003</v>
      </c>
      <c r="G20" s="41">
        <f ca="1">Real(Config!$C$4,Config!$C$5,Config!$C$6,$E20,G$7,G$8,$G$2,$G$3,"","","")</f>
        <v>23450</v>
      </c>
    </row>
    <row r="21" spans="2:7" ht="12.95" customHeight="1" x14ac:dyDescent="0.25">
      <c r="B21" s="40"/>
      <c r="C21" s="40" t="s">
        <v>81</v>
      </c>
      <c r="D21" s="40" t="s">
        <v>38</v>
      </c>
      <c r="E21" s="50">
        <v>60256</v>
      </c>
      <c r="G21" s="41">
        <f ca="1">Real(Config!$C$4,Config!$C$5,Config!$C$6,$E21,G$7,G$8,$G$2,$G$3,"","","")</f>
        <v>0</v>
      </c>
    </row>
    <row r="22" spans="2:7" ht="12.95" customHeight="1" x14ac:dyDescent="0.25">
      <c r="B22" s="40" t="s">
        <v>105</v>
      </c>
      <c r="C22" s="40" t="s">
        <v>82</v>
      </c>
      <c r="D22" s="40" t="s">
        <v>83</v>
      </c>
      <c r="E22" s="50" t="s">
        <v>84</v>
      </c>
      <c r="G22" s="41">
        <f ca="1">Real(Config!$C$4,Config!$C$5,Config!$C$6,$E22,G$7,G$8,$G$2,$G$3,"","","")</f>
        <v>135300</v>
      </c>
    </row>
    <row r="23" spans="2:7" ht="12.95" customHeight="1" x14ac:dyDescent="0.25">
      <c r="B23" s="40"/>
      <c r="C23" s="40" t="s">
        <v>85</v>
      </c>
      <c r="D23" s="40" t="s">
        <v>39</v>
      </c>
      <c r="E23" s="50">
        <v>60252</v>
      </c>
      <c r="G23" s="41">
        <f ca="1">Real(Config!$C$4,Config!$C$5,Config!$C$6,$E23,G$7,G$8,$G$2,$G$3,"","","")</f>
        <v>0</v>
      </c>
    </row>
    <row r="24" spans="2:7" ht="12.95" customHeight="1" x14ac:dyDescent="0.25">
      <c r="B24" s="40"/>
      <c r="C24" s="40" t="s">
        <v>86</v>
      </c>
      <c r="D24" s="40" t="s">
        <v>40</v>
      </c>
      <c r="E24" s="50">
        <v>60235</v>
      </c>
      <c r="G24" s="41">
        <f ca="1">Real(Config!$C$4,Config!$C$5,Config!$C$6,$E24,G$7,G$8,$G$2,$G$3,"","","")</f>
        <v>0</v>
      </c>
    </row>
    <row r="25" spans="2:7" ht="12.95" customHeight="1" x14ac:dyDescent="0.25">
      <c r="B25" s="40"/>
      <c r="C25" s="40" t="s">
        <v>87</v>
      </c>
      <c r="D25" s="40" t="s">
        <v>41</v>
      </c>
      <c r="E25" s="50">
        <v>60251</v>
      </c>
      <c r="G25" s="41">
        <f ca="1">Real(Config!$C$4,Config!$C$5,Config!$C$6,$E25,G$7,G$8,$G$2,$G$3,"","","")</f>
        <v>0</v>
      </c>
    </row>
    <row r="26" spans="2:7" ht="12.95" customHeight="1" x14ac:dyDescent="0.25">
      <c r="B26" s="40"/>
      <c r="C26" s="40" t="s">
        <v>88</v>
      </c>
      <c r="D26" s="40" t="s">
        <v>42</v>
      </c>
      <c r="E26" s="50">
        <v>60233</v>
      </c>
      <c r="G26" s="41">
        <f ca="1">Real(Config!$C$4,Config!$C$5,Config!$C$6,$E26,G$7,G$8,$G$2,$G$3,"","","")</f>
        <v>0</v>
      </c>
    </row>
    <row r="27" spans="2:7" ht="12.95" customHeight="1" x14ac:dyDescent="0.25">
      <c r="B27" s="40"/>
      <c r="C27" s="40" t="s">
        <v>89</v>
      </c>
      <c r="D27" s="40" t="s">
        <v>43</v>
      </c>
      <c r="E27" s="50">
        <v>60265.602659999997</v>
      </c>
      <c r="G27" s="41">
        <f ca="1">Real(Config!$C$4,Config!$C$5,Config!$C$6,$E27,G$7,G$8,$G$2,$G$3,"","","")</f>
        <v>0</v>
      </c>
    </row>
    <row r="28" spans="2:7" ht="12.95" customHeight="1" x14ac:dyDescent="0.25">
      <c r="B28" s="40"/>
      <c r="C28" s="40" t="s">
        <v>90</v>
      </c>
      <c r="D28" s="40" t="s">
        <v>28</v>
      </c>
      <c r="E28" s="50">
        <v>60261</v>
      </c>
      <c r="G28" s="41">
        <f ca="1">Real(Config!$C$4,Config!$C$5,Config!$C$6,$E28,G$7,G$8,$G$2,$G$3,"","","")</f>
        <v>0</v>
      </c>
    </row>
    <row r="29" spans="2:7" ht="12.95" customHeight="1" x14ac:dyDescent="0.25">
      <c r="B29" s="40"/>
      <c r="C29" s="40" t="s">
        <v>91</v>
      </c>
      <c r="D29" s="40" t="s">
        <v>44</v>
      </c>
      <c r="E29" s="50">
        <v>60280</v>
      </c>
      <c r="G29" s="41">
        <f ca="1">Real(Config!$C$4,Config!$C$5,Config!$C$6,$E29,G$7,G$8,$G$2,$G$3,"","","")</f>
        <v>0</v>
      </c>
    </row>
    <row r="30" spans="2:7" ht="12.95" customHeight="1" x14ac:dyDescent="0.25">
      <c r="B30" s="40"/>
      <c r="C30" s="40" t="s">
        <v>92</v>
      </c>
      <c r="D30" s="40" t="s">
        <v>27</v>
      </c>
      <c r="E30" s="50" t="s">
        <v>45</v>
      </c>
      <c r="G30" s="41">
        <f ca="1">Real(Config!$C$4,Config!$C$5,Config!$C$6,$E30,G$7,G$8,$G$2,$G$3,"","","")</f>
        <v>0</v>
      </c>
    </row>
    <row r="31" spans="2:7" ht="12.95" customHeight="1" x14ac:dyDescent="0.25">
      <c r="B31" s="40" t="s">
        <v>106</v>
      </c>
      <c r="C31" s="40" t="s">
        <v>93</v>
      </c>
      <c r="D31" s="40" t="s">
        <v>46</v>
      </c>
      <c r="E31" s="50" t="s">
        <v>94</v>
      </c>
      <c r="G31" s="41">
        <f ca="1">Real(Config!$C$4,Config!$C$5,Config!$C$6,$E31,G$7,G$8,$G$2,$G$3,"","","")</f>
        <v>0</v>
      </c>
    </row>
    <row r="32" spans="2:7" ht="12.95" customHeight="1" x14ac:dyDescent="0.25">
      <c r="B32" s="40"/>
      <c r="C32" s="40" t="s">
        <v>95</v>
      </c>
      <c r="D32" s="40" t="s">
        <v>47</v>
      </c>
      <c r="E32" s="50" t="s">
        <v>96</v>
      </c>
      <c r="G32" s="41">
        <f ca="1">Real(Config!$C$4,Config!$C$5,Config!$C$6,$E32,G$7,G$8,$G$2,$G$3,"","","")</f>
        <v>46308.4</v>
      </c>
    </row>
    <row r="33" spans="2:7" ht="12.95" customHeight="1" x14ac:dyDescent="0.25">
      <c r="B33" s="40"/>
      <c r="C33" s="40" t="s">
        <v>97</v>
      </c>
      <c r="D33" s="40" t="s">
        <v>48</v>
      </c>
      <c r="E33" s="50" t="s">
        <v>98</v>
      </c>
      <c r="G33" s="41">
        <f ca="1">Real(Config!$C$4,Config!$C$5,Config!$C$6,$E33,G$7,G$8,$G$2,$G$3,"","","")</f>
        <v>-9640</v>
      </c>
    </row>
    <row r="34" spans="2:7" ht="12.95" customHeight="1" x14ac:dyDescent="0.25">
      <c r="B34" s="40"/>
      <c r="C34" s="40" t="s">
        <v>99</v>
      </c>
      <c r="D34" s="40" t="s">
        <v>49</v>
      </c>
      <c r="E34" s="50" t="s">
        <v>50</v>
      </c>
      <c r="G34" s="41">
        <f ca="1">Real(Config!$C$4,Config!$C$5,Config!$C$6,$E34,G$7,G$8,$G$2,$G$3,"","","")</f>
        <v>0</v>
      </c>
    </row>
    <row r="35" spans="2:7" ht="12.95" customHeight="1" x14ac:dyDescent="0.25">
      <c r="B35" s="40" t="s">
        <v>125</v>
      </c>
      <c r="C35" s="40" t="s">
        <v>100</v>
      </c>
      <c r="D35" s="40" t="s">
        <v>125</v>
      </c>
      <c r="E35" s="50" t="s">
        <v>51</v>
      </c>
      <c r="G35" s="41">
        <f ca="1">Real(Config!$C$4,Config!$C$5,Config!$C$6,$E35,G$7,G$8,$G$2,$G$3,"","","")</f>
        <v>0</v>
      </c>
    </row>
    <row r="36" spans="2:7" ht="12.95" customHeight="1" x14ac:dyDescent="0.25">
      <c r="B36" s="58" t="s">
        <v>102</v>
      </c>
      <c r="C36" s="58"/>
      <c r="D36" s="58"/>
      <c r="E36" s="59"/>
      <c r="G36" s="60">
        <f ca="1">SUM(G10:G35)</f>
        <v>195418.4</v>
      </c>
    </row>
    <row r="37" spans="2:7" ht="12.95" customHeight="1" x14ac:dyDescent="0.25">
      <c r="B37" s="63" t="s">
        <v>112</v>
      </c>
      <c r="C37" s="63"/>
      <c r="D37" s="63"/>
      <c r="E37" s="64" t="s">
        <v>110</v>
      </c>
      <c r="G37" s="65">
        <f ca="1">Real(Config!$C$4,Config!$C$5,Config!$C$6,$E37,G$7,G$8,$G$2,$G$3,"","","")</f>
        <v>195418.4</v>
      </c>
    </row>
    <row r="38" spans="2:7" ht="12.95" customHeight="1" x14ac:dyDescent="0.25">
      <c r="B38" s="63" t="s">
        <v>111</v>
      </c>
      <c r="C38" s="63"/>
      <c r="D38" s="63"/>
      <c r="E38" s="64"/>
      <c r="G38" s="65">
        <f ca="1">G36-G37</f>
        <v>0</v>
      </c>
    </row>
    <row r="40" spans="2:7" ht="12.95" customHeight="1" x14ac:dyDescent="0.25">
      <c r="D40" s="33" t="s">
        <v>111</v>
      </c>
    </row>
    <row r="41" spans="2:7" ht="12.95" customHeight="1" x14ac:dyDescent="0.25">
      <c r="B41" s="56"/>
      <c r="C41" s="56"/>
      <c r="D41" s="52" t="s">
        <v>124</v>
      </c>
      <c r="E41" s="53" t="s">
        <v>120</v>
      </c>
      <c r="G41" s="41">
        <f ca="1">Real(Config!$C$4,Config!$C$5,Config!$C$6,$E41,G$7,G$8,$G$2,$G$3,"","","")</f>
        <v>0</v>
      </c>
    </row>
    <row r="42" spans="2:7" ht="12.95" customHeight="1" x14ac:dyDescent="0.25">
      <c r="B42" s="56"/>
      <c r="C42" s="56"/>
      <c r="D42" s="52" t="s">
        <v>121</v>
      </c>
      <c r="E42" s="53">
        <v>60270</v>
      </c>
      <c r="G42" s="41">
        <f ca="1">Real(Config!$C$4,Config!$C$5,Config!$C$6,$E42,G$7,G$8,$G$2,$G$3,"","","")</f>
        <v>0</v>
      </c>
    </row>
    <row r="43" spans="2:7" ht="12.95" customHeight="1" x14ac:dyDescent="0.25">
      <c r="B43" s="56"/>
      <c r="C43" s="56"/>
      <c r="D43" s="52" t="s">
        <v>122</v>
      </c>
      <c r="E43" s="52" t="s">
        <v>117</v>
      </c>
      <c r="G43" s="41">
        <f ca="1">Real(Config!$C$4,Config!$C$5,Config!$C$6,$E43,G$7,G$8,$G$2,$G$3,"","","")</f>
        <v>0</v>
      </c>
    </row>
    <row r="44" spans="2:7" ht="12.95" customHeight="1" x14ac:dyDescent="0.25">
      <c r="B44" s="56"/>
      <c r="C44" s="56"/>
      <c r="D44" s="52" t="s">
        <v>123</v>
      </c>
      <c r="E44" s="52" t="s">
        <v>119</v>
      </c>
      <c r="G44" s="41">
        <f ca="1">Real(Config!$C$4,Config!$C$5,Config!$C$6,$E44,G$7,G$8,$G$2,$G$3,"","","")</f>
        <v>0</v>
      </c>
    </row>
    <row r="45" spans="2:7" ht="12.95" customHeight="1" x14ac:dyDescent="0.25">
      <c r="B45" s="56"/>
      <c r="C45" s="56"/>
      <c r="D45" s="56"/>
      <c r="E45" s="57"/>
      <c r="G45" s="48"/>
    </row>
    <row r="46" spans="2:7" ht="12.95" customHeight="1" x14ac:dyDescent="0.25">
      <c r="B46" s="56"/>
      <c r="C46" s="56"/>
      <c r="D46" s="33" t="s">
        <v>128</v>
      </c>
    </row>
    <row r="47" spans="2:7" s="51" customFormat="1" ht="12.95" customHeight="1" x14ac:dyDescent="0.25">
      <c r="B47" s="56"/>
      <c r="C47" s="56"/>
      <c r="D47" s="52" t="s">
        <v>102</v>
      </c>
      <c r="E47" s="62" t="str">
        <f ca="1">_xlfn.TEXTJOIN(",",TRUE,E10:E35)</f>
        <v>60211,60212,60213,60215,60217,60218,60219,60220,60241,60257,60221,60216,60222,60285,60260,60490,-50590,60258,60201,60202,60203,60205,60207,60208,60209,60210,60255,60206,60259,60254,60204,60214,60256,60234,60236,60237,60272,60273,60274,60275,60276,60277,60278,60279,-90277,60252,60235,60251,60233,60265,60266,60261,60280,60267,60281,60420,60430,60450,60460,-50420,-50430,-50450,-50460,60238,60440,-50440,60282,60283,-90282,60284,60271</v>
      </c>
      <c r="G47" s="41">
        <f ca="1">Real(Config!$C$4,Config!$C$5,Config!$C$6,$E47,G$7,G$8,$G$2,$G$3,"","","")</f>
        <v>195418.4</v>
      </c>
    </row>
    <row r="48" spans="2:7" s="51" customFormat="1" ht="12.95" customHeight="1" x14ac:dyDescent="0.25">
      <c r="B48" s="56"/>
      <c r="C48" s="56"/>
      <c r="D48" s="52" t="s">
        <v>103</v>
      </c>
      <c r="E48" s="62" t="str">
        <f ca="1">_xlfn.TEXTJOIN(",",TRUE,E10:E15)</f>
        <v>60211,60212,60213,60215,60217,60218,60219,60220,60241,60257,60221,60216,60222,60285,60260,60490,-50590,60258</v>
      </c>
      <c r="G48" s="41">
        <f ca="1">Real(Config!$C$4,Config!$C$5,Config!$C$6,$E48,G$7,G$8,$G$2,$G$3,"","","")</f>
        <v>0</v>
      </c>
    </row>
    <row r="49" spans="2:8" s="51" customFormat="1" ht="12.95" customHeight="1" x14ac:dyDescent="0.25">
      <c r="B49" s="56"/>
      <c r="C49" s="56"/>
      <c r="D49" s="52" t="s">
        <v>104</v>
      </c>
      <c r="E49" s="62" t="str">
        <f ca="1">_xlfn.TEXTJOIN(",",TRUE,E16:E21)</f>
        <v>60201,60202,60203,60205,60207,60208,60209,60210,60255,60206,60259,60254,60204,60214,60256</v>
      </c>
      <c r="G49" s="41">
        <f ca="1">Real(Config!$C$4,Config!$C$5,Config!$C$6,$E49,G$7,G$8,$G$2,$G$3,"","","")</f>
        <v>23450</v>
      </c>
    </row>
    <row r="50" spans="2:8" s="51" customFormat="1" ht="12.95" customHeight="1" x14ac:dyDescent="0.25">
      <c r="B50" s="56"/>
      <c r="C50" s="56"/>
      <c r="D50" s="52" t="s">
        <v>105</v>
      </c>
      <c r="E50" s="62" t="str">
        <f ca="1">_xlfn.TEXTJOIN(",",TRUE,E22:E30)</f>
        <v>60234,60236,60237,60272,60273,60274,60275,60276,60277,60278,60279,-90277,60252,60235,60251,60233,60265,60266,60261,60280,60267</v>
      </c>
      <c r="G50" s="41">
        <f ca="1">Real(Config!$C$4,Config!$C$5,Config!$C$6,$E50,G$7,G$8,$G$2,$G$3,"","","")</f>
        <v>135300</v>
      </c>
    </row>
    <row r="51" spans="2:8" s="51" customFormat="1" ht="12.95" customHeight="1" x14ac:dyDescent="0.25">
      <c r="B51" s="56"/>
      <c r="C51" s="56"/>
      <c r="D51" s="52" t="s">
        <v>106</v>
      </c>
      <c r="E51" s="62" t="str">
        <f ca="1">_xlfn.TEXTJOIN(",",TRUE,E31:E34)</f>
        <v>60281,60420,60430,60450,60460,-50420,-50430,-50450,-50460,60238,60440,-50440,60282,60283,-90282,60284</v>
      </c>
      <c r="G51" s="41">
        <f ca="1">Real(Config!$C$4,Config!$C$5,Config!$C$6,$E51,G$7,G$8,$G$2,$G$3,"","","")</f>
        <v>36668.400000000001</v>
      </c>
    </row>
    <row r="52" spans="2:8" s="51" customFormat="1" ht="12.95" customHeight="1" x14ac:dyDescent="0.25">
      <c r="B52" s="56"/>
      <c r="C52" s="56"/>
      <c r="D52" s="52" t="s">
        <v>56</v>
      </c>
      <c r="E52" s="62" t="str">
        <f ca="1">_xlfn.TEXTJOIN(",",TRUE,E35)</f>
        <v>60271</v>
      </c>
      <c r="G52" s="41">
        <f ca="1">Real(Config!$C$4,Config!$C$5,Config!$C$6,$E52,G$7,G$8,$G$2,$G$3,"","","")</f>
        <v>0</v>
      </c>
    </row>
    <row r="53" spans="2:8" ht="12.95" customHeight="1" x14ac:dyDescent="0.25">
      <c r="D53" s="63" t="s">
        <v>112</v>
      </c>
      <c r="E53" s="62"/>
      <c r="G53" s="65">
        <f ca="1">SUM(G48:G52)</f>
        <v>195418.4</v>
      </c>
    </row>
    <row r="54" spans="2:8" ht="12.95" customHeight="1" x14ac:dyDescent="0.25">
      <c r="D54" s="63" t="s">
        <v>111</v>
      </c>
      <c r="E54" s="62"/>
      <c r="G54" s="65">
        <f ca="1">G53-G37</f>
        <v>0</v>
      </c>
    </row>
    <row r="56" spans="2:8" ht="12.95" customHeight="1" x14ac:dyDescent="0.25">
      <c r="D56" s="33" t="s">
        <v>129</v>
      </c>
    </row>
    <row r="57" spans="2:8" ht="12.95" customHeight="1" x14ac:dyDescent="0.25">
      <c r="D57" s="40" t="s">
        <v>101</v>
      </c>
      <c r="E57" s="50" t="s">
        <v>53</v>
      </c>
      <c r="G57" s="41">
        <f ca="1">Real(Config!$C$4,Config!$C$5,Config!$C$6,$E57,G$7,G$8,$G$2,$G$3,"","","")</f>
        <v>28700</v>
      </c>
    </row>
    <row r="58" spans="2:8" ht="12.95" customHeight="1" x14ac:dyDescent="0.25">
      <c r="D58" s="40" t="s">
        <v>108</v>
      </c>
      <c r="E58" s="50" t="s">
        <v>109</v>
      </c>
      <c r="G58" s="41">
        <f ca="1">Real(Config!$C$4,Config!$C$5,Config!$C$6,$E58,G$7,G$8,$G$2,$G$3,"","","")</f>
        <v>91000</v>
      </c>
    </row>
    <row r="60" spans="2:8" ht="12.95" customHeight="1" x14ac:dyDescent="0.25">
      <c r="D60" s="33" t="s">
        <v>133</v>
      </c>
    </row>
    <row r="61" spans="2:8" ht="12.95" customHeight="1" x14ac:dyDescent="0.25">
      <c r="D61" s="40" t="s">
        <v>131</v>
      </c>
      <c r="E61" s="64" t="s">
        <v>130</v>
      </c>
      <c r="F61" s="36"/>
      <c r="G61" s="65">
        <f ca="1">Real(Config!$C$4,Config!$C$5,Config!$C$6,$E61,G$7,G$8,$G$2,$G$3,"","","")</f>
        <v>210761.60000000001</v>
      </c>
      <c r="H61" s="36"/>
    </row>
    <row r="62" spans="2:8" ht="12.95" customHeight="1" x14ac:dyDescent="0.25">
      <c r="D62" s="40" t="s">
        <v>132</v>
      </c>
      <c r="E62" s="64" t="s">
        <v>134</v>
      </c>
      <c r="G62" s="65">
        <f ca="1">Real(Config!$C$4,Config!$C$5,Config!$C$6,$E62,G$7,G$8,$G$2,$G$3,"","","")</f>
        <v>9640</v>
      </c>
    </row>
    <row r="64" spans="2:8" ht="12.95" customHeight="1" x14ac:dyDescent="0.25">
      <c r="D64" s="33" t="s">
        <v>135</v>
      </c>
    </row>
    <row r="65" spans="4:7" ht="12.95" customHeight="1" x14ac:dyDescent="0.25">
      <c r="D65" s="40" t="s">
        <v>136</v>
      </c>
      <c r="E65" s="64" t="s">
        <v>138</v>
      </c>
      <c r="G65" s="65">
        <f ca="1">Real(Config!$C$4,Config!$C$5,Config!$C$6,$E65,G$7,G$8,$G$2,$G$3,"","","")</f>
        <v>9640</v>
      </c>
    </row>
    <row r="66" spans="4:7" ht="12.95" customHeight="1" x14ac:dyDescent="0.25">
      <c r="D66" s="40" t="s">
        <v>137</v>
      </c>
      <c r="E66" s="64"/>
      <c r="G66" s="65">
        <f ca="1">Real(Config!$C$4,Config!$C$5,Config!$C$6,$E66,G$7,G$8,$G$2,$G$3,"","","")</f>
        <v>0</v>
      </c>
    </row>
  </sheetData>
  <conditionalFormatting sqref="G38">
    <cfRule type="cellIs" dxfId="1" priority="2" operator="lessThan">
      <formula>0</formula>
    </cfRule>
  </conditionalFormatting>
  <conditionalFormatting sqref="G54">
    <cfRule type="cellIs" dxfId="0" priority="1" operator="lessThan">
      <formula>0</formula>
    </cfRule>
  </conditionalFormatting>
  <pageMargins left="0.7" right="0.7" top="0.75" bottom="0.75" header="0.3" footer="0.3"/>
  <pageSetup paperSize="9" scale="67" fitToHeight="0" orientation="landscape"/>
  <ignoredErrors>
    <ignoredError sqref="E11:E35 E41 E43:E44 G2 E6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EC7A9-356E-D741-925A-29F47F3A0933}">
  <sheetPr codeName="Sheet4">
    <pageSetUpPr fitToPage="1"/>
  </sheetPr>
  <dimension ref="B2:G33"/>
  <sheetViews>
    <sheetView showGridLines="0" tabSelected="1" topLeftCell="D1" zoomScale="130" zoomScaleNormal="130" workbookViewId="0">
      <selection activeCell="G11" sqref="G11"/>
    </sheetView>
  </sheetViews>
  <sheetFormatPr defaultColWidth="8.85546875" defaultRowHeight="12.95" customHeight="1" x14ac:dyDescent="0.25"/>
  <cols>
    <col min="1" max="1" width="3" style="34" customWidth="1"/>
    <col min="2" max="2" width="9.140625" style="34" customWidth="1"/>
    <col min="3" max="3" width="8.28515625" style="34" customWidth="1"/>
    <col min="4" max="4" width="21.7109375" style="34" customWidth="1"/>
    <col min="5" max="5" width="53.28515625" style="54" customWidth="1"/>
    <col min="6" max="6" width="3" style="34" customWidth="1"/>
    <col min="7" max="7" width="10" style="34" customWidth="1"/>
    <col min="8" max="16384" width="8.85546875" style="34"/>
  </cols>
  <sheetData>
    <row r="2" spans="2:7" ht="12.95" customHeight="1" x14ac:dyDescent="0.25">
      <c r="B2" s="33" t="s">
        <v>168</v>
      </c>
      <c r="E2" s="35"/>
      <c r="F2" s="35" t="s">
        <v>58</v>
      </c>
      <c r="G2" s="38" t="s">
        <v>107</v>
      </c>
    </row>
    <row r="3" spans="2:7" ht="12.95" customHeight="1" x14ac:dyDescent="0.2">
      <c r="B3" s="33"/>
      <c r="E3" s="35"/>
      <c r="F3" s="35" t="s">
        <v>59</v>
      </c>
      <c r="G3" s="37"/>
    </row>
    <row r="5" spans="2:7" ht="12.95" customHeight="1" x14ac:dyDescent="0.25">
      <c r="G5" s="38">
        <v>2019</v>
      </c>
    </row>
    <row r="6" spans="2:7" ht="12.95" customHeight="1" x14ac:dyDescent="0.25">
      <c r="G6" s="38">
        <v>7</v>
      </c>
    </row>
    <row r="7" spans="2:7" ht="12.95" customHeight="1" x14ac:dyDescent="0.25">
      <c r="G7" s="55">
        <v>33970</v>
      </c>
    </row>
    <row r="8" spans="2:7" ht="12.95" customHeight="1" x14ac:dyDescent="0.25">
      <c r="G8" s="55">
        <v>43466</v>
      </c>
    </row>
    <row r="9" spans="2:7" ht="12.95" customHeight="1" x14ac:dyDescent="0.25">
      <c r="B9" s="39" t="s">
        <v>60</v>
      </c>
      <c r="C9" s="39" t="s">
        <v>61</v>
      </c>
      <c r="D9" s="39" t="s">
        <v>31</v>
      </c>
      <c r="E9" s="49" t="s">
        <v>62</v>
      </c>
      <c r="G9" s="61">
        <f ca="1">G6</f>
        <v>7</v>
      </c>
    </row>
    <row r="10" spans="2:7" ht="12.95" customHeight="1" x14ac:dyDescent="0.25">
      <c r="B10" s="40"/>
      <c r="C10" s="40" t="s">
        <v>176</v>
      </c>
      <c r="D10" s="40" t="s">
        <v>142</v>
      </c>
      <c r="E10" s="50" t="s">
        <v>197</v>
      </c>
      <c r="G10" s="41">
        <f ca="1">Real(Config!$C$4,Config!$C$5,Config!$C$6,$E10,G$7,G$8)</f>
        <v>604618626.48000002</v>
      </c>
    </row>
    <row r="11" spans="2:7" ht="12.95" customHeight="1" x14ac:dyDescent="0.25">
      <c r="B11" s="40"/>
      <c r="C11" s="40" t="s">
        <v>177</v>
      </c>
      <c r="D11" s="40" t="s">
        <v>143</v>
      </c>
      <c r="E11" s="50" t="s">
        <v>144</v>
      </c>
      <c r="G11" s="41">
        <f ca="1">Real(Config!$C$4,Config!$C$5,Config!$C$6,$E11,G$7,G$8,$G$2,$G$3,"","","")</f>
        <v>1186.75</v>
      </c>
    </row>
    <row r="12" spans="2:7" ht="12.95" customHeight="1" x14ac:dyDescent="0.25">
      <c r="B12" s="40"/>
      <c r="C12" s="40" t="s">
        <v>151</v>
      </c>
      <c r="D12" s="40" t="s">
        <v>151</v>
      </c>
      <c r="E12" s="50" t="s">
        <v>160</v>
      </c>
      <c r="G12" s="41">
        <f ca="1">Real(Config!$C$4,Config!$C$5,Config!$C$6,$E12,G$7,G$8,$G$2,$G$3,"","","")</f>
        <v>0</v>
      </c>
    </row>
    <row r="13" spans="2:7" ht="12.95" customHeight="1" x14ac:dyDescent="0.25">
      <c r="B13" s="40"/>
      <c r="C13" s="40" t="s">
        <v>178</v>
      </c>
      <c r="D13" s="40" t="s">
        <v>152</v>
      </c>
      <c r="E13" s="50" t="s">
        <v>162</v>
      </c>
      <c r="G13" s="41">
        <f ca="1">Real(Config!$C$4,Config!$C$5,Config!$C$6,$E13,G$7,G$8,$G$2,$G$3,"","","")</f>
        <v>4011.15</v>
      </c>
    </row>
    <row r="14" spans="2:7" ht="12.95" customHeight="1" x14ac:dyDescent="0.25">
      <c r="B14" s="40"/>
      <c r="C14" s="40" t="s">
        <v>179</v>
      </c>
      <c r="D14" s="40" t="s">
        <v>27</v>
      </c>
      <c r="E14" s="50" t="s">
        <v>153</v>
      </c>
      <c r="G14" s="41">
        <f ca="1">Real(Config!$C$4,Config!$C$5,Config!$C$6,$E14,G$7,G$8,$G$2,$G$3,"","","")</f>
        <v>0</v>
      </c>
    </row>
    <row r="15" spans="2:7" ht="12.95" customHeight="1" x14ac:dyDescent="0.25">
      <c r="B15" s="40"/>
      <c r="C15" s="40" t="s">
        <v>180</v>
      </c>
      <c r="D15" s="40" t="s">
        <v>145</v>
      </c>
      <c r="E15" s="50" t="s">
        <v>167</v>
      </c>
      <c r="G15" s="41">
        <f ca="1">Real(Config!$C$4,Config!$C$5,Config!$C$6,$E15,G$7,G$8,$G$2,$G$3,"","","")</f>
        <v>0</v>
      </c>
    </row>
    <row r="16" spans="2:7" ht="12.95" customHeight="1" x14ac:dyDescent="0.25">
      <c r="B16" s="40"/>
      <c r="C16" s="40" t="s">
        <v>181</v>
      </c>
      <c r="D16" s="40" t="s">
        <v>146</v>
      </c>
      <c r="E16" s="50" t="s">
        <v>161</v>
      </c>
      <c r="G16" s="41">
        <f ca="1">Real(Config!$C$4,Config!$C$5,Config!$C$6,$E16,G$7,G$8,$G$2,$G$3,"","","")</f>
        <v>0</v>
      </c>
    </row>
    <row r="17" spans="2:7" ht="12.95" customHeight="1" x14ac:dyDescent="0.25">
      <c r="B17" s="40"/>
      <c r="C17" s="40" t="s">
        <v>183</v>
      </c>
      <c r="D17" s="40" t="s">
        <v>147</v>
      </c>
      <c r="E17" s="50" t="s">
        <v>169</v>
      </c>
      <c r="G17" s="41">
        <f ca="1">Real(Config!$C$4,Config!$C$5,Config!$C$6,$E17,G$7,G$8,$G$2,$G$3,"","","")</f>
        <v>1210.6199999999999</v>
      </c>
    </row>
    <row r="18" spans="2:7" ht="12.95" customHeight="1" x14ac:dyDescent="0.25">
      <c r="B18" s="40"/>
      <c r="C18" s="40" t="s">
        <v>182</v>
      </c>
      <c r="D18" s="40" t="s">
        <v>148</v>
      </c>
      <c r="E18" s="50" t="s">
        <v>149</v>
      </c>
      <c r="G18" s="41">
        <f ca="1">Real(Config!$C$4,Config!$C$5,Config!$C$6,$E18,G$7,G$8,$G$2,$G$3,"","","")</f>
        <v>0</v>
      </c>
    </row>
    <row r="19" spans="2:7" ht="12.95" customHeight="1" x14ac:dyDescent="0.25">
      <c r="B19" s="40"/>
      <c r="C19" s="40" t="s">
        <v>184</v>
      </c>
      <c r="D19" s="40" t="s">
        <v>150</v>
      </c>
      <c r="E19" s="50" t="s">
        <v>170</v>
      </c>
      <c r="G19" s="41">
        <f ca="1">Real(Config!$C$4,Config!$C$5,Config!$C$6,$E19,G$7,G$8,$G$2,$G$3,"","","")</f>
        <v>0</v>
      </c>
    </row>
    <row r="20" spans="2:7" ht="12.95" customHeight="1" x14ac:dyDescent="0.25">
      <c r="B20" s="40"/>
      <c r="C20" s="40" t="s">
        <v>185</v>
      </c>
      <c r="D20" s="40" t="s">
        <v>154</v>
      </c>
      <c r="E20" s="50" t="s">
        <v>155</v>
      </c>
      <c r="G20" s="41">
        <f ca="1">Real(Config!$C$4,Config!$C$5,Config!$C$6,$E20,G$7,G$8,$G$2,$G$3,"","","")</f>
        <v>0</v>
      </c>
    </row>
    <row r="21" spans="2:7" ht="12.95" customHeight="1" x14ac:dyDescent="0.25">
      <c r="B21" s="40"/>
      <c r="C21" s="40" t="s">
        <v>186</v>
      </c>
      <c r="D21" s="40" t="s">
        <v>141</v>
      </c>
      <c r="E21" s="50" t="s">
        <v>171</v>
      </c>
      <c r="G21" s="41">
        <f ca="1">Real(Config!$C$4,Config!$C$5,Config!$C$6,$E21,G$7,G$8,$G$2,$G$3,"","","")</f>
        <v>0</v>
      </c>
    </row>
    <row r="22" spans="2:7" ht="12.95" customHeight="1" x14ac:dyDescent="0.25">
      <c r="B22" s="40"/>
      <c r="C22" s="40" t="s">
        <v>187</v>
      </c>
      <c r="D22" s="40" t="s">
        <v>156</v>
      </c>
      <c r="E22" s="50" t="s">
        <v>172</v>
      </c>
      <c r="G22" s="41">
        <f ca="1">Real(Config!$C$4,Config!$C$5,Config!$C$6,$E22,G$7,G$8,$G$2,$G$3,"","","")</f>
        <v>0</v>
      </c>
    </row>
    <row r="23" spans="2:7" ht="12.95" customHeight="1" x14ac:dyDescent="0.25">
      <c r="B23" s="40"/>
      <c r="C23" s="40" t="s">
        <v>188</v>
      </c>
      <c r="D23" s="40" t="s">
        <v>158</v>
      </c>
      <c r="E23" s="50" t="s">
        <v>173</v>
      </c>
      <c r="G23" s="41">
        <f ca="1">Real(Config!$C$4,Config!$C$5,Config!$C$6,$E23,G$7,G$8,$G$2,$G$3,"","","")</f>
        <v>20962.54</v>
      </c>
    </row>
    <row r="24" spans="2:7" ht="12.95" customHeight="1" x14ac:dyDescent="0.25">
      <c r="B24" s="40"/>
      <c r="C24" s="40" t="s">
        <v>189</v>
      </c>
      <c r="D24" s="40" t="s">
        <v>157</v>
      </c>
      <c r="E24" s="50" t="s">
        <v>174</v>
      </c>
      <c r="G24" s="41">
        <f ca="1">Real(Config!$C$4,Config!$C$5,Config!$C$6,$E24,G$7,G$8,$G$2,$G$3,"","","")</f>
        <v>0</v>
      </c>
    </row>
    <row r="25" spans="2:7" ht="12.95" customHeight="1" x14ac:dyDescent="0.25">
      <c r="B25" s="40"/>
      <c r="C25" s="40" t="s">
        <v>190</v>
      </c>
      <c r="D25" s="40" t="s">
        <v>139</v>
      </c>
      <c r="E25" s="50" t="s">
        <v>140</v>
      </c>
      <c r="G25" s="41">
        <f ca="1">Real(Config!$C$4,Config!$C$5,Config!$C$6,$E25,G$7,G$8,$G$2,$G$3,"","","")</f>
        <v>56766.720000000001</v>
      </c>
    </row>
    <row r="26" spans="2:7" ht="12.95" customHeight="1" x14ac:dyDescent="0.25">
      <c r="B26" s="40"/>
      <c r="C26" s="40" t="s">
        <v>191</v>
      </c>
      <c r="D26" s="40" t="s">
        <v>159</v>
      </c>
      <c r="E26" s="50" t="s">
        <v>175</v>
      </c>
      <c r="G26" s="41">
        <f ca="1">Real(Config!$C$4,Config!$C$5,Config!$C$6,$E26,G$7,G$8,$G$2,$G$3,"","","")</f>
        <v>0</v>
      </c>
    </row>
    <row r="27" spans="2:7" ht="12.95" customHeight="1" x14ac:dyDescent="0.25">
      <c r="B27" s="40"/>
      <c r="C27" s="40" t="s">
        <v>192</v>
      </c>
      <c r="D27" s="40" t="s">
        <v>163</v>
      </c>
      <c r="E27" s="50" t="s">
        <v>164</v>
      </c>
      <c r="G27" s="41">
        <f ca="1">Real(Config!$C$4,Config!$C$5,Config!$C$6,$E27,G$7,G$8,$G$2,$G$3,"","","")</f>
        <v>0</v>
      </c>
    </row>
    <row r="28" spans="2:7" ht="12.95" customHeight="1" x14ac:dyDescent="0.25">
      <c r="B28" s="40"/>
      <c r="C28" s="40" t="s">
        <v>193</v>
      </c>
      <c r="D28" s="40" t="s">
        <v>165</v>
      </c>
      <c r="E28" s="50" t="s">
        <v>166</v>
      </c>
      <c r="G28" s="41">
        <f ca="1">Real(Config!$C$4,Config!$C$5,Config!$C$6,$E28,G$7,G$8,$G$2,$G$3,"","","")</f>
        <v>0</v>
      </c>
    </row>
    <row r="29" spans="2:7" ht="12.95" customHeight="1" x14ac:dyDescent="0.25">
      <c r="B29" s="58" t="s">
        <v>168</v>
      </c>
      <c r="C29" s="58"/>
      <c r="D29" s="58"/>
      <c r="E29" s="59"/>
      <c r="G29" s="60">
        <f ca="1">SUM(G10:G28)</f>
        <v>89646.15</v>
      </c>
    </row>
    <row r="31" spans="2:7" ht="12.95" customHeight="1" x14ac:dyDescent="0.25">
      <c r="D31" s="33" t="s">
        <v>135</v>
      </c>
    </row>
    <row r="32" spans="2:7" ht="12.95" customHeight="1" x14ac:dyDescent="0.25">
      <c r="D32" s="40" t="s">
        <v>136</v>
      </c>
      <c r="E32" s="64" t="s">
        <v>138</v>
      </c>
      <c r="G32" s="65">
        <f ca="1">Real(Config!$C$4,Config!$C$5,Config!$C$6,$E32,G$7,G$8,$G$2,$G$3,"","","")</f>
        <v>9640</v>
      </c>
    </row>
    <row r="33" spans="4:7" ht="12.95" customHeight="1" x14ac:dyDescent="0.25">
      <c r="D33" s="40" t="s">
        <v>137</v>
      </c>
      <c r="E33" s="64"/>
      <c r="G33" s="65">
        <f ca="1">Real(Config!$C$4,Config!$C$5,Config!$C$6,$E33,G$7,G$8,$G$2,$G$3,"","","")</f>
        <v>0</v>
      </c>
    </row>
  </sheetData>
  <pageMargins left="0.7" right="0.7" top="0.75" bottom="0.75" header="0.3" footer="0.3"/>
  <pageSetup paperSize="9" scale="67" fitToHeight="0" orientation="landscape"/>
  <ignoredErrors>
    <ignoredError sqref="E32 E12:E13 E18 E15:E16 E20 E24 E27 G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3">
    <pageSetUpPr fitToPage="1"/>
  </sheetPr>
  <dimension ref="B2:C6"/>
  <sheetViews>
    <sheetView showGridLines="0" workbookViewId="0">
      <selection activeCell="C10" sqref="C10"/>
    </sheetView>
  </sheetViews>
  <sheetFormatPr defaultColWidth="11.42578125" defaultRowHeight="12.75" customHeight="1" x14ac:dyDescent="0.2"/>
  <cols>
    <col min="1" max="1" width="2.85546875" style="44" customWidth="1"/>
    <col min="2" max="2" width="11.42578125" style="44"/>
    <col min="3" max="3" width="62.85546875" style="44" customWidth="1"/>
    <col min="4" max="16384" width="11.42578125" style="44"/>
  </cols>
  <sheetData>
    <row r="2" spans="2:3" s="43" customFormat="1" ht="12.75" customHeight="1" x14ac:dyDescent="0.2">
      <c r="B2" s="42" t="s">
        <v>26</v>
      </c>
    </row>
    <row r="3" spans="2:3" s="43" customFormat="1" ht="12.75" customHeight="1" x14ac:dyDescent="0.2">
      <c r="B3" s="42"/>
    </row>
    <row r="4" spans="2:3" ht="12.75" customHeight="1" x14ac:dyDescent="0.25">
      <c r="B4" s="47" t="s">
        <v>23</v>
      </c>
      <c r="C4" s="75" t="s">
        <v>194</v>
      </c>
    </row>
    <row r="5" spans="2:3" ht="12.75" customHeight="1" x14ac:dyDescent="0.2">
      <c r="B5" s="47" t="s">
        <v>24</v>
      </c>
      <c r="C5" s="45" t="s">
        <v>195</v>
      </c>
    </row>
    <row r="6" spans="2:3" ht="12.75" customHeight="1" x14ac:dyDescent="0.2">
      <c r="B6" s="47" t="s">
        <v>25</v>
      </c>
      <c r="C6" s="46" t="s">
        <v>196</v>
      </c>
    </row>
  </sheetData>
  <hyperlinks>
    <hyperlink ref="C4" r:id="rId1" xr:uid="{00000000-0004-0000-0C00-000000000000}"/>
  </hyperlinks>
  <pageMargins left="0.7" right="0.7" top="0.75" bottom="0.75" header="0.3" footer="0.3"/>
  <pageSetup paperSize="9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List1">
    <pageSetUpPr fitToPage="1"/>
  </sheetPr>
  <dimension ref="A1:M26"/>
  <sheetViews>
    <sheetView workbookViewId="0">
      <selection activeCell="H41" sqref="H41"/>
    </sheetView>
  </sheetViews>
  <sheetFormatPr defaultColWidth="8.85546875" defaultRowHeight="15" x14ac:dyDescent="0.25"/>
  <cols>
    <col min="1" max="1" width="8.42578125" customWidth="1"/>
    <col min="2" max="2" width="18.85546875" customWidth="1"/>
    <col min="3" max="3" width="38.28515625" customWidth="1"/>
    <col min="4" max="4" width="21.42578125" customWidth="1"/>
    <col min="5" max="5" width="12.85546875" customWidth="1"/>
    <col min="6" max="8" width="21.42578125" customWidth="1"/>
    <col min="9" max="9" width="12.85546875" customWidth="1"/>
    <col min="10" max="12" width="21.42578125" customWidth="1"/>
    <col min="13" max="13" width="8.42578125" customWidth="1"/>
  </cols>
  <sheetData>
    <row r="1" spans="1:13" ht="15.75" thickTop="1" x14ac:dyDescent="0.25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10"/>
    </row>
    <row r="2" spans="1:13" ht="21.75" thickBot="1" x14ac:dyDescent="0.4">
      <c r="A2" s="11"/>
      <c r="B2" s="15" t="s">
        <v>18</v>
      </c>
      <c r="C2" s="12"/>
      <c r="D2" s="12"/>
      <c r="E2" s="12"/>
      <c r="F2" s="15" t="s">
        <v>19</v>
      </c>
      <c r="G2" s="12"/>
      <c r="H2" s="12"/>
      <c r="I2" s="12"/>
      <c r="J2" s="15" t="s">
        <v>21</v>
      </c>
      <c r="K2" s="12"/>
      <c r="L2" s="12"/>
      <c r="M2" s="13"/>
    </row>
    <row r="3" spans="1:13" ht="17.100000000000001" customHeight="1" thickTop="1" x14ac:dyDescent="0.3">
      <c r="A3" s="11"/>
      <c r="B3" s="5" t="s">
        <v>5</v>
      </c>
      <c r="C3" s="6" t="s">
        <v>7</v>
      </c>
      <c r="D3" s="7" t="s">
        <v>14</v>
      </c>
      <c r="E3" s="20"/>
      <c r="F3" s="5" t="s">
        <v>5</v>
      </c>
      <c r="G3" s="6" t="s">
        <v>7</v>
      </c>
      <c r="H3" s="7" t="s">
        <v>14</v>
      </c>
      <c r="I3" s="11"/>
      <c r="J3" s="5" t="s">
        <v>5</v>
      </c>
      <c r="K3" s="6" t="s">
        <v>7</v>
      </c>
      <c r="L3" s="7" t="s">
        <v>14</v>
      </c>
      <c r="M3" s="13"/>
    </row>
    <row r="4" spans="1:13" ht="17.100000000000001" customHeight="1" thickBot="1" x14ac:dyDescent="0.35">
      <c r="A4" s="11"/>
      <c r="B4" s="23" t="s">
        <v>0</v>
      </c>
      <c r="C4" s="19" t="s">
        <v>54</v>
      </c>
      <c r="D4" s="4" t="s">
        <v>11</v>
      </c>
      <c r="E4" s="20"/>
      <c r="F4" s="23" t="s">
        <v>0</v>
      </c>
      <c r="G4" s="19" t="s">
        <v>52</v>
      </c>
      <c r="H4" s="21" t="s">
        <v>16</v>
      </c>
      <c r="I4" s="11"/>
      <c r="J4" s="23" t="s">
        <v>0</v>
      </c>
      <c r="K4" s="19" t="s">
        <v>54</v>
      </c>
      <c r="L4" s="21" t="s">
        <v>16</v>
      </c>
      <c r="M4" s="13"/>
    </row>
    <row r="5" spans="1:13" ht="16.5" thickTop="1" thickBot="1" x14ac:dyDescent="0.3">
      <c r="A5" s="11"/>
      <c r="B5" s="12"/>
      <c r="C5" s="14"/>
      <c r="D5" s="14"/>
      <c r="E5" s="14"/>
      <c r="F5" s="12"/>
      <c r="G5" s="14"/>
      <c r="H5" s="14"/>
      <c r="I5" s="14"/>
      <c r="J5" s="12"/>
      <c r="K5" s="14"/>
      <c r="L5" s="14"/>
      <c r="M5" s="13"/>
    </row>
    <row r="6" spans="1:13" ht="17.100000000000001" customHeight="1" thickTop="1" x14ac:dyDescent="0.3">
      <c r="A6" s="11"/>
      <c r="B6" s="5" t="s">
        <v>15</v>
      </c>
      <c r="C6" s="6" t="s">
        <v>7</v>
      </c>
      <c r="D6" s="7" t="s">
        <v>10</v>
      </c>
      <c r="E6" s="20"/>
      <c r="F6" s="5" t="s">
        <v>15</v>
      </c>
      <c r="G6" s="6" t="s">
        <v>7</v>
      </c>
      <c r="H6" s="7" t="s">
        <v>10</v>
      </c>
      <c r="I6" s="11"/>
      <c r="J6" s="5" t="s">
        <v>15</v>
      </c>
      <c r="K6" s="6" t="s">
        <v>7</v>
      </c>
      <c r="L6" s="7" t="s">
        <v>10</v>
      </c>
      <c r="M6" s="13"/>
    </row>
    <row r="7" spans="1:13" ht="17.100000000000001" customHeight="1" x14ac:dyDescent="0.3">
      <c r="A7" s="11"/>
      <c r="B7" s="24" t="s">
        <v>4</v>
      </c>
      <c r="C7" s="2">
        <v>43435</v>
      </c>
      <c r="D7" s="22"/>
      <c r="E7" s="20"/>
      <c r="F7" s="24" t="s">
        <v>4</v>
      </c>
      <c r="G7" s="2">
        <v>43435</v>
      </c>
      <c r="H7" s="22" t="s">
        <v>17</v>
      </c>
      <c r="I7" s="11"/>
      <c r="J7" s="24" t="s">
        <v>4</v>
      </c>
      <c r="K7" s="2">
        <v>43435</v>
      </c>
      <c r="L7" s="22" t="s">
        <v>17</v>
      </c>
      <c r="M7" s="13"/>
    </row>
    <row r="8" spans="1:13" ht="17.100000000000001" customHeight="1" x14ac:dyDescent="0.3">
      <c r="A8" s="11"/>
      <c r="B8" s="24" t="s">
        <v>4</v>
      </c>
      <c r="C8" s="2">
        <v>43465</v>
      </c>
      <c r="D8" s="22"/>
      <c r="E8" s="20"/>
      <c r="F8" s="24" t="s">
        <v>4</v>
      </c>
      <c r="G8" s="2">
        <v>43465</v>
      </c>
      <c r="H8" s="22" t="s">
        <v>17</v>
      </c>
      <c r="I8" s="11"/>
      <c r="J8" s="24" t="s">
        <v>4</v>
      </c>
      <c r="K8" s="2">
        <v>43465</v>
      </c>
      <c r="L8" s="22" t="s">
        <v>17</v>
      </c>
      <c r="M8" s="13"/>
    </row>
    <row r="9" spans="1:13" ht="17.100000000000001" customHeight="1" x14ac:dyDescent="0.3">
      <c r="A9" s="11"/>
      <c r="B9" s="24" t="s">
        <v>1</v>
      </c>
      <c r="C9" s="1"/>
      <c r="D9" s="3" t="s">
        <v>6</v>
      </c>
      <c r="E9" s="20"/>
      <c r="F9" s="24" t="s">
        <v>1</v>
      </c>
      <c r="G9" s="1"/>
      <c r="H9" s="22" t="s">
        <v>17</v>
      </c>
      <c r="I9" s="11"/>
      <c r="J9" s="24" t="s">
        <v>1</v>
      </c>
      <c r="K9" s="1"/>
      <c r="L9" s="22" t="s">
        <v>17</v>
      </c>
      <c r="M9" s="13"/>
    </row>
    <row r="10" spans="1:13" ht="17.100000000000001" customHeight="1" x14ac:dyDescent="0.3">
      <c r="A10" s="11"/>
      <c r="B10" s="24" t="s">
        <v>2</v>
      </c>
      <c r="C10" s="1" t="s">
        <v>55</v>
      </c>
      <c r="D10" s="3" t="s">
        <v>6</v>
      </c>
      <c r="E10" s="20"/>
      <c r="F10" s="24" t="s">
        <v>2</v>
      </c>
      <c r="G10" s="1" t="s">
        <v>55</v>
      </c>
      <c r="H10" s="22" t="s">
        <v>17</v>
      </c>
      <c r="I10" s="11"/>
      <c r="J10" s="24" t="s">
        <v>2</v>
      </c>
      <c r="K10" s="1" t="s">
        <v>55</v>
      </c>
      <c r="L10" s="22" t="s">
        <v>17</v>
      </c>
      <c r="M10" s="13"/>
    </row>
    <row r="11" spans="1:13" ht="17.100000000000001" customHeight="1" x14ac:dyDescent="0.3">
      <c r="A11" s="11"/>
      <c r="B11" s="24" t="s">
        <v>3</v>
      </c>
      <c r="C11" s="1"/>
      <c r="D11" s="3" t="s">
        <v>6</v>
      </c>
      <c r="E11" s="20"/>
      <c r="F11" s="24" t="s">
        <v>3</v>
      </c>
      <c r="G11" s="1"/>
      <c r="H11" s="22"/>
      <c r="I11" s="11"/>
      <c r="J11" s="24" t="s">
        <v>3</v>
      </c>
      <c r="K11" s="1"/>
      <c r="L11" s="22"/>
      <c r="M11" s="13"/>
    </row>
    <row r="12" spans="1:13" ht="17.100000000000001" customHeight="1" x14ac:dyDescent="0.3">
      <c r="A12" s="11"/>
      <c r="B12" s="24" t="s">
        <v>13</v>
      </c>
      <c r="C12" s="1"/>
      <c r="D12" s="3" t="s">
        <v>6</v>
      </c>
      <c r="E12" s="20"/>
      <c r="F12" s="24" t="s">
        <v>13</v>
      </c>
      <c r="G12" s="1"/>
      <c r="H12" s="28"/>
      <c r="I12" s="11"/>
      <c r="J12" s="24" t="s">
        <v>13</v>
      </c>
      <c r="K12" s="1"/>
      <c r="L12" s="28"/>
      <c r="M12" s="13"/>
    </row>
    <row r="13" spans="1:13" ht="17.100000000000001" customHeight="1" thickBot="1" x14ac:dyDescent="0.35">
      <c r="A13" s="11"/>
      <c r="B13" s="23" t="s">
        <v>22</v>
      </c>
      <c r="C13" s="19"/>
      <c r="D13" s="21"/>
      <c r="E13" s="20"/>
      <c r="F13" s="23" t="s">
        <v>22</v>
      </c>
      <c r="G13" s="19"/>
      <c r="H13" s="21"/>
      <c r="I13" s="11"/>
      <c r="J13" s="23" t="s">
        <v>22</v>
      </c>
      <c r="K13" s="19"/>
      <c r="L13" s="21"/>
      <c r="M13" s="13"/>
    </row>
    <row r="14" spans="1:13" ht="16.5" thickTop="1" thickBot="1" x14ac:dyDescent="0.3">
      <c r="A14" s="11"/>
      <c r="B14" s="12"/>
      <c r="C14" s="14"/>
      <c r="D14" s="14"/>
      <c r="E14" s="14"/>
      <c r="F14" s="12"/>
      <c r="G14" s="14"/>
      <c r="H14" s="14"/>
      <c r="I14" s="14"/>
      <c r="J14" s="12"/>
      <c r="K14" s="14"/>
      <c r="L14" s="14"/>
      <c r="M14" s="13"/>
    </row>
    <row r="15" spans="1:13" ht="19.5" thickBot="1" x14ac:dyDescent="0.35">
      <c r="A15" s="11"/>
      <c r="B15" s="25" t="s">
        <v>8</v>
      </c>
      <c r="C15" s="26"/>
      <c r="D15" s="27" t="e">
        <f t="array" aca="1" ref="D15" ca="1">[0]!GetTurnover(G19,G20,G21,C4,D4,C7,C8,C9,D9,C10,D10,C11,D11,C12,D12,C13)</f>
        <v>#NAME?</v>
      </c>
      <c r="E15" s="20"/>
      <c r="F15" s="25" t="s">
        <v>8</v>
      </c>
      <c r="G15" s="26"/>
      <c r="H15" s="27" t="e">
        <f t="array" aca="1" ref="H15" ca="1">[0]!Real(G19,G20,G21,G4,G7,G8,G9,G10,G11,G12,G13)</f>
        <v>#NAME?</v>
      </c>
      <c r="I15" s="20"/>
      <c r="J15" s="25" t="s">
        <v>8</v>
      </c>
      <c r="K15" s="26"/>
      <c r="L15" s="27" t="e">
        <f t="array" aca="1" ref="L15" ca="1">[0]!AbraTurnover(G19,G20,G21,K4,K7,K8,K9,K10,K11,K12,K13)</f>
        <v>#NAME?</v>
      </c>
      <c r="M15" s="13"/>
    </row>
    <row r="16" spans="1:13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3"/>
    </row>
    <row r="17" spans="1:13" x14ac:dyDescent="0.25">
      <c r="A17" s="11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3"/>
    </row>
    <row r="18" spans="1:13" ht="21.75" thickBot="1" x14ac:dyDescent="0.4">
      <c r="A18" s="11"/>
      <c r="B18" s="15" t="s">
        <v>20</v>
      </c>
      <c r="C18" s="12"/>
      <c r="D18" s="12"/>
      <c r="E18" s="12"/>
      <c r="F18" s="15" t="s">
        <v>26</v>
      </c>
      <c r="G18" s="12"/>
      <c r="H18" s="12"/>
      <c r="I18" s="12"/>
      <c r="J18" s="29"/>
      <c r="K18" s="29"/>
      <c r="L18" s="12"/>
      <c r="M18" s="13"/>
    </row>
    <row r="19" spans="1:13" ht="16.5" customHeight="1" thickTop="1" x14ac:dyDescent="0.25">
      <c r="A19" s="11"/>
      <c r="B19" s="5" t="s">
        <v>5</v>
      </c>
      <c r="C19" s="6" t="s">
        <v>7</v>
      </c>
      <c r="D19" s="7"/>
      <c r="E19" s="11"/>
      <c r="F19" s="30" t="s">
        <v>23</v>
      </c>
      <c r="G19" s="66" t="s">
        <v>29</v>
      </c>
      <c r="H19" s="67"/>
      <c r="I19" s="68"/>
      <c r="J19" s="29"/>
      <c r="K19" s="29"/>
      <c r="L19" s="12"/>
      <c r="M19" s="13"/>
    </row>
    <row r="20" spans="1:13" ht="16.5" customHeight="1" x14ac:dyDescent="0.25">
      <c r="A20" s="11"/>
      <c r="B20" s="24" t="s">
        <v>4</v>
      </c>
      <c r="C20" s="2">
        <v>38353</v>
      </c>
      <c r="D20" s="22"/>
      <c r="E20" s="11"/>
      <c r="F20" s="31" t="s">
        <v>24</v>
      </c>
      <c r="G20" s="69" t="s">
        <v>30</v>
      </c>
      <c r="H20" s="70"/>
      <c r="I20" s="71"/>
      <c r="J20" s="29"/>
      <c r="K20" s="29"/>
      <c r="L20" s="12"/>
      <c r="M20" s="13"/>
    </row>
    <row r="21" spans="1:13" ht="16.5" customHeight="1" thickBot="1" x14ac:dyDescent="0.3">
      <c r="A21" s="11"/>
      <c r="B21" s="24" t="s">
        <v>4</v>
      </c>
      <c r="C21" s="2">
        <v>40543</v>
      </c>
      <c r="D21" s="22"/>
      <c r="E21" s="11"/>
      <c r="F21" s="32" t="s">
        <v>25</v>
      </c>
      <c r="G21" s="72"/>
      <c r="H21" s="73"/>
      <c r="I21" s="74"/>
      <c r="J21" s="29"/>
      <c r="K21" s="29"/>
      <c r="L21" s="12"/>
      <c r="M21" s="13"/>
    </row>
    <row r="22" spans="1:13" ht="16.5" customHeight="1" thickTop="1" thickBot="1" x14ac:dyDescent="0.3">
      <c r="A22" s="11"/>
      <c r="B22" s="23" t="s">
        <v>9</v>
      </c>
      <c r="C22" s="19" t="s">
        <v>12</v>
      </c>
      <c r="D22" s="21"/>
      <c r="E22" s="11"/>
      <c r="F22" s="12"/>
      <c r="G22" s="12"/>
      <c r="H22" s="12"/>
      <c r="I22" s="12"/>
      <c r="J22" s="12"/>
      <c r="K22" s="12"/>
      <c r="L22" s="12"/>
      <c r="M22" s="13"/>
    </row>
    <row r="23" spans="1:13" ht="16.5" thickTop="1" thickBot="1" x14ac:dyDescent="0.3">
      <c r="A23" s="11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3"/>
    </row>
    <row r="24" spans="1:13" ht="19.5" thickBot="1" x14ac:dyDescent="0.35">
      <c r="A24" s="11"/>
      <c r="B24" s="25" t="s">
        <v>8</v>
      </c>
      <c r="C24" s="26"/>
      <c r="D24" s="27" t="e">
        <f t="array" aca="1" ref="D24" ca="1">[0]!GetTurnoverSimple(G19,G20,G21,C20,C21,C22)</f>
        <v>#NAME?</v>
      </c>
      <c r="E24" s="20"/>
      <c r="F24" s="20"/>
      <c r="G24" s="20"/>
      <c r="H24" s="20"/>
      <c r="I24" s="20"/>
      <c r="J24" s="20"/>
      <c r="K24" s="20"/>
      <c r="L24" s="20"/>
      <c r="M24" s="13"/>
    </row>
    <row r="25" spans="1:13" ht="15.75" thickBot="1" x14ac:dyDescent="0.3">
      <c r="A25" s="16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8"/>
    </row>
    <row r="26" spans="1:13" ht="15.75" thickTop="1" x14ac:dyDescent="0.25"/>
  </sheetData>
  <mergeCells count="3">
    <mergeCell ref="G19:I19"/>
    <mergeCell ref="G20:I20"/>
    <mergeCell ref="G21:I21"/>
  </mergeCells>
  <phoneticPr fontId="0" type="noConversion"/>
  <hyperlinks>
    <hyperlink ref="G19" r:id="rId1" xr:uid="{00000000-0004-0000-0D00-000000000000}"/>
  </hyperlinks>
  <pageMargins left="0.7" right="0.7" top="0.75" bottom="0.75" header="0.3" footer="0.3"/>
  <pageSetup paperSize="9" scale="52" fitToHeight="0" orientation="landscape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4</vt:i4>
      </vt:variant>
    </vt:vector>
  </HeadingPairs>
  <TitlesOfParts>
    <vt:vector size="4" baseType="lpstr">
      <vt:lpstr>Osnova</vt:lpstr>
      <vt:lpstr>Naklady</vt:lpstr>
      <vt:lpstr>Config</vt:lpstr>
      <vt:lpstr>Example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Ondřej Fuchs</dc:creator>
  <cp:lastModifiedBy>Josef Melichárek</cp:lastModifiedBy>
  <cp:lastPrinted>2019-01-13T20:34:44Z</cp:lastPrinted>
  <dcterms:created xsi:type="dcterms:W3CDTF">2008-08-01T07:31:42Z</dcterms:created>
  <dcterms:modified xsi:type="dcterms:W3CDTF">2019-08-20T07:05:06Z</dcterms:modified>
</cp:coreProperties>
</file>