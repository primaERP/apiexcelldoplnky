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102F8E4A-9E60-4F92-B755-EB974F39BD91}" xr6:coauthVersionLast="43" xr6:coauthVersionMax="43" xr10:uidLastSave="{00000000-0000-0000-0000-000000000000}"/>
  <bookViews>
    <workbookView xWindow="-25335" yWindow="-4995" windowWidth="21600" windowHeight="11385" tabRatio="674" firstSheet="1" activeTab="9" xr2:uid="{00000000-000D-0000-FFFF-FFFF00000000}"/>
  </bookViews>
  <sheets>
    <sheet name="Model výnosů" sheetId="1" r:id="rId1"/>
    <sheet name="Účty s vývojem" sheetId="9" r:id="rId2"/>
    <sheet name="Penize stav" sheetId="8" r:id="rId3"/>
    <sheet name="Sklady" sheetId="10" r:id="rId4"/>
    <sheet name="Prodej" sheetId="11" r:id="rId5"/>
    <sheet name="Pohledávky a závazky" sheetId="14" r:id="rId6"/>
    <sheet name="Majetek" sheetId="12" r:id="rId7"/>
    <sheet name="Mzdy" sheetId="13" r:id="rId8"/>
    <sheet name="Sezona" sheetId="7" r:id="rId9"/>
    <sheet name="API" sheetId="6" r:id="rId10"/>
  </sheets>
  <functionGroups builtInGroupCount="19"/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13" l="1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D7" i="11"/>
  <c r="D6" i="11"/>
  <c r="D9" i="11"/>
  <c r="D10" i="13"/>
  <c r="E10" i="13"/>
  <c r="E9" i="13"/>
  <c r="J9" i="13"/>
  <c r="I9" i="13"/>
  <c r="E9" i="12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E7" i="10"/>
  <c r="E6" i="10"/>
  <c r="D7" i="10"/>
  <c r="D6" i="10"/>
  <c r="D9" i="10"/>
  <c r="D23" i="14"/>
  <c r="AA9" i="11"/>
  <c r="AA10" i="11"/>
  <c r="AA11" i="11"/>
  <c r="AA8" i="11"/>
  <c r="AA21" i="14"/>
  <c r="AA7" i="14"/>
  <c r="AA20" i="14"/>
  <c r="Z21" i="14"/>
  <c r="AA6" i="14"/>
  <c r="AA7" i="13"/>
  <c r="AA6" i="13"/>
  <c r="AA8" i="13"/>
  <c r="AA7" i="12"/>
  <c r="AA12" i="13"/>
  <c r="AA13" i="13"/>
  <c r="AA9" i="13"/>
  <c r="AA11" i="13"/>
  <c r="AA10" i="13"/>
  <c r="AA18" i="12"/>
  <c r="AA15" i="12"/>
  <c r="AA16" i="12"/>
  <c r="AA17" i="12"/>
  <c r="AA25" i="14"/>
  <c r="AA26" i="14"/>
  <c r="AA11" i="14"/>
  <c r="AA24" i="14"/>
  <c r="AA9" i="14"/>
  <c r="AA10" i="14"/>
  <c r="AA12" i="14"/>
  <c r="AA23" i="14"/>
  <c r="Z9" i="11"/>
  <c r="Z10" i="11"/>
  <c r="Z20" i="14"/>
  <c r="Z22" i="14"/>
  <c r="Z7" i="14"/>
  <c r="Z6" i="14"/>
  <c r="AA22" i="14"/>
  <c r="Z11" i="11"/>
  <c r="Z8" i="11"/>
  <c r="AA8" i="10"/>
  <c r="AA6" i="12"/>
  <c r="Z7" i="12"/>
  <c r="Z7" i="13"/>
  <c r="AA8" i="14"/>
  <c r="AA10" i="10"/>
  <c r="AA16" i="10"/>
  <c r="AA15" i="10"/>
  <c r="AA9" i="10"/>
  <c r="Z16" i="12"/>
  <c r="Z15" i="12"/>
  <c r="Z18" i="12"/>
  <c r="AA9" i="12"/>
  <c r="Z17" i="12"/>
  <c r="AA10" i="12"/>
  <c r="Z10" i="14"/>
  <c r="Z24" i="14"/>
  <c r="Z25" i="14"/>
  <c r="Z26" i="14"/>
  <c r="Z12" i="14"/>
  <c r="Z23" i="14"/>
  <c r="Z9" i="14"/>
  <c r="Z11" i="14"/>
  <c r="Y21" i="14"/>
  <c r="AA17" i="10"/>
  <c r="AA11" i="10"/>
  <c r="AA11" i="12"/>
  <c r="AA8" i="12"/>
  <c r="Z6" i="12"/>
  <c r="Z6" i="13"/>
  <c r="Z8" i="13"/>
  <c r="Z8" i="14"/>
  <c r="Y7" i="14"/>
  <c r="Z15" i="10"/>
  <c r="Z9" i="10"/>
  <c r="Z10" i="10"/>
  <c r="Z16" i="10"/>
  <c r="Z10" i="13"/>
  <c r="Z11" i="13"/>
  <c r="Z9" i="13"/>
  <c r="Z13" i="13"/>
  <c r="Z12" i="13"/>
  <c r="Z10" i="12"/>
  <c r="Z9" i="12"/>
  <c r="Y10" i="11"/>
  <c r="Y9" i="11"/>
  <c r="Y20" i="14"/>
  <c r="Y11" i="11"/>
  <c r="Y8" i="11"/>
  <c r="Z11" i="12"/>
  <c r="Z17" i="10"/>
  <c r="Z11" i="10"/>
  <c r="Y7" i="13"/>
  <c r="Z8" i="10"/>
  <c r="Z8" i="12"/>
  <c r="Y7" i="12"/>
  <c r="Y6" i="14"/>
  <c r="Y16" i="12"/>
  <c r="Y18" i="12"/>
  <c r="Y17" i="12"/>
  <c r="Y15" i="12"/>
  <c r="Y25" i="14"/>
  <c r="Y24" i="14"/>
  <c r="Y23" i="14"/>
  <c r="Y9" i="14"/>
  <c r="Y26" i="14"/>
  <c r="Y12" i="14"/>
  <c r="Y10" i="14"/>
  <c r="Y11" i="14"/>
  <c r="X21" i="14"/>
  <c r="Y22" i="14"/>
  <c r="Y6" i="12"/>
  <c r="Y6" i="13"/>
  <c r="Y8" i="13"/>
  <c r="Y8" i="14"/>
  <c r="X7" i="14"/>
  <c r="Y15" i="10"/>
  <c r="Y10" i="10"/>
  <c r="Y16" i="10"/>
  <c r="Y9" i="10"/>
  <c r="Y10" i="13"/>
  <c r="Y9" i="13"/>
  <c r="Y13" i="13"/>
  <c r="Y12" i="13"/>
  <c r="Y11" i="13"/>
  <c r="Y10" i="12"/>
  <c r="Y9" i="12"/>
  <c r="X9" i="11"/>
  <c r="X10" i="11"/>
  <c r="X20" i="14"/>
  <c r="X11" i="11"/>
  <c r="X8" i="11"/>
  <c r="Y11" i="10"/>
  <c r="Y17" i="10"/>
  <c r="Y11" i="12"/>
  <c r="X7" i="13"/>
  <c r="Y8" i="10"/>
  <c r="Y8" i="12"/>
  <c r="X7" i="12"/>
  <c r="X6" i="14"/>
  <c r="AF11" i="9"/>
  <c r="AE11" i="9"/>
  <c r="AA7" i="9"/>
  <c r="AA6" i="9"/>
  <c r="AA8" i="9"/>
  <c r="X15" i="12"/>
  <c r="X17" i="12"/>
  <c r="X16" i="12"/>
  <c r="X18" i="12"/>
  <c r="X11" i="14"/>
  <c r="X9" i="14"/>
  <c r="X26" i="14"/>
  <c r="X25" i="14"/>
  <c r="X10" i="14"/>
  <c r="X12" i="14"/>
  <c r="X24" i="14"/>
  <c r="X23" i="14"/>
  <c r="AI6" i="9"/>
  <c r="AI7" i="9"/>
  <c r="AJ6" i="9"/>
  <c r="AJ7" i="9"/>
  <c r="AK6" i="9"/>
  <c r="X22" i="14"/>
  <c r="W21" i="14"/>
  <c r="Z7" i="9"/>
  <c r="Z6" i="9"/>
  <c r="X6" i="12"/>
  <c r="X6" i="13"/>
  <c r="X8" i="13"/>
  <c r="W7" i="14"/>
  <c r="X8" i="14"/>
  <c r="AF11" i="8"/>
  <c r="AE11" i="8"/>
  <c r="AA7" i="8"/>
  <c r="AA6" i="8"/>
  <c r="AA8" i="8"/>
  <c r="X9" i="10"/>
  <c r="X16" i="10"/>
  <c r="X10" i="10"/>
  <c r="X15" i="10"/>
  <c r="X9" i="13"/>
  <c r="X13" i="13"/>
  <c r="X12" i="13"/>
  <c r="X11" i="13"/>
  <c r="X10" i="13"/>
  <c r="X10" i="12"/>
  <c r="X9" i="12"/>
  <c r="W10" i="11"/>
  <c r="W9" i="11"/>
  <c r="AJ8" i="9"/>
  <c r="AI8" i="9"/>
  <c r="W20" i="14"/>
  <c r="W11" i="11"/>
  <c r="W8" i="11"/>
  <c r="AK7" i="9"/>
  <c r="AL6" i="9"/>
  <c r="AK8" i="9"/>
  <c r="Z8" i="9"/>
  <c r="Y7" i="9"/>
  <c r="Y6" i="9"/>
  <c r="X17" i="10"/>
  <c r="X11" i="10"/>
  <c r="X11" i="12"/>
  <c r="W7" i="13"/>
  <c r="X8" i="10"/>
  <c r="W7" i="12"/>
  <c r="X8" i="12"/>
  <c r="W6" i="14"/>
  <c r="Z7" i="8"/>
  <c r="AH12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I16" i="7"/>
  <c r="F16" i="7"/>
  <c r="C16" i="7"/>
  <c r="AE26" i="1"/>
  <c r="AF26" i="1"/>
  <c r="AA7" i="1"/>
  <c r="AI6" i="1"/>
  <c r="AI7" i="1"/>
  <c r="AJ6" i="1"/>
  <c r="AJ7" i="1"/>
  <c r="AK6" i="1"/>
  <c r="AK7" i="1"/>
  <c r="AL6" i="1"/>
  <c r="AL7" i="1"/>
  <c r="AM6" i="1"/>
  <c r="AM7" i="1"/>
  <c r="AN6" i="1"/>
  <c r="W18" i="12"/>
  <c r="W17" i="12"/>
  <c r="W15" i="12"/>
  <c r="W16" i="12"/>
  <c r="W23" i="14"/>
  <c r="W25" i="14"/>
  <c r="W26" i="14"/>
  <c r="W24" i="14"/>
  <c r="W12" i="14"/>
  <c r="W11" i="14"/>
  <c r="W10" i="14"/>
  <c r="W9" i="14"/>
  <c r="V21" i="14"/>
  <c r="W22" i="14"/>
  <c r="AL7" i="9"/>
  <c r="AM6" i="9"/>
  <c r="AL8" i="9"/>
  <c r="Y8" i="9"/>
  <c r="X7" i="9"/>
  <c r="X6" i="9"/>
  <c r="W6" i="12"/>
  <c r="W6" i="13"/>
  <c r="W8" i="13"/>
  <c r="W8" i="14"/>
  <c r="V7" i="14"/>
  <c r="Z6" i="8"/>
  <c r="AA6" i="1"/>
  <c r="AI8" i="1"/>
  <c r="AJ8" i="1"/>
  <c r="AA14" i="1"/>
  <c r="AA25" i="1"/>
  <c r="AA17" i="1"/>
  <c r="AA15" i="1"/>
  <c r="AA23" i="1"/>
  <c r="AA18" i="1"/>
  <c r="AA9" i="1"/>
  <c r="AA24" i="1"/>
  <c r="AA22" i="1"/>
  <c r="AA21" i="1"/>
  <c r="AA11" i="1"/>
  <c r="AA10" i="1"/>
  <c r="AA20" i="1"/>
  <c r="AA16" i="1"/>
  <c r="AA19" i="1"/>
  <c r="AA13" i="1"/>
  <c r="AA12" i="1"/>
  <c r="W16" i="10"/>
  <c r="W15" i="10"/>
  <c r="W10" i="10"/>
  <c r="W9" i="10"/>
  <c r="W12" i="13"/>
  <c r="W10" i="13"/>
  <c r="W11" i="13"/>
  <c r="W13" i="13"/>
  <c r="W9" i="13"/>
  <c r="W10" i="12"/>
  <c r="W9" i="12"/>
  <c r="V10" i="11"/>
  <c r="V9" i="11"/>
  <c r="V20" i="14"/>
  <c r="V11" i="11"/>
  <c r="V8" i="11"/>
  <c r="AM7" i="9"/>
  <c r="AN6" i="9"/>
  <c r="AM8" i="9"/>
  <c r="X8" i="9"/>
  <c r="W7" i="9"/>
  <c r="W6" i="9"/>
  <c r="W17" i="10"/>
  <c r="W11" i="10"/>
  <c r="W11" i="12"/>
  <c r="V7" i="13"/>
  <c r="W8" i="10"/>
  <c r="V7" i="12"/>
  <c r="W8" i="12"/>
  <c r="V6" i="14"/>
  <c r="Z8" i="8"/>
  <c r="Y7" i="8"/>
  <c r="AA8" i="1"/>
  <c r="AA26" i="1"/>
  <c r="Z7" i="1"/>
  <c r="AK8" i="1"/>
  <c r="Z29" i="1"/>
  <c r="V15" i="12"/>
  <c r="V17" i="12"/>
  <c r="V16" i="12"/>
  <c r="V18" i="12"/>
  <c r="V24" i="14"/>
  <c r="V25" i="14"/>
  <c r="V9" i="14"/>
  <c r="V23" i="14"/>
  <c r="V12" i="14"/>
  <c r="V26" i="14"/>
  <c r="V11" i="14"/>
  <c r="V10" i="14"/>
  <c r="U21" i="14"/>
  <c r="V22" i="14"/>
  <c r="AN8" i="9"/>
  <c r="AN7" i="9"/>
  <c r="AO6" i="9"/>
  <c r="V7" i="9"/>
  <c r="V6" i="9"/>
  <c r="W8" i="9"/>
  <c r="V6" i="12"/>
  <c r="V6" i="13"/>
  <c r="V8" i="13"/>
  <c r="V8" i="14"/>
  <c r="U7" i="14"/>
  <c r="Y6" i="8"/>
  <c r="Z6" i="1"/>
  <c r="AL8" i="1"/>
  <c r="Z10" i="1"/>
  <c r="Z21" i="1"/>
  <c r="Z25" i="1"/>
  <c r="Z18" i="1"/>
  <c r="Z22" i="1"/>
  <c r="Z15" i="1"/>
  <c r="Z11" i="1"/>
  <c r="Z9" i="1"/>
  <c r="Z24" i="1"/>
  <c r="Z17" i="1"/>
  <c r="Z23" i="1"/>
  <c r="Z12" i="1"/>
  <c r="Z14" i="1"/>
  <c r="Z20" i="1"/>
  <c r="Z13" i="1"/>
  <c r="Z19" i="1"/>
  <c r="Z16" i="1"/>
  <c r="V16" i="10"/>
  <c r="V15" i="10"/>
  <c r="V10" i="10"/>
  <c r="V9" i="10"/>
  <c r="V13" i="13"/>
  <c r="V12" i="13"/>
  <c r="V9" i="13"/>
  <c r="V11" i="13"/>
  <c r="V10" i="13"/>
  <c r="V9" i="12"/>
  <c r="V10" i="12"/>
  <c r="U9" i="11"/>
  <c r="U10" i="11"/>
  <c r="U20" i="14"/>
  <c r="U11" i="11"/>
  <c r="U8" i="11"/>
  <c r="U7" i="9"/>
  <c r="U6" i="9"/>
  <c r="V8" i="9"/>
  <c r="AO8" i="9"/>
  <c r="AO7" i="9"/>
  <c r="AP6" i="9"/>
  <c r="V17" i="10"/>
  <c r="V11" i="10"/>
  <c r="V11" i="12"/>
  <c r="U7" i="13"/>
  <c r="V8" i="10"/>
  <c r="V8" i="12"/>
  <c r="U7" i="12"/>
  <c r="U6" i="14"/>
  <c r="Y8" i="8"/>
  <c r="X7" i="8"/>
  <c r="Z26" i="1"/>
  <c r="Y7" i="1"/>
  <c r="Z8" i="1"/>
  <c r="AM8" i="1"/>
  <c r="Y28" i="1"/>
  <c r="U17" i="12"/>
  <c r="U16" i="12"/>
  <c r="U15" i="12"/>
  <c r="U18" i="12"/>
  <c r="U24" i="14"/>
  <c r="U26" i="14"/>
  <c r="U10" i="14"/>
  <c r="U25" i="14"/>
  <c r="U12" i="14"/>
  <c r="U23" i="14"/>
  <c r="U9" i="14"/>
  <c r="U11" i="14"/>
  <c r="T21" i="14"/>
  <c r="U22" i="14"/>
  <c r="AP8" i="9"/>
  <c r="AP7" i="9"/>
  <c r="AQ6" i="9"/>
  <c r="T7" i="9"/>
  <c r="T6" i="9"/>
  <c r="U8" i="9"/>
  <c r="U6" i="12"/>
  <c r="U6" i="13"/>
  <c r="U8" i="13"/>
  <c r="T7" i="14"/>
  <c r="U8" i="14"/>
  <c r="X6" i="8"/>
  <c r="Y6" i="1"/>
  <c r="AN8" i="1"/>
  <c r="AN7" i="1"/>
  <c r="AO6" i="1"/>
  <c r="Y23" i="1"/>
  <c r="Y13" i="1"/>
  <c r="Y22" i="1"/>
  <c r="Y19" i="1"/>
  <c r="Y9" i="1"/>
  <c r="Y18" i="1"/>
  <c r="Y15" i="1"/>
  <c r="Y16" i="1"/>
  <c r="Y17" i="1"/>
  <c r="Y24" i="1"/>
  <c r="Y14" i="1"/>
  <c r="Y10" i="1"/>
  <c r="Y21" i="1"/>
  <c r="Y25" i="1"/>
  <c r="Y11" i="1"/>
  <c r="Y20" i="1"/>
  <c r="Y12" i="1"/>
  <c r="U9" i="10"/>
  <c r="U15" i="10"/>
  <c r="U16" i="10"/>
  <c r="U10" i="10"/>
  <c r="U13" i="13"/>
  <c r="U9" i="13"/>
  <c r="U11" i="13"/>
  <c r="U12" i="13"/>
  <c r="U10" i="13"/>
  <c r="U10" i="12"/>
  <c r="U9" i="12"/>
  <c r="T9" i="11"/>
  <c r="T10" i="11"/>
  <c r="T20" i="14"/>
  <c r="T11" i="11"/>
  <c r="T8" i="11"/>
  <c r="S7" i="9"/>
  <c r="S6" i="9"/>
  <c r="T8" i="9"/>
  <c r="AQ8" i="9"/>
  <c r="AQ7" i="9"/>
  <c r="AR6" i="9"/>
  <c r="U11" i="10"/>
  <c r="U17" i="10"/>
  <c r="U11" i="12"/>
  <c r="T7" i="13"/>
  <c r="U8" i="10"/>
  <c r="U8" i="12"/>
  <c r="T7" i="12"/>
  <c r="T6" i="14"/>
  <c r="W7" i="8"/>
  <c r="X8" i="8"/>
  <c r="Y26" i="1"/>
  <c r="X7" i="1"/>
  <c r="Y8" i="1"/>
  <c r="AO7" i="1"/>
  <c r="AP6" i="1"/>
  <c r="AO8" i="1"/>
  <c r="T15" i="12"/>
  <c r="T18" i="12"/>
  <c r="T17" i="12"/>
  <c r="T16" i="12"/>
  <c r="T26" i="14"/>
  <c r="T25" i="14"/>
  <c r="T24" i="14"/>
  <c r="T11" i="14"/>
  <c r="T12" i="14"/>
  <c r="T9" i="14"/>
  <c r="T23" i="14"/>
  <c r="T10" i="14"/>
  <c r="T22" i="14"/>
  <c r="S21" i="14"/>
  <c r="S8" i="9"/>
  <c r="R7" i="9"/>
  <c r="R6" i="9"/>
  <c r="AR7" i="9"/>
  <c r="AS6" i="9"/>
  <c r="AR8" i="9"/>
  <c r="T6" i="12"/>
  <c r="T6" i="13"/>
  <c r="T8" i="13"/>
  <c r="T8" i="14"/>
  <c r="S7" i="14"/>
  <c r="W6" i="8"/>
  <c r="X6" i="1"/>
  <c r="AP8" i="1"/>
  <c r="AP7" i="1"/>
  <c r="AQ6" i="1"/>
  <c r="X13" i="1"/>
  <c r="X19" i="1"/>
  <c r="X12" i="1"/>
  <c r="X22" i="1"/>
  <c r="X21" i="1"/>
  <c r="X18" i="1"/>
  <c r="X16" i="1"/>
  <c r="X17" i="1"/>
  <c r="X11" i="1"/>
  <c r="X20" i="1"/>
  <c r="X10" i="1"/>
  <c r="X25" i="1"/>
  <c r="X9" i="1"/>
  <c r="X23" i="1"/>
  <c r="X24" i="1"/>
  <c r="X15" i="1"/>
  <c r="X14" i="1"/>
  <c r="T15" i="10"/>
  <c r="T9" i="10"/>
  <c r="T10" i="10"/>
  <c r="T16" i="10"/>
  <c r="T13" i="13"/>
  <c r="T11" i="13"/>
  <c r="T9" i="13"/>
  <c r="T12" i="13"/>
  <c r="T10" i="13"/>
  <c r="T9" i="12"/>
  <c r="T10" i="12"/>
  <c r="S10" i="11"/>
  <c r="S9" i="11"/>
  <c r="S20" i="14"/>
  <c r="S11" i="11"/>
  <c r="S8" i="11"/>
  <c r="AS7" i="9"/>
  <c r="AT6" i="9"/>
  <c r="AS8" i="9"/>
  <c r="R8" i="9"/>
  <c r="Q7" i="9"/>
  <c r="Q6" i="9"/>
  <c r="T11" i="10"/>
  <c r="T17" i="10"/>
  <c r="T11" i="12"/>
  <c r="S7" i="13"/>
  <c r="T8" i="10"/>
  <c r="T8" i="12"/>
  <c r="S7" i="12"/>
  <c r="S6" i="14"/>
  <c r="W8" i="8"/>
  <c r="V7" i="8"/>
  <c r="X26" i="1"/>
  <c r="W7" i="1"/>
  <c r="X8" i="1"/>
  <c r="AQ7" i="1"/>
  <c r="AR6" i="1"/>
  <c r="AQ8" i="1"/>
  <c r="S17" i="12"/>
  <c r="S16" i="12"/>
  <c r="S18" i="12"/>
  <c r="S15" i="12"/>
  <c r="S26" i="14"/>
  <c r="S11" i="14"/>
  <c r="S10" i="14"/>
  <c r="S9" i="14"/>
  <c r="S23" i="14"/>
  <c r="S25" i="14"/>
  <c r="S12" i="14"/>
  <c r="S24" i="14"/>
  <c r="S22" i="14"/>
  <c r="R21" i="14"/>
  <c r="Q8" i="9"/>
  <c r="P7" i="9"/>
  <c r="P6" i="9"/>
  <c r="AT7" i="9"/>
  <c r="AT8" i="9"/>
  <c r="S6" i="12"/>
  <c r="S6" i="13"/>
  <c r="S8" i="13"/>
  <c r="S8" i="14"/>
  <c r="R7" i="14"/>
  <c r="V6" i="8"/>
  <c r="W6" i="1"/>
  <c r="AR8" i="1"/>
  <c r="AR7" i="1"/>
  <c r="AS6" i="1"/>
  <c r="W20" i="1"/>
  <c r="W11" i="1"/>
  <c r="W16" i="1"/>
  <c r="W15" i="1"/>
  <c r="W23" i="1"/>
  <c r="W24" i="1"/>
  <c r="W19" i="1"/>
  <c r="W18" i="1"/>
  <c r="W21" i="1"/>
  <c r="W10" i="1"/>
  <c r="W9" i="1"/>
  <c r="W17" i="1"/>
  <c r="W25" i="1"/>
  <c r="W22" i="1"/>
  <c r="W14" i="1"/>
  <c r="W12" i="1"/>
  <c r="W13" i="1"/>
  <c r="S10" i="10"/>
  <c r="S16" i="10"/>
  <c r="S15" i="10"/>
  <c r="S9" i="10"/>
  <c r="S12" i="13"/>
  <c r="S13" i="13"/>
  <c r="S9" i="13"/>
  <c r="S11" i="13"/>
  <c r="S10" i="13"/>
  <c r="S9" i="12"/>
  <c r="S10" i="12"/>
  <c r="R9" i="11"/>
  <c r="R10" i="11"/>
  <c r="R20" i="14"/>
  <c r="R11" i="11"/>
  <c r="R8" i="11"/>
  <c r="P8" i="9"/>
  <c r="O7" i="9"/>
  <c r="O6" i="9"/>
  <c r="S11" i="10"/>
  <c r="S17" i="10"/>
  <c r="S11" i="12"/>
  <c r="R7" i="13"/>
  <c r="S8" i="10"/>
  <c r="S8" i="12"/>
  <c r="R7" i="12"/>
  <c r="R6" i="14"/>
  <c r="U7" i="8"/>
  <c r="V8" i="8"/>
  <c r="W26" i="1"/>
  <c r="V7" i="1"/>
  <c r="W8" i="1"/>
  <c r="AS7" i="1"/>
  <c r="AT6" i="1"/>
  <c r="AS8" i="1"/>
  <c r="R18" i="12"/>
  <c r="R15" i="12"/>
  <c r="R17" i="12"/>
  <c r="R16" i="12"/>
  <c r="R9" i="14"/>
  <c r="R23" i="14"/>
  <c r="R11" i="14"/>
  <c r="R24" i="14"/>
  <c r="R10" i="14"/>
  <c r="R25" i="14"/>
  <c r="R12" i="14"/>
  <c r="R26" i="14"/>
  <c r="R22" i="14"/>
  <c r="Q21" i="14"/>
  <c r="N7" i="9"/>
  <c r="N6" i="9"/>
  <c r="O8" i="9"/>
  <c r="R6" i="12"/>
  <c r="R6" i="13"/>
  <c r="R8" i="13"/>
  <c r="R8" i="14"/>
  <c r="Q7" i="14"/>
  <c r="U6" i="8"/>
  <c r="V6" i="1"/>
  <c r="AT8" i="1"/>
  <c r="AT7" i="1"/>
  <c r="V14" i="1"/>
  <c r="V11" i="1"/>
  <c r="V23" i="1"/>
  <c r="V22" i="1"/>
  <c r="V17" i="1"/>
  <c r="V25" i="1"/>
  <c r="V19" i="1"/>
  <c r="V18" i="1"/>
  <c r="V13" i="1"/>
  <c r="V20" i="1"/>
  <c r="V12" i="1"/>
  <c r="V21" i="1"/>
  <c r="V9" i="1"/>
  <c r="V16" i="1"/>
  <c r="V15" i="1"/>
  <c r="V10" i="1"/>
  <c r="V24" i="1"/>
  <c r="R9" i="10"/>
  <c r="R15" i="10"/>
  <c r="R10" i="10"/>
  <c r="R16" i="10"/>
  <c r="R9" i="13"/>
  <c r="R11" i="13"/>
  <c r="R13" i="13"/>
  <c r="R12" i="13"/>
  <c r="R10" i="13"/>
  <c r="R10" i="12"/>
  <c r="R9" i="12"/>
  <c r="Q10" i="11"/>
  <c r="Q9" i="11"/>
  <c r="Q20" i="14"/>
  <c r="Q11" i="11"/>
  <c r="Q8" i="11"/>
  <c r="M7" i="9"/>
  <c r="M6" i="9"/>
  <c r="N8" i="9"/>
  <c r="R11" i="10"/>
  <c r="R17" i="10"/>
  <c r="R11" i="12"/>
  <c r="Q7" i="13"/>
  <c r="R8" i="10"/>
  <c r="R8" i="12"/>
  <c r="Q7" i="12"/>
  <c r="Q6" i="14"/>
  <c r="U8" i="8"/>
  <c r="T7" i="8"/>
  <c r="V26" i="1"/>
  <c r="U7" i="1"/>
  <c r="V8" i="1"/>
  <c r="Q17" i="12"/>
  <c r="Q18" i="12"/>
  <c r="Q16" i="12"/>
  <c r="Q15" i="12"/>
  <c r="Q11" i="14"/>
  <c r="Q23" i="14"/>
  <c r="Q12" i="14"/>
  <c r="Q10" i="14"/>
  <c r="Q9" i="14"/>
  <c r="Q26" i="14"/>
  <c r="Q25" i="14"/>
  <c r="Q24" i="14"/>
  <c r="Q22" i="14"/>
  <c r="P21" i="14"/>
  <c r="L7" i="9"/>
  <c r="L6" i="9"/>
  <c r="M8" i="9"/>
  <c r="Q6" i="12"/>
  <c r="Q6" i="13"/>
  <c r="Q8" i="13"/>
  <c r="Q8" i="14"/>
  <c r="P7" i="14"/>
  <c r="T6" i="8"/>
  <c r="U6" i="1"/>
  <c r="U15" i="1"/>
  <c r="U17" i="1"/>
  <c r="U10" i="1"/>
  <c r="U13" i="1"/>
  <c r="U12" i="1"/>
  <c r="U24" i="1"/>
  <c r="U18" i="1"/>
  <c r="U14" i="1"/>
  <c r="U21" i="1"/>
  <c r="U22" i="1"/>
  <c r="U9" i="1"/>
  <c r="U16" i="1"/>
  <c r="U11" i="1"/>
  <c r="U25" i="1"/>
  <c r="U20" i="1"/>
  <c r="U19" i="1"/>
  <c r="U23" i="1"/>
  <c r="Q10" i="10"/>
  <c r="Q15" i="10"/>
  <c r="Q16" i="10"/>
  <c r="Q9" i="10"/>
  <c r="Q11" i="13"/>
  <c r="Q12" i="13"/>
  <c r="Q9" i="13"/>
  <c r="Q13" i="13"/>
  <c r="Q10" i="13"/>
  <c r="Q9" i="12"/>
  <c r="Q10" i="12"/>
  <c r="P9" i="11"/>
  <c r="P10" i="11"/>
  <c r="P20" i="14"/>
  <c r="P11" i="11"/>
  <c r="P8" i="11"/>
  <c r="L8" i="9"/>
  <c r="K7" i="9"/>
  <c r="K6" i="9"/>
  <c r="Q17" i="10"/>
  <c r="Q11" i="10"/>
  <c r="Q11" i="12"/>
  <c r="P7" i="13"/>
  <c r="Q8" i="10"/>
  <c r="Q8" i="12"/>
  <c r="P7" i="12"/>
  <c r="P6" i="14"/>
  <c r="T8" i="8"/>
  <c r="S7" i="8"/>
  <c r="U26" i="1"/>
  <c r="T7" i="1"/>
  <c r="U8" i="1"/>
  <c r="P16" i="12"/>
  <c r="P15" i="12"/>
  <c r="P17" i="12"/>
  <c r="P18" i="12"/>
  <c r="P24" i="14"/>
  <c r="P12" i="14"/>
  <c r="P26" i="14"/>
  <c r="P9" i="14"/>
  <c r="P11" i="14"/>
  <c r="P10" i="14"/>
  <c r="P25" i="14"/>
  <c r="P23" i="14"/>
  <c r="O21" i="14"/>
  <c r="P22" i="14"/>
  <c r="K8" i="9"/>
  <c r="J7" i="9"/>
  <c r="J6" i="9"/>
  <c r="P6" i="12"/>
  <c r="P6" i="13"/>
  <c r="P8" i="13"/>
  <c r="O7" i="14"/>
  <c r="P8" i="14"/>
  <c r="S6" i="8"/>
  <c r="T6" i="1"/>
  <c r="T25" i="1"/>
  <c r="T22" i="1"/>
  <c r="T11" i="1"/>
  <c r="T13" i="1"/>
  <c r="T24" i="1"/>
  <c r="T12" i="1"/>
  <c r="T19" i="1"/>
  <c r="T9" i="1"/>
  <c r="T23" i="1"/>
  <c r="T15" i="1"/>
  <c r="T16" i="1"/>
  <c r="T14" i="1"/>
  <c r="T10" i="1"/>
  <c r="T18" i="1"/>
  <c r="T20" i="1"/>
  <c r="T17" i="1"/>
  <c r="T21" i="1"/>
  <c r="P15" i="10"/>
  <c r="P16" i="10"/>
  <c r="P10" i="10"/>
  <c r="P9" i="10"/>
  <c r="P13" i="13"/>
  <c r="P11" i="13"/>
  <c r="P12" i="13"/>
  <c r="P9" i="13"/>
  <c r="P10" i="13"/>
  <c r="P10" i="12"/>
  <c r="P9" i="12"/>
  <c r="O10" i="11"/>
  <c r="O9" i="11"/>
  <c r="O20" i="14"/>
  <c r="O11" i="11"/>
  <c r="O8" i="11"/>
  <c r="J8" i="9"/>
  <c r="I7" i="9"/>
  <c r="I6" i="9"/>
  <c r="P17" i="10"/>
  <c r="P11" i="10"/>
  <c r="P11" i="12"/>
  <c r="O7" i="13"/>
  <c r="P8" i="10"/>
  <c r="O7" i="12"/>
  <c r="P8" i="12"/>
  <c r="O6" i="14"/>
  <c r="S8" i="8"/>
  <c r="R7" i="8"/>
  <c r="T26" i="1"/>
  <c r="S7" i="1"/>
  <c r="T8" i="1"/>
  <c r="O15" i="12"/>
  <c r="O18" i="12"/>
  <c r="O16" i="12"/>
  <c r="O17" i="12"/>
  <c r="O23" i="14"/>
  <c r="O10" i="14"/>
  <c r="O24" i="14"/>
  <c r="O9" i="14"/>
  <c r="O11" i="14"/>
  <c r="O12" i="14"/>
  <c r="O26" i="14"/>
  <c r="O25" i="14"/>
  <c r="O22" i="14"/>
  <c r="N21" i="14"/>
  <c r="H7" i="9"/>
  <c r="H6" i="9"/>
  <c r="I8" i="9"/>
  <c r="O6" i="12"/>
  <c r="O6" i="13"/>
  <c r="O8" i="13"/>
  <c r="O8" i="14"/>
  <c r="N7" i="14"/>
  <c r="R6" i="8"/>
  <c r="S6" i="1"/>
  <c r="S22" i="1"/>
  <c r="S13" i="1"/>
  <c r="S16" i="1"/>
  <c r="S9" i="1"/>
  <c r="S20" i="1"/>
  <c r="S10" i="1"/>
  <c r="S15" i="1"/>
  <c r="S11" i="1"/>
  <c r="S25" i="1"/>
  <c r="S14" i="1"/>
  <c r="S17" i="1"/>
  <c r="S23" i="1"/>
  <c r="S24" i="1"/>
  <c r="S12" i="1"/>
  <c r="S21" i="1"/>
  <c r="S18" i="1"/>
  <c r="S19" i="1"/>
  <c r="O16" i="10"/>
  <c r="O9" i="10"/>
  <c r="O10" i="10"/>
  <c r="O15" i="10"/>
  <c r="O10" i="13"/>
  <c r="O13" i="13"/>
  <c r="O9" i="13"/>
  <c r="O12" i="13"/>
  <c r="O11" i="13"/>
  <c r="O10" i="12"/>
  <c r="O9" i="12"/>
  <c r="N9" i="11"/>
  <c r="N10" i="11"/>
  <c r="N20" i="14"/>
  <c r="N11" i="11"/>
  <c r="N8" i="11"/>
  <c r="H8" i="9"/>
  <c r="G7" i="9"/>
  <c r="G6" i="9"/>
  <c r="O17" i="10"/>
  <c r="O11" i="10"/>
  <c r="O11" i="12"/>
  <c r="N7" i="13"/>
  <c r="O8" i="10"/>
  <c r="N7" i="12"/>
  <c r="O8" i="12"/>
  <c r="N6" i="14"/>
  <c r="R8" i="8"/>
  <c r="Q7" i="8"/>
  <c r="S26" i="1"/>
  <c r="R7" i="1"/>
  <c r="S8" i="1"/>
  <c r="N15" i="12"/>
  <c r="N16" i="12"/>
  <c r="N17" i="12"/>
  <c r="N18" i="12"/>
  <c r="N24" i="14"/>
  <c r="N10" i="14"/>
  <c r="N26" i="14"/>
  <c r="N9" i="14"/>
  <c r="N12" i="14"/>
  <c r="N11" i="14"/>
  <c r="N25" i="14"/>
  <c r="N23" i="14"/>
  <c r="M21" i="14"/>
  <c r="N22" i="14"/>
  <c r="F7" i="9"/>
  <c r="F6" i="9"/>
  <c r="G8" i="9"/>
  <c r="N6" i="12"/>
  <c r="N6" i="13"/>
  <c r="N8" i="13"/>
  <c r="N8" i="14"/>
  <c r="M7" i="14"/>
  <c r="Q6" i="8"/>
  <c r="R6" i="1"/>
  <c r="R13" i="1"/>
  <c r="R10" i="1"/>
  <c r="R20" i="1"/>
  <c r="R24" i="1"/>
  <c r="R25" i="1"/>
  <c r="R19" i="1"/>
  <c r="R22" i="1"/>
  <c r="R12" i="1"/>
  <c r="R11" i="1"/>
  <c r="R16" i="1"/>
  <c r="R9" i="1"/>
  <c r="R17" i="1"/>
  <c r="R23" i="1"/>
  <c r="R18" i="1"/>
  <c r="R21" i="1"/>
  <c r="R14" i="1"/>
  <c r="R15" i="1"/>
  <c r="N9" i="10"/>
  <c r="N15" i="10"/>
  <c r="N16" i="10"/>
  <c r="N10" i="10"/>
  <c r="N10" i="13"/>
  <c r="N9" i="13"/>
  <c r="N13" i="13"/>
  <c r="N11" i="13"/>
  <c r="N12" i="13"/>
  <c r="N10" i="12"/>
  <c r="N9" i="12"/>
  <c r="M10" i="11"/>
  <c r="M9" i="11"/>
  <c r="M20" i="14"/>
  <c r="M11" i="11"/>
  <c r="M8" i="11"/>
  <c r="E7" i="9"/>
  <c r="E6" i="9"/>
  <c r="F8" i="9"/>
  <c r="N17" i="10"/>
  <c r="N11" i="10"/>
  <c r="N11" i="12"/>
  <c r="M7" i="13"/>
  <c r="N8" i="10"/>
  <c r="N8" i="12"/>
  <c r="M7" i="12"/>
  <c r="M6" i="14"/>
  <c r="Q8" i="8"/>
  <c r="P7" i="8"/>
  <c r="R26" i="1"/>
  <c r="Q7" i="1"/>
  <c r="R8" i="1"/>
  <c r="M15" i="12"/>
  <c r="M17" i="12"/>
  <c r="M16" i="12"/>
  <c r="M18" i="12"/>
  <c r="M26" i="14"/>
  <c r="M9" i="14"/>
  <c r="M12" i="14"/>
  <c r="M25" i="14"/>
  <c r="M11" i="14"/>
  <c r="M23" i="14"/>
  <c r="M10" i="14"/>
  <c r="M24" i="14"/>
  <c r="M22" i="14"/>
  <c r="L21" i="14"/>
  <c r="D7" i="9"/>
  <c r="D6" i="9"/>
  <c r="E8" i="9"/>
  <c r="M6" i="12"/>
  <c r="M6" i="13"/>
  <c r="M8" i="13"/>
  <c r="L7" i="14"/>
  <c r="M8" i="14"/>
  <c r="P6" i="8"/>
  <c r="Q6" i="1"/>
  <c r="Q13" i="1"/>
  <c r="Q9" i="1"/>
  <c r="Q22" i="1"/>
  <c r="Q19" i="1"/>
  <c r="Q17" i="1"/>
  <c r="Q16" i="1"/>
  <c r="Q20" i="1"/>
  <c r="Q12" i="1"/>
  <c r="Q10" i="1"/>
  <c r="Q14" i="1"/>
  <c r="Q25" i="1"/>
  <c r="Q23" i="1"/>
  <c r="Q11" i="1"/>
  <c r="Q18" i="1"/>
  <c r="Q21" i="1"/>
  <c r="Q15" i="1"/>
  <c r="Q24" i="1"/>
  <c r="M9" i="10"/>
  <c r="M10" i="10"/>
  <c r="M16" i="10"/>
  <c r="M15" i="10"/>
  <c r="M11" i="13"/>
  <c r="M10" i="13"/>
  <c r="M13" i="13"/>
  <c r="M9" i="13"/>
  <c r="M12" i="13"/>
  <c r="M10" i="12"/>
  <c r="M9" i="12"/>
  <c r="L10" i="11"/>
  <c r="L9" i="11"/>
  <c r="L20" i="14"/>
  <c r="L11" i="11"/>
  <c r="L8" i="11"/>
  <c r="D8" i="9"/>
  <c r="M17" i="10"/>
  <c r="M11" i="10"/>
  <c r="M11" i="12"/>
  <c r="L7" i="13"/>
  <c r="M8" i="10"/>
  <c r="M8" i="12"/>
  <c r="L7" i="12"/>
  <c r="L6" i="14"/>
  <c r="O7" i="8"/>
  <c r="P8" i="8"/>
  <c r="Q26" i="1"/>
  <c r="P7" i="1"/>
  <c r="Q8" i="1"/>
  <c r="D9" i="9"/>
  <c r="D10" i="9"/>
  <c r="L16" i="12"/>
  <c r="L18" i="12"/>
  <c r="L15" i="12"/>
  <c r="L17" i="12"/>
  <c r="L24" i="14"/>
  <c r="L23" i="14"/>
  <c r="L11" i="14"/>
  <c r="L10" i="14"/>
  <c r="L9" i="14"/>
  <c r="L26" i="14"/>
  <c r="L12" i="14"/>
  <c r="L25" i="14"/>
  <c r="L22" i="14"/>
  <c r="K21" i="14"/>
  <c r="D11" i="9"/>
  <c r="L6" i="12"/>
  <c r="L6" i="13"/>
  <c r="L8" i="13"/>
  <c r="L8" i="14"/>
  <c r="K7" i="14"/>
  <c r="O6" i="8"/>
  <c r="P6" i="1"/>
  <c r="P12" i="1"/>
  <c r="P18" i="1"/>
  <c r="P19" i="1"/>
  <c r="P14" i="1"/>
  <c r="P20" i="1"/>
  <c r="P13" i="1"/>
  <c r="P15" i="1"/>
  <c r="P21" i="1"/>
  <c r="P24" i="1"/>
  <c r="P11" i="1"/>
  <c r="P9" i="1"/>
  <c r="P23" i="1"/>
  <c r="P16" i="1"/>
  <c r="P17" i="1"/>
  <c r="P10" i="1"/>
  <c r="P25" i="1"/>
  <c r="P22" i="1"/>
  <c r="E9" i="9"/>
  <c r="E10" i="9"/>
  <c r="L15" i="10"/>
  <c r="L16" i="10"/>
  <c r="L9" i="10"/>
  <c r="L10" i="10"/>
  <c r="L12" i="13"/>
  <c r="L9" i="13"/>
  <c r="L10" i="13"/>
  <c r="L11" i="13"/>
  <c r="L13" i="13"/>
  <c r="L9" i="12"/>
  <c r="L10" i="12"/>
  <c r="K10" i="11"/>
  <c r="K9" i="11"/>
  <c r="K20" i="14"/>
  <c r="K11" i="11"/>
  <c r="K8" i="11"/>
  <c r="E11" i="9"/>
  <c r="L17" i="10"/>
  <c r="L11" i="10"/>
  <c r="L11" i="12"/>
  <c r="K7" i="13"/>
  <c r="L8" i="10"/>
  <c r="L8" i="12"/>
  <c r="K7" i="12"/>
  <c r="K6" i="14"/>
  <c r="N7" i="8"/>
  <c r="O8" i="8"/>
  <c r="AB19" i="1"/>
  <c r="AB9" i="1"/>
  <c r="P26" i="1"/>
  <c r="AB10" i="1"/>
  <c r="AB22" i="1"/>
  <c r="AB15" i="1"/>
  <c r="AB17" i="1"/>
  <c r="AB23" i="1"/>
  <c r="AB24" i="1"/>
  <c r="AB18" i="1"/>
  <c r="AB25" i="1"/>
  <c r="AB21" i="1"/>
  <c r="AB14" i="1"/>
  <c r="AB13" i="1"/>
  <c r="AB20" i="1"/>
  <c r="AB11" i="1"/>
  <c r="AB12" i="1"/>
  <c r="AB16" i="1"/>
  <c r="O7" i="1"/>
  <c r="P8" i="1"/>
  <c r="F10" i="9"/>
  <c r="F9" i="9"/>
  <c r="K15" i="12"/>
  <c r="K18" i="12"/>
  <c r="K17" i="12"/>
  <c r="K16" i="12"/>
  <c r="K24" i="14"/>
  <c r="K23" i="14"/>
  <c r="K25" i="14"/>
  <c r="K26" i="14"/>
  <c r="K9" i="14"/>
  <c r="K12" i="14"/>
  <c r="K11" i="14"/>
  <c r="K10" i="14"/>
  <c r="K22" i="14"/>
  <c r="J21" i="14"/>
  <c r="F11" i="9"/>
  <c r="K6" i="12"/>
  <c r="K6" i="13"/>
  <c r="K8" i="13"/>
  <c r="K8" i="14"/>
  <c r="J7" i="14"/>
  <c r="N6" i="8"/>
  <c r="AO24" i="1"/>
  <c r="AN24" i="1"/>
  <c r="AP24" i="1"/>
  <c r="AJ24" i="1"/>
  <c r="AM24" i="1"/>
  <c r="AQ24" i="1"/>
  <c r="AL24" i="1"/>
  <c r="AT24" i="1"/>
  <c r="AS24" i="1"/>
  <c r="AR24" i="1"/>
  <c r="AK24" i="1"/>
  <c r="AI24" i="1"/>
  <c r="AO20" i="1"/>
  <c r="AN20" i="1"/>
  <c r="AP20" i="1"/>
  <c r="AJ20" i="1"/>
  <c r="AQ20" i="1"/>
  <c r="AL20" i="1"/>
  <c r="AT20" i="1"/>
  <c r="AK20" i="1"/>
  <c r="AR20" i="1"/>
  <c r="AS20" i="1"/>
  <c r="AM20" i="1"/>
  <c r="AI20" i="1"/>
  <c r="AR23" i="1"/>
  <c r="AJ23" i="1"/>
  <c r="AP23" i="1"/>
  <c r="AS23" i="1"/>
  <c r="AL23" i="1"/>
  <c r="AK23" i="1"/>
  <c r="AQ23" i="1"/>
  <c r="AM23" i="1"/>
  <c r="AN23" i="1"/>
  <c r="AO23" i="1"/>
  <c r="AI23" i="1"/>
  <c r="AT23" i="1"/>
  <c r="AI13" i="1"/>
  <c r="AR13" i="1"/>
  <c r="AL13" i="1"/>
  <c r="AJ13" i="1"/>
  <c r="AK13" i="1"/>
  <c r="AQ13" i="1"/>
  <c r="AP13" i="1"/>
  <c r="AT13" i="1"/>
  <c r="AS13" i="1"/>
  <c r="AM13" i="1"/>
  <c r="AO13" i="1"/>
  <c r="AN13" i="1"/>
  <c r="AP17" i="1"/>
  <c r="AO17" i="1"/>
  <c r="AM17" i="1"/>
  <c r="AK17" i="1"/>
  <c r="AN17" i="1"/>
  <c r="AI17" i="1"/>
  <c r="AT17" i="1"/>
  <c r="AS17" i="1"/>
  <c r="AR17" i="1"/>
  <c r="AL17" i="1"/>
  <c r="AJ17" i="1"/>
  <c r="AQ17" i="1"/>
  <c r="AN19" i="1"/>
  <c r="AM19" i="1"/>
  <c r="AO19" i="1"/>
  <c r="AI19" i="1"/>
  <c r="AK19" i="1"/>
  <c r="AT19" i="1"/>
  <c r="AS19" i="1"/>
  <c r="AR19" i="1"/>
  <c r="AJ19" i="1"/>
  <c r="AP19" i="1"/>
  <c r="AL19" i="1"/>
  <c r="AQ19" i="1"/>
  <c r="AR15" i="1"/>
  <c r="AJ15" i="1"/>
  <c r="AL15" i="1"/>
  <c r="AN15" i="1"/>
  <c r="AQ15" i="1"/>
  <c r="AT15" i="1"/>
  <c r="AK15" i="1"/>
  <c r="AP15" i="1"/>
  <c r="AO15" i="1"/>
  <c r="AM15" i="1"/>
  <c r="AI15" i="1"/>
  <c r="AS15" i="1"/>
  <c r="AR14" i="1"/>
  <c r="AS14" i="1"/>
  <c r="AO14" i="1"/>
  <c r="AM14" i="1"/>
  <c r="AK14" i="1"/>
  <c r="AJ14" i="1"/>
  <c r="AQ14" i="1"/>
  <c r="AI14" i="1"/>
  <c r="AP14" i="1"/>
  <c r="AL14" i="1"/>
  <c r="AN14" i="1"/>
  <c r="AT14" i="1"/>
  <c r="AR22" i="1"/>
  <c r="AS22" i="1"/>
  <c r="AO22" i="1"/>
  <c r="AI22" i="1"/>
  <c r="AK22" i="1"/>
  <c r="AJ22" i="1"/>
  <c r="AT22" i="1"/>
  <c r="AQ22" i="1"/>
  <c r="AM22" i="1"/>
  <c r="AP22" i="1"/>
  <c r="AN22" i="1"/>
  <c r="AL22" i="1"/>
  <c r="O6" i="1"/>
  <c r="AP21" i="1"/>
  <c r="AO21" i="1"/>
  <c r="AM21" i="1"/>
  <c r="AK21" i="1"/>
  <c r="AN21" i="1"/>
  <c r="AQ21" i="1"/>
  <c r="AI21" i="1"/>
  <c r="AT21" i="1"/>
  <c r="AL21" i="1"/>
  <c r="AR21" i="1"/>
  <c r="AS21" i="1"/>
  <c r="AJ21" i="1"/>
  <c r="AR16" i="1"/>
  <c r="AK16" i="1"/>
  <c r="AM16" i="1"/>
  <c r="AS16" i="1"/>
  <c r="AI16" i="1"/>
  <c r="AQ16" i="1"/>
  <c r="AO16" i="1"/>
  <c r="AN16" i="1"/>
  <c r="AT16" i="1"/>
  <c r="AP16" i="1"/>
  <c r="AJ16" i="1"/>
  <c r="AL16" i="1"/>
  <c r="AP25" i="1"/>
  <c r="AO25" i="1"/>
  <c r="AM25" i="1"/>
  <c r="AK25" i="1"/>
  <c r="AN25" i="1"/>
  <c r="AI25" i="1"/>
  <c r="AT25" i="1"/>
  <c r="AR25" i="1"/>
  <c r="AS25" i="1"/>
  <c r="AL25" i="1"/>
  <c r="AJ25" i="1"/>
  <c r="AQ25" i="1"/>
  <c r="AT12" i="1"/>
  <c r="AO12" i="1"/>
  <c r="AP12" i="1"/>
  <c r="AN12" i="1"/>
  <c r="AL12" i="1"/>
  <c r="AJ12" i="1"/>
  <c r="AS12" i="1"/>
  <c r="AQ12" i="1"/>
  <c r="AR12" i="1"/>
  <c r="AK12" i="1"/>
  <c r="AM12" i="1"/>
  <c r="AI12" i="1"/>
  <c r="AR18" i="1"/>
  <c r="AS18" i="1"/>
  <c r="AO18" i="1"/>
  <c r="AI18" i="1"/>
  <c r="AK18" i="1"/>
  <c r="AM18" i="1"/>
  <c r="AQ18" i="1"/>
  <c r="AT18" i="1"/>
  <c r="AL18" i="1"/>
  <c r="AN18" i="1"/>
  <c r="AP18" i="1"/>
  <c r="AJ18" i="1"/>
  <c r="AB26" i="1"/>
  <c r="O10" i="1"/>
  <c r="O13" i="1"/>
  <c r="O15" i="1"/>
  <c r="O18" i="1"/>
  <c r="O24" i="1"/>
  <c r="O11" i="1"/>
  <c r="O20" i="1"/>
  <c r="O12" i="1"/>
  <c r="O16" i="1"/>
  <c r="O23" i="1"/>
  <c r="O19" i="1"/>
  <c r="O25" i="1"/>
  <c r="O9" i="1"/>
  <c r="O17" i="1"/>
  <c r="O21" i="1"/>
  <c r="O14" i="1"/>
  <c r="O22" i="1"/>
  <c r="G9" i="9"/>
  <c r="G10" i="9"/>
  <c r="K10" i="10"/>
  <c r="K9" i="10"/>
  <c r="K15" i="10"/>
  <c r="K16" i="10"/>
  <c r="K11" i="13"/>
  <c r="K9" i="13"/>
  <c r="K10" i="13"/>
  <c r="K13" i="13"/>
  <c r="K12" i="13"/>
  <c r="K10" i="12"/>
  <c r="K9" i="12"/>
  <c r="J9" i="11"/>
  <c r="J10" i="11"/>
  <c r="J20" i="14"/>
  <c r="J11" i="11"/>
  <c r="J8" i="11"/>
  <c r="G11" i="9"/>
  <c r="K17" i="10"/>
  <c r="K11" i="10"/>
  <c r="K11" i="12"/>
  <c r="J7" i="13"/>
  <c r="K8" i="10"/>
  <c r="K8" i="12"/>
  <c r="J7" i="12"/>
  <c r="J6" i="14"/>
  <c r="M7" i="8"/>
  <c r="N8" i="8"/>
  <c r="AU20" i="1"/>
  <c r="AU12" i="1"/>
  <c r="O26" i="1"/>
  <c r="AU19" i="1"/>
  <c r="AU16" i="1"/>
  <c r="AU17" i="1"/>
  <c r="N7" i="1"/>
  <c r="O8" i="1"/>
  <c r="AU13" i="1"/>
  <c r="AU21" i="1"/>
  <c r="AU22" i="1"/>
  <c r="AU14" i="1"/>
  <c r="AU24" i="1"/>
  <c r="AU25" i="1"/>
  <c r="AU15" i="1"/>
  <c r="AU23" i="1"/>
  <c r="AU18" i="1"/>
  <c r="H10" i="9"/>
  <c r="H9" i="9"/>
  <c r="J16" i="12"/>
  <c r="J18" i="12"/>
  <c r="J15" i="12"/>
  <c r="J17" i="12"/>
  <c r="J10" i="14"/>
  <c r="J23" i="14"/>
  <c r="J12" i="14"/>
  <c r="J11" i="14"/>
  <c r="J26" i="14"/>
  <c r="J24" i="14"/>
  <c r="J25" i="14"/>
  <c r="J9" i="14"/>
  <c r="I21" i="14"/>
  <c r="J22" i="14"/>
  <c r="H11" i="9"/>
  <c r="J6" i="12"/>
  <c r="J6" i="13"/>
  <c r="J8" i="13"/>
  <c r="J8" i="14"/>
  <c r="I7" i="14"/>
  <c r="M6" i="8"/>
  <c r="N6" i="1"/>
  <c r="N13" i="1"/>
  <c r="N24" i="1"/>
  <c r="N12" i="1"/>
  <c r="N20" i="1"/>
  <c r="N10" i="1"/>
  <c r="N19" i="1"/>
  <c r="N15" i="1"/>
  <c r="N22" i="1"/>
  <c r="N18" i="1"/>
  <c r="N14" i="1"/>
  <c r="N9" i="1"/>
  <c r="N23" i="1"/>
  <c r="N16" i="1"/>
  <c r="N11" i="1"/>
  <c r="N21" i="1"/>
  <c r="N25" i="1"/>
  <c r="N17" i="1"/>
  <c r="I10" i="9"/>
  <c r="I9" i="9"/>
  <c r="J9" i="10"/>
  <c r="J16" i="10"/>
  <c r="J10" i="10"/>
  <c r="J15" i="10"/>
  <c r="J11" i="13"/>
  <c r="J12" i="13"/>
  <c r="J13" i="13"/>
  <c r="J10" i="13"/>
  <c r="J9" i="12"/>
  <c r="J10" i="12"/>
  <c r="I10" i="11"/>
  <c r="I9" i="11"/>
  <c r="I20" i="14"/>
  <c r="I11" i="11"/>
  <c r="I8" i="11"/>
  <c r="I11" i="9"/>
  <c r="J17" i="10"/>
  <c r="J11" i="10"/>
  <c r="J11" i="12"/>
  <c r="I7" i="13"/>
  <c r="J8" i="10"/>
  <c r="J8" i="12"/>
  <c r="I7" i="12"/>
  <c r="I6" i="14"/>
  <c r="M8" i="8"/>
  <c r="L7" i="8"/>
  <c r="N26" i="1"/>
  <c r="M7" i="1"/>
  <c r="N8" i="1"/>
  <c r="J9" i="9"/>
  <c r="J10" i="9"/>
  <c r="I17" i="12"/>
  <c r="I18" i="12"/>
  <c r="I16" i="12"/>
  <c r="I15" i="12"/>
  <c r="I25" i="14"/>
  <c r="I24" i="14"/>
  <c r="I26" i="14"/>
  <c r="I10" i="14"/>
  <c r="I9" i="14"/>
  <c r="I23" i="14"/>
  <c r="I12" i="14"/>
  <c r="I11" i="14"/>
  <c r="H21" i="14"/>
  <c r="I22" i="14"/>
  <c r="J11" i="9"/>
  <c r="I6" i="12"/>
  <c r="I6" i="13"/>
  <c r="I8" i="13"/>
  <c r="I8" i="14"/>
  <c r="H7" i="14"/>
  <c r="L6" i="8"/>
  <c r="M6" i="1"/>
  <c r="M15" i="1"/>
  <c r="M25" i="1"/>
  <c r="M10" i="1"/>
  <c r="M22" i="1"/>
  <c r="M18" i="1"/>
  <c r="M20" i="1"/>
  <c r="M9" i="1"/>
  <c r="M17" i="1"/>
  <c r="M19" i="1"/>
  <c r="M13" i="1"/>
  <c r="M24" i="1"/>
  <c r="M16" i="1"/>
  <c r="M23" i="1"/>
  <c r="M11" i="1"/>
  <c r="M21" i="1"/>
  <c r="M12" i="1"/>
  <c r="M14" i="1"/>
  <c r="K10" i="9"/>
  <c r="K9" i="9"/>
  <c r="I9" i="10"/>
  <c r="I10" i="10"/>
  <c r="I15" i="10"/>
  <c r="I16" i="10"/>
  <c r="I13" i="13"/>
  <c r="I11" i="13"/>
  <c r="I12" i="13"/>
  <c r="I10" i="13"/>
  <c r="I10" i="12"/>
  <c r="I9" i="12"/>
  <c r="H10" i="11"/>
  <c r="H9" i="11"/>
  <c r="H20" i="14"/>
  <c r="H11" i="11"/>
  <c r="H8" i="11"/>
  <c r="K11" i="9"/>
  <c r="I11" i="10"/>
  <c r="I17" i="10"/>
  <c r="I11" i="12"/>
  <c r="H7" i="13"/>
  <c r="I8" i="10"/>
  <c r="I8" i="12"/>
  <c r="H7" i="12"/>
  <c r="H6" i="14"/>
  <c r="L8" i="8"/>
  <c r="K7" i="8"/>
  <c r="M26" i="1"/>
  <c r="L7" i="1"/>
  <c r="M8" i="1"/>
  <c r="L9" i="9"/>
  <c r="L10" i="9"/>
  <c r="H15" i="12"/>
  <c r="H18" i="12"/>
  <c r="H16" i="12"/>
  <c r="H17" i="12"/>
  <c r="H10" i="14"/>
  <c r="H9" i="14"/>
  <c r="H12" i="14"/>
  <c r="H25" i="14"/>
  <c r="H23" i="14"/>
  <c r="H26" i="14"/>
  <c r="H11" i="14"/>
  <c r="H24" i="14"/>
  <c r="H22" i="14"/>
  <c r="G21" i="14"/>
  <c r="L11" i="9"/>
  <c r="H6" i="12"/>
  <c r="H6" i="13"/>
  <c r="H8" i="13"/>
  <c r="G7" i="14"/>
  <c r="H8" i="14"/>
  <c r="K6" i="8"/>
  <c r="L6" i="1"/>
  <c r="L16" i="1"/>
  <c r="L24" i="1"/>
  <c r="L22" i="1"/>
  <c r="L11" i="1"/>
  <c r="L17" i="1"/>
  <c r="L20" i="1"/>
  <c r="L14" i="1"/>
  <c r="L18" i="1"/>
  <c r="L21" i="1"/>
  <c r="L9" i="1"/>
  <c r="L19" i="1"/>
  <c r="L15" i="1"/>
  <c r="L12" i="1"/>
  <c r="L13" i="1"/>
  <c r="L25" i="1"/>
  <c r="L10" i="1"/>
  <c r="L23" i="1"/>
  <c r="M10" i="9"/>
  <c r="M9" i="9"/>
  <c r="H9" i="10"/>
  <c r="H16" i="10"/>
  <c r="H15" i="10"/>
  <c r="H10" i="10"/>
  <c r="H13" i="13"/>
  <c r="H9" i="13"/>
  <c r="H10" i="13"/>
  <c r="H12" i="13"/>
  <c r="H11" i="13"/>
  <c r="H10" i="12"/>
  <c r="H9" i="12"/>
  <c r="G9" i="11"/>
  <c r="G10" i="11"/>
  <c r="G20" i="14"/>
  <c r="G11" i="11"/>
  <c r="G8" i="11"/>
  <c r="M11" i="9"/>
  <c r="H11" i="10"/>
  <c r="H17" i="10"/>
  <c r="H11" i="12"/>
  <c r="G7" i="13"/>
  <c r="H8" i="10"/>
  <c r="G7" i="12"/>
  <c r="H8" i="12"/>
  <c r="G6" i="14"/>
  <c r="K8" i="8"/>
  <c r="J7" i="8"/>
  <c r="L26" i="1"/>
  <c r="K7" i="1"/>
  <c r="L8" i="1"/>
  <c r="N9" i="9"/>
  <c r="N10" i="9"/>
  <c r="G17" i="12"/>
  <c r="G15" i="12"/>
  <c r="G16" i="12"/>
  <c r="G18" i="12"/>
  <c r="G25" i="14"/>
  <c r="G9" i="14"/>
  <c r="G26" i="14"/>
  <c r="G12" i="14"/>
  <c r="G11" i="14"/>
  <c r="G23" i="14"/>
  <c r="G10" i="14"/>
  <c r="G24" i="14"/>
  <c r="G22" i="14"/>
  <c r="F21" i="14"/>
  <c r="N11" i="9"/>
  <c r="G6" i="12"/>
  <c r="G6" i="13"/>
  <c r="G8" i="13"/>
  <c r="G8" i="14"/>
  <c r="F7" i="14"/>
  <c r="J6" i="8"/>
  <c r="K6" i="1"/>
  <c r="K23" i="1"/>
  <c r="K17" i="1"/>
  <c r="K18" i="1"/>
  <c r="K16" i="1"/>
  <c r="K25" i="1"/>
  <c r="K15" i="1"/>
  <c r="K12" i="1"/>
  <c r="K13" i="1"/>
  <c r="K20" i="1"/>
  <c r="K14" i="1"/>
  <c r="K21" i="1"/>
  <c r="K9" i="1"/>
  <c r="K10" i="1"/>
  <c r="K19" i="1"/>
  <c r="K24" i="1"/>
  <c r="K22" i="1"/>
  <c r="K11" i="1"/>
  <c r="O9" i="9"/>
  <c r="O10" i="9"/>
  <c r="G10" i="10"/>
  <c r="G9" i="10"/>
  <c r="G15" i="10"/>
  <c r="G16" i="10"/>
  <c r="G13" i="13"/>
  <c r="G9" i="13"/>
  <c r="G12" i="13"/>
  <c r="G10" i="13"/>
  <c r="G11" i="13"/>
  <c r="G9" i="12"/>
  <c r="G10" i="12"/>
  <c r="F9" i="11"/>
  <c r="F10" i="11"/>
  <c r="F20" i="14"/>
  <c r="F11" i="11"/>
  <c r="F8" i="11"/>
  <c r="O11" i="9"/>
  <c r="G17" i="10"/>
  <c r="G11" i="10"/>
  <c r="G11" i="12"/>
  <c r="F7" i="13"/>
  <c r="G8" i="10"/>
  <c r="F7" i="12"/>
  <c r="G8" i="12"/>
  <c r="F6" i="14"/>
  <c r="J8" i="8"/>
  <c r="I7" i="8"/>
  <c r="K26" i="1"/>
  <c r="J7" i="1"/>
  <c r="K8" i="1"/>
  <c r="P9" i="9"/>
  <c r="P10" i="9"/>
  <c r="F16" i="12"/>
  <c r="F18" i="12"/>
  <c r="F15" i="12"/>
  <c r="F17" i="12"/>
  <c r="F9" i="14"/>
  <c r="F10" i="14"/>
  <c r="F12" i="14"/>
  <c r="F25" i="14"/>
  <c r="F11" i="14"/>
  <c r="F24" i="14"/>
  <c r="F26" i="14"/>
  <c r="F23" i="14"/>
  <c r="E21" i="14"/>
  <c r="F22" i="14"/>
  <c r="P11" i="9"/>
  <c r="F6" i="12"/>
  <c r="F6" i="13"/>
  <c r="F8" i="13"/>
  <c r="E7" i="14"/>
  <c r="F8" i="14"/>
  <c r="I6" i="8"/>
  <c r="J6" i="1"/>
  <c r="J25" i="1"/>
  <c r="J18" i="1"/>
  <c r="J20" i="1"/>
  <c r="J15" i="1"/>
  <c r="J19" i="1"/>
  <c r="J13" i="1"/>
  <c r="J14" i="1"/>
  <c r="J17" i="1"/>
  <c r="J24" i="1"/>
  <c r="J22" i="1"/>
  <c r="J11" i="1"/>
  <c r="J12" i="1"/>
  <c r="J23" i="1"/>
  <c r="J10" i="1"/>
  <c r="J21" i="1"/>
  <c r="J16" i="1"/>
  <c r="J9" i="1"/>
  <c r="Q10" i="9"/>
  <c r="Q9" i="9"/>
  <c r="F9" i="10"/>
  <c r="F10" i="10"/>
  <c r="F15" i="10"/>
  <c r="F16" i="10"/>
  <c r="F10" i="13"/>
  <c r="F9" i="13"/>
  <c r="F13" i="13"/>
  <c r="F12" i="13"/>
  <c r="F11" i="13"/>
  <c r="F9" i="12"/>
  <c r="F10" i="12"/>
  <c r="E10" i="11"/>
  <c r="E9" i="11"/>
  <c r="E20" i="14"/>
  <c r="E11" i="11"/>
  <c r="E8" i="11"/>
  <c r="Q11" i="9"/>
  <c r="F17" i="10"/>
  <c r="F11" i="10"/>
  <c r="F11" i="12"/>
  <c r="E7" i="13"/>
  <c r="F8" i="10"/>
  <c r="F8" i="12"/>
  <c r="E7" i="12"/>
  <c r="E6" i="14"/>
  <c r="I8" i="8"/>
  <c r="H7" i="8"/>
  <c r="AC20" i="1"/>
  <c r="AC15" i="1"/>
  <c r="AC21" i="1"/>
  <c r="AC17" i="1"/>
  <c r="AC19" i="1"/>
  <c r="AC24" i="1"/>
  <c r="AC9" i="1"/>
  <c r="AH9" i="1"/>
  <c r="J26" i="1"/>
  <c r="AC26" i="1"/>
  <c r="AC18" i="1"/>
  <c r="AC22" i="1"/>
  <c r="AC25" i="1"/>
  <c r="AC10" i="1"/>
  <c r="AH10" i="1"/>
  <c r="AC12" i="1"/>
  <c r="AC23" i="1"/>
  <c r="AC14" i="1"/>
  <c r="AC16" i="1"/>
  <c r="AC13" i="1"/>
  <c r="AC11" i="1"/>
  <c r="AH11" i="1"/>
  <c r="I7" i="1"/>
  <c r="J8" i="1"/>
  <c r="R9" i="9"/>
  <c r="R10" i="9"/>
  <c r="E16" i="12"/>
  <c r="E15" i="12"/>
  <c r="E18" i="12"/>
  <c r="E17" i="12"/>
  <c r="E25" i="14"/>
  <c r="E26" i="14"/>
  <c r="E24" i="14"/>
  <c r="E12" i="14"/>
  <c r="E10" i="14"/>
  <c r="E23" i="14"/>
  <c r="E9" i="14"/>
  <c r="E11" i="14"/>
  <c r="E22" i="14"/>
  <c r="D21" i="14"/>
  <c r="R11" i="9"/>
  <c r="E6" i="12"/>
  <c r="E6" i="13"/>
  <c r="E8" i="13"/>
  <c r="E8" i="14"/>
  <c r="D7" i="14"/>
  <c r="H6" i="8"/>
  <c r="AK9" i="1"/>
  <c r="AO9" i="1"/>
  <c r="AN9" i="1"/>
  <c r="AL9" i="1"/>
  <c r="AI9" i="1"/>
  <c r="AT9" i="1"/>
  <c r="AS9" i="1"/>
  <c r="AR9" i="1"/>
  <c r="AP9" i="1"/>
  <c r="AJ9" i="1"/>
  <c r="AM9" i="1"/>
  <c r="AQ9" i="1"/>
  <c r="AL10" i="1"/>
  <c r="AQ10" i="1"/>
  <c r="AM10" i="1"/>
  <c r="AT10" i="1"/>
  <c r="AN10" i="1"/>
  <c r="AO10" i="1"/>
  <c r="AS10" i="1"/>
  <c r="AP10" i="1"/>
  <c r="AJ10" i="1"/>
  <c r="AK10" i="1"/>
  <c r="AR10" i="1"/>
  <c r="AI10" i="1"/>
  <c r="I6" i="1"/>
  <c r="AQ11" i="1"/>
  <c r="AL11" i="1"/>
  <c r="AN11" i="1"/>
  <c r="AP11" i="1"/>
  <c r="AS11" i="1"/>
  <c r="AO11" i="1"/>
  <c r="AM11" i="1"/>
  <c r="AK11" i="1"/>
  <c r="AI11" i="1"/>
  <c r="AJ11" i="1"/>
  <c r="AR11" i="1"/>
  <c r="AT11" i="1"/>
  <c r="I10" i="1"/>
  <c r="I20" i="1"/>
  <c r="I16" i="1"/>
  <c r="I18" i="1"/>
  <c r="I25" i="1"/>
  <c r="I19" i="1"/>
  <c r="I11" i="1"/>
  <c r="I21" i="1"/>
  <c r="I17" i="1"/>
  <c r="I15" i="1"/>
  <c r="I13" i="1"/>
  <c r="I12" i="1"/>
  <c r="I22" i="1"/>
  <c r="I9" i="1"/>
  <c r="I23" i="1"/>
  <c r="I24" i="1"/>
  <c r="I14" i="1"/>
  <c r="S10" i="9"/>
  <c r="S9" i="9"/>
  <c r="E9" i="10"/>
  <c r="E16" i="10"/>
  <c r="E15" i="10"/>
  <c r="E10" i="10"/>
  <c r="E12" i="13"/>
  <c r="E11" i="13"/>
  <c r="E13" i="13"/>
  <c r="E10" i="12"/>
  <c r="D10" i="11"/>
  <c r="D20" i="14"/>
  <c r="D11" i="11"/>
  <c r="D8" i="11"/>
  <c r="S11" i="9"/>
  <c r="E17" i="10"/>
  <c r="E11" i="10"/>
  <c r="E11" i="12"/>
  <c r="D7" i="13"/>
  <c r="E8" i="10"/>
  <c r="E8" i="12"/>
  <c r="D7" i="12"/>
  <c r="D6" i="14"/>
  <c r="G7" i="8"/>
  <c r="H8" i="8"/>
  <c r="AM26" i="1"/>
  <c r="AQ26" i="1"/>
  <c r="AL26" i="1"/>
  <c r="AK26" i="1"/>
  <c r="I26" i="1"/>
  <c r="H7" i="1"/>
  <c r="I8" i="1"/>
  <c r="AP26" i="1"/>
  <c r="AU10" i="1"/>
  <c r="AR26" i="1"/>
  <c r="AU11" i="1"/>
  <c r="AS26" i="1"/>
  <c r="AT26" i="1"/>
  <c r="AJ26" i="1"/>
  <c r="AI26" i="1"/>
  <c r="AU9" i="1"/>
  <c r="AN26" i="1"/>
  <c r="AO26" i="1"/>
  <c r="T10" i="9"/>
  <c r="T9" i="9"/>
  <c r="D18" i="12"/>
  <c r="D16" i="12"/>
  <c r="D15" i="12"/>
  <c r="D17" i="12"/>
  <c r="D26" i="14"/>
  <c r="D24" i="14"/>
  <c r="D9" i="14"/>
  <c r="D10" i="14"/>
  <c r="D12" i="14"/>
  <c r="D25" i="14"/>
  <c r="D11" i="14"/>
  <c r="D22" i="14"/>
  <c r="T11" i="9"/>
  <c r="D6" i="12"/>
  <c r="D6" i="13"/>
  <c r="D8" i="13"/>
  <c r="D8" i="14"/>
  <c r="G6" i="8"/>
  <c r="AU26" i="1"/>
  <c r="AH26" i="1"/>
  <c r="H6" i="1"/>
  <c r="H19" i="1"/>
  <c r="H16" i="1"/>
  <c r="H22" i="1"/>
  <c r="H12" i="1"/>
  <c r="H9" i="1"/>
  <c r="H13" i="1"/>
  <c r="H10" i="1"/>
  <c r="H18" i="1"/>
  <c r="H24" i="1"/>
  <c r="H11" i="1"/>
  <c r="H14" i="1"/>
  <c r="H21" i="1"/>
  <c r="H17" i="1"/>
  <c r="H23" i="1"/>
  <c r="H15" i="1"/>
  <c r="H20" i="1"/>
  <c r="H25" i="1"/>
  <c r="U9" i="9"/>
  <c r="U10" i="9"/>
  <c r="D16" i="10"/>
  <c r="D15" i="10"/>
  <c r="D10" i="10"/>
  <c r="D12" i="13"/>
  <c r="D13" i="13"/>
  <c r="D11" i="13"/>
  <c r="D10" i="12"/>
  <c r="D9" i="12"/>
  <c r="U11" i="9"/>
  <c r="D11" i="10"/>
  <c r="D17" i="10"/>
  <c r="D8" i="10"/>
  <c r="D11" i="12"/>
  <c r="D8" i="12"/>
  <c r="F7" i="8"/>
  <c r="G8" i="8"/>
  <c r="H26" i="1"/>
  <c r="G7" i="1"/>
  <c r="H8" i="1"/>
  <c r="V9" i="9"/>
  <c r="V10" i="9"/>
  <c r="V11" i="9"/>
  <c r="F6" i="8"/>
  <c r="G6" i="1"/>
  <c r="G22" i="1"/>
  <c r="G11" i="1"/>
  <c r="G10" i="1"/>
  <c r="G15" i="1"/>
  <c r="G19" i="1"/>
  <c r="G13" i="1"/>
  <c r="G17" i="1"/>
  <c r="G20" i="1"/>
  <c r="G12" i="1"/>
  <c r="G25" i="1"/>
  <c r="G18" i="1"/>
  <c r="G14" i="1"/>
  <c r="G9" i="1"/>
  <c r="G21" i="1"/>
  <c r="G23" i="1"/>
  <c r="G16" i="1"/>
  <c r="G24" i="1"/>
  <c r="W10" i="9"/>
  <c r="W9" i="9"/>
  <c r="W11" i="9"/>
  <c r="E7" i="8"/>
  <c r="F8" i="8"/>
  <c r="G26" i="1"/>
  <c r="F7" i="1"/>
  <c r="G8" i="1"/>
  <c r="X9" i="9"/>
  <c r="X10" i="9"/>
  <c r="X11" i="9"/>
  <c r="E6" i="8"/>
  <c r="F6" i="1"/>
  <c r="F10" i="1"/>
  <c r="F22" i="1"/>
  <c r="F13" i="1"/>
  <c r="F18" i="1"/>
  <c r="F9" i="1"/>
  <c r="F25" i="1"/>
  <c r="F17" i="1"/>
  <c r="F12" i="1"/>
  <c r="F21" i="1"/>
  <c r="F15" i="1"/>
  <c r="F24" i="1"/>
  <c r="F19" i="1"/>
  <c r="F11" i="1"/>
  <c r="F23" i="1"/>
  <c r="F14" i="1"/>
  <c r="F20" i="1"/>
  <c r="F16" i="1"/>
  <c r="Y10" i="9"/>
  <c r="Y9" i="9"/>
  <c r="Y11" i="9"/>
  <c r="E8" i="8"/>
  <c r="D7" i="8"/>
  <c r="D6" i="8"/>
  <c r="F26" i="1"/>
  <c r="E7" i="1"/>
  <c r="F8" i="1"/>
  <c r="D9" i="8"/>
  <c r="Z9" i="9"/>
  <c r="Z10" i="9"/>
  <c r="Z11" i="9"/>
  <c r="E6" i="1"/>
  <c r="E10" i="1"/>
  <c r="E13" i="1"/>
  <c r="E19" i="1"/>
  <c r="E17" i="1"/>
  <c r="E21" i="1"/>
  <c r="E23" i="1"/>
  <c r="E16" i="1"/>
  <c r="E12" i="1"/>
  <c r="E9" i="1"/>
  <c r="E18" i="1"/>
  <c r="E24" i="1"/>
  <c r="E22" i="1"/>
  <c r="E20" i="1"/>
  <c r="E11" i="1"/>
  <c r="E15" i="1"/>
  <c r="E25" i="1"/>
  <c r="E14" i="1"/>
  <c r="AA9" i="9"/>
  <c r="AA10" i="9"/>
  <c r="AD10" i="9"/>
  <c r="AB10" i="9"/>
  <c r="AC10" i="9"/>
  <c r="AH10" i="9"/>
  <c r="AA11" i="9"/>
  <c r="AD9" i="9"/>
  <c r="AC9" i="9"/>
  <c r="AH9" i="9"/>
  <c r="AB9" i="9"/>
  <c r="D8" i="8"/>
  <c r="E26" i="1"/>
  <c r="D7" i="1"/>
  <c r="E8" i="1"/>
  <c r="D10" i="8"/>
  <c r="AK9" i="9"/>
  <c r="AR9" i="9"/>
  <c r="AQ9" i="9"/>
  <c r="AI9" i="9"/>
  <c r="AP9" i="9"/>
  <c r="AB11" i="9"/>
  <c r="AO9" i="9"/>
  <c r="AJ9" i="9"/>
  <c r="AN9" i="9"/>
  <c r="AM9" i="9"/>
  <c r="AT9" i="9"/>
  <c r="AL9" i="9"/>
  <c r="AS9" i="9"/>
  <c r="AJ10" i="9"/>
  <c r="AQ10" i="9"/>
  <c r="AP10" i="9"/>
  <c r="AO10" i="9"/>
  <c r="AN10" i="9"/>
  <c r="AI10" i="9"/>
  <c r="AM10" i="9"/>
  <c r="AR10" i="9"/>
  <c r="AT10" i="9"/>
  <c r="AL10" i="9"/>
  <c r="AS10" i="9"/>
  <c r="AK10" i="9"/>
  <c r="AD11" i="9"/>
  <c r="AC11" i="9"/>
  <c r="D11" i="8"/>
  <c r="D6" i="1"/>
  <c r="D22" i="1"/>
  <c r="D16" i="1"/>
  <c r="D17" i="1"/>
  <c r="D20" i="1"/>
  <c r="D15" i="1"/>
  <c r="D10" i="1"/>
  <c r="D23" i="1"/>
  <c r="D19" i="1"/>
  <c r="D18" i="1"/>
  <c r="D9" i="1"/>
  <c r="D13" i="1"/>
  <c r="D14" i="1"/>
  <c r="D11" i="1"/>
  <c r="D21" i="1"/>
  <c r="D24" i="1"/>
  <c r="D12" i="1"/>
  <c r="D25" i="1"/>
  <c r="E10" i="8"/>
  <c r="E9" i="8"/>
  <c r="AT11" i="9"/>
  <c r="AJ11" i="9"/>
  <c r="AO11" i="9"/>
  <c r="AS11" i="9"/>
  <c r="AP11" i="9"/>
  <c r="AL11" i="9"/>
  <c r="AI11" i="9"/>
  <c r="AU9" i="9"/>
  <c r="AU10" i="9"/>
  <c r="AQ11" i="9"/>
  <c r="AM11" i="9"/>
  <c r="AR11" i="9"/>
  <c r="AN11" i="9"/>
  <c r="AK11" i="9"/>
  <c r="E11" i="8"/>
  <c r="D26" i="1"/>
  <c r="AD26" i="1"/>
  <c r="AD9" i="1"/>
  <c r="AD16" i="1"/>
  <c r="AD14" i="1"/>
  <c r="AD20" i="1"/>
  <c r="AD17" i="1"/>
  <c r="AD12" i="1"/>
  <c r="AD23" i="1"/>
  <c r="AD22" i="1"/>
  <c r="AD19" i="1"/>
  <c r="AD15" i="1"/>
  <c r="AD13" i="1"/>
  <c r="AD21" i="1"/>
  <c r="AD11" i="1"/>
  <c r="AD18" i="1"/>
  <c r="AD24" i="1"/>
  <c r="AD10" i="1"/>
  <c r="AD25" i="1"/>
  <c r="D8" i="1"/>
  <c r="F10" i="8"/>
  <c r="F9" i="8"/>
  <c r="AU11" i="9"/>
  <c r="AH11" i="9"/>
  <c r="F11" i="8"/>
  <c r="G10" i="8"/>
  <c r="G9" i="8"/>
  <c r="G11" i="8"/>
  <c r="H9" i="8"/>
  <c r="H10" i="8"/>
  <c r="H11" i="8"/>
  <c r="I10" i="8"/>
  <c r="I9" i="8"/>
  <c r="I11" i="8"/>
  <c r="J9" i="8"/>
  <c r="J10" i="8"/>
  <c r="J11" i="8"/>
  <c r="K10" i="8"/>
  <c r="K9" i="8"/>
  <c r="K11" i="8"/>
  <c r="L9" i="8"/>
  <c r="L10" i="8"/>
  <c r="L11" i="8"/>
  <c r="M10" i="8"/>
  <c r="M9" i="8"/>
  <c r="M11" i="8"/>
  <c r="N9" i="8"/>
  <c r="N10" i="8"/>
  <c r="N11" i="8"/>
  <c r="O10" i="8"/>
  <c r="O9" i="8"/>
  <c r="O11" i="8"/>
  <c r="P9" i="8"/>
  <c r="P10" i="8"/>
  <c r="P11" i="8"/>
  <c r="Q10" i="8"/>
  <c r="Q9" i="8"/>
  <c r="Q11" i="8"/>
  <c r="R10" i="8"/>
  <c r="R9" i="8"/>
  <c r="R11" i="8"/>
  <c r="S9" i="8"/>
  <c r="S10" i="8"/>
  <c r="S11" i="8"/>
  <c r="T10" i="8"/>
  <c r="T9" i="8"/>
  <c r="T11" i="8"/>
  <c r="U10" i="8"/>
  <c r="U9" i="8"/>
  <c r="U11" i="8"/>
  <c r="V9" i="8"/>
  <c r="V10" i="8"/>
  <c r="V11" i="8"/>
  <c r="W10" i="8"/>
  <c r="W9" i="8"/>
  <c r="W11" i="8"/>
  <c r="X9" i="8"/>
  <c r="X10" i="8"/>
  <c r="X11" i="8"/>
  <c r="Y10" i="8"/>
  <c r="Y9" i="8"/>
  <c r="Y11" i="8"/>
  <c r="Z10" i="8"/>
  <c r="Z9" i="8"/>
  <c r="Z11" i="8"/>
  <c r="AA9" i="8"/>
  <c r="AA10" i="8"/>
  <c r="AD9" i="8"/>
  <c r="AB9" i="8"/>
  <c r="AC9" i="8"/>
  <c r="AH9" i="8"/>
  <c r="AD10" i="8"/>
  <c r="AB10" i="8"/>
  <c r="AC10" i="8"/>
  <c r="AH10" i="8"/>
  <c r="AA11" i="8"/>
  <c r="AD11" i="8"/>
  <c r="AC11" i="8"/>
  <c r="AB11" i="8"/>
  <c r="AH11" i="8"/>
</calcChain>
</file>

<file path=xl/sharedStrings.xml><?xml version="1.0" encoding="utf-8"?>
<sst xmlns="http://schemas.openxmlformats.org/spreadsheetml/2006/main" count="213" uniqueCount="136">
  <si>
    <t>Cesta k API</t>
  </si>
  <si>
    <t>Období</t>
  </si>
  <si>
    <t>601</t>
  </si>
  <si>
    <t>Uživatel</t>
  </si>
  <si>
    <t>Heslo</t>
  </si>
  <si>
    <t>Výnosy po skupinách</t>
  </si>
  <si>
    <t>Tržby za vlastní výrobky</t>
  </si>
  <si>
    <t>Tržby z prodeje služeb</t>
  </si>
  <si>
    <t>Tržby za zboží</t>
  </si>
  <si>
    <t>Tržby z prodeje dlouhodobého majetku</t>
  </si>
  <si>
    <t>641</t>
  </si>
  <si>
    <t>604</t>
  </si>
  <si>
    <t>602</t>
  </si>
  <si>
    <t>Tržby z prodeje materiálu</t>
  </si>
  <si>
    <t>Smluvní pokuty a úroky z prodlení</t>
  </si>
  <si>
    <t>Výnosy z odepsaných pohledávek</t>
  </si>
  <si>
    <t>Ostatní provozní výnosy</t>
  </si>
  <si>
    <t>642</t>
  </si>
  <si>
    <t>644</t>
  </si>
  <si>
    <t>646</t>
  </si>
  <si>
    <t>648</t>
  </si>
  <si>
    <t>Tržby z prodeje cenných papírů a podílů</t>
  </si>
  <si>
    <t>Úroky</t>
  </si>
  <si>
    <t>Kursové zisky</t>
  </si>
  <si>
    <t>Výnosy z přecenění cenných papírů</t>
  </si>
  <si>
    <t>Výnosy z dlouhodobého finančního majetku</t>
  </si>
  <si>
    <t>Výnosy z krátkodobého finančního majetku</t>
  </si>
  <si>
    <t>Výnosy z derivátových operací</t>
  </si>
  <si>
    <t>Ostatní finanční výnosy</t>
  </si>
  <si>
    <t>661</t>
  </si>
  <si>
    <t>662</t>
  </si>
  <si>
    <t>663</t>
  </si>
  <si>
    <t>664</t>
  </si>
  <si>
    <t>665</t>
  </si>
  <si>
    <t>666</t>
  </si>
  <si>
    <t>667</t>
  </si>
  <si>
    <t>668</t>
  </si>
  <si>
    <t>Převod provozních výnosů</t>
  </si>
  <si>
    <t>697</t>
  </si>
  <si>
    <t>12 měsíců</t>
  </si>
  <si>
    <t>Celkem</t>
  </si>
  <si>
    <t>Predikce</t>
  </si>
  <si>
    <t>Ručně</t>
  </si>
  <si>
    <t>Změna</t>
  </si>
  <si>
    <t>Růst</t>
  </si>
  <si>
    <t>183 dní</t>
  </si>
  <si>
    <t>365 dní</t>
  </si>
  <si>
    <t>Minimum</t>
  </si>
  <si>
    <t>Maximum</t>
  </si>
  <si>
    <t>Účet</t>
  </si>
  <si>
    <t>Historie</t>
  </si>
  <si>
    <t>-</t>
  </si>
  <si>
    <t>Tržby za vlastní výrobky a služby</t>
  </si>
  <si>
    <t>Měsíc</t>
  </si>
  <si>
    <t>Podíl</t>
  </si>
  <si>
    <t>Nastavení API</t>
  </si>
  <si>
    <t>(údaje v tis. Kč)                         Stav ke dni:</t>
  </si>
  <si>
    <t>a</t>
  </si>
  <si>
    <t>balance</t>
  </si>
  <si>
    <t>sale</t>
  </si>
  <si>
    <t>receivable</t>
  </si>
  <si>
    <t>211</t>
  </si>
  <si>
    <t>221</t>
  </si>
  <si>
    <t>Banky</t>
  </si>
  <si>
    <t>Pokladny</t>
  </si>
  <si>
    <t>Peníze celkem</t>
  </si>
  <si>
    <t>Peníze - vývoj</t>
  </si>
  <si>
    <t>Sklady vývoj</t>
  </si>
  <si>
    <t>Menu</t>
  </si>
  <si>
    <t>Menu 1</t>
  </si>
  <si>
    <t>Menu 2</t>
  </si>
  <si>
    <t>Obraty</t>
  </si>
  <si>
    <t>AbraSales</t>
  </si>
  <si>
    <t>Prodej po období</t>
  </si>
  <si>
    <t>Mzdy</t>
  </si>
  <si>
    <t>Majetek</t>
  </si>
  <si>
    <t>typ informace</t>
  </si>
  <si>
    <t>q - počet</t>
  </si>
  <si>
    <t>a - skladová cena</t>
  </si>
  <si>
    <t>typ informace:</t>
  </si>
  <si>
    <t>a - prodejní cena bez DPH</t>
  </si>
  <si>
    <t>t - celkem</t>
  </si>
  <si>
    <t>p - zaplaceno</t>
  </si>
  <si>
    <t>np - nezaplaceno</t>
  </si>
  <si>
    <t>c - dobropisováno</t>
  </si>
  <si>
    <t xml:space="preserve">Pohledávky </t>
  </si>
  <si>
    <t>Závazky</t>
  </si>
  <si>
    <t>Paramatry shodné pro Receivable i Payable:</t>
  </si>
  <si>
    <t xml:space="preserve">Typ </t>
  </si>
  <si>
    <t>t</t>
  </si>
  <si>
    <t>p</t>
  </si>
  <si>
    <t>np</t>
  </si>
  <si>
    <t>c</t>
  </si>
  <si>
    <t>ODPISY</t>
  </si>
  <si>
    <t>Druh</t>
  </si>
  <si>
    <t>a - účetní odpisy</t>
  </si>
  <si>
    <t>t - daňové odpisy</t>
  </si>
  <si>
    <t>Rozdíl</t>
  </si>
  <si>
    <t>tb - daňová vstupní cena</t>
  </si>
  <si>
    <t>ab - účetní vstupní cena</t>
  </si>
  <si>
    <t>tr - daňová zůstatková cena</t>
  </si>
  <si>
    <t>ar - účetní zůstatková cena</t>
  </si>
  <si>
    <t>tb</t>
  </si>
  <si>
    <t>ab</t>
  </si>
  <si>
    <t>tr</t>
  </si>
  <si>
    <t>ar</t>
  </si>
  <si>
    <t>Stavy majetku</t>
  </si>
  <si>
    <t>AbraDepreciation</t>
  </si>
  <si>
    <t>AbraAsset</t>
  </si>
  <si>
    <t>Účetní odpisy</t>
  </si>
  <si>
    <t>Daňové odpisy</t>
  </si>
  <si>
    <t>daňová vstupní cena</t>
  </si>
  <si>
    <t>účetní vstupní cena</t>
  </si>
  <si>
    <t>daňová zůstatková cena</t>
  </si>
  <si>
    <t>účetní zůstatková cena</t>
  </si>
  <si>
    <t>n - počet mzdových listů</t>
  </si>
  <si>
    <t>d - úvazky v hodinách</t>
  </si>
  <si>
    <t>f - fond pracovní doby</t>
  </si>
  <si>
    <t>t - odpracovaná doba</t>
  </si>
  <si>
    <t>g - hrubá mzda</t>
  </si>
  <si>
    <t>typ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</si>
  <si>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</si>
  <si>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</si>
  <si>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</si>
  <si>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</si>
  <si>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</si>
  <si>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</si>
  <si>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</si>
  <si>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</si>
  <si>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</si>
  <si>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</si>
  <si>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</si>
  <si>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Supervisor</t>
  </si>
  <si>
    <t>Max. Timeout [s]</t>
  </si>
  <si>
    <t>http://localhost/data</t>
  </si>
  <si>
    <t>milda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</si>
</sst>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0.0%"/>
    <numFmt numFmtId="170" formatCode="#,##0.000\ _K_č"/>
    <numFmt numFmtId="171" formatCode="yyyy\/mm"/>
  </numFmts>
  <fonts count="23" x14ac:knownFonts="1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2"/>
      <name val="Arial CE"/>
      <family val="2"/>
      <charset val="238"/>
    </font>
    <font>
      <sz val="8"/>
      <name val="Arial CE"/>
      <family val="2"/>
      <charset val="238"/>
    </font>
    <font>
      <sz val="8"/>
      <name val="Arial CE"/>
      <charset val="238"/>
    </font>
    <font>
      <b/>
      <sz val="8"/>
      <color rgb="FF000000"/>
      <name val="Arial CE"/>
    </font>
    <font>
      <b/>
      <sz val="10"/>
      <color theme="1" tint="0.14999847407452621"/>
      <name val="Arial CE"/>
      <charset val="238"/>
    </font>
    <font>
      <sz val="8"/>
      <color theme="1" tint="0.14999847407452621"/>
      <name val="Arial CE"/>
      <family val="2"/>
      <charset val="238"/>
    </font>
    <font>
      <sz val="8"/>
      <color theme="1" tint="0.14999847407452621"/>
      <name val="Arial CE"/>
      <charset val="238"/>
    </font>
    <font>
      <b/>
      <sz val="11"/>
      <color theme="1" tint="0.14999847407452621"/>
      <name val="Arial CE"/>
      <charset val="238"/>
    </font>
    <font>
      <sz val="8"/>
      <color theme="1" tint="0.14999847407452621"/>
      <name val="Arial"/>
      <family val="2"/>
      <charset val="238"/>
    </font>
    <font>
      <b/>
      <sz val="8"/>
      <color theme="1" tint="0.14999847407452621"/>
      <name val="Arial CE"/>
      <charset val="238"/>
    </font>
    <font>
      <b/>
      <sz val="8"/>
      <name val="Arial"/>
      <family val="2"/>
      <charset val="238"/>
    </font>
    <font>
      <sz val="8"/>
      <color theme="1" tint="4.9989318521683403E-2"/>
      <name val="Arial CE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u/>
      <sz val="10"/>
      <color theme="10"/>
      <name val="Arial"/>
      <family val="2"/>
      <charset val="238"/>
    </font>
    <font>
      <b/>
      <sz val="8"/>
      <name val="Arial CE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1"/>
      <name val="Arial CE"/>
      <charset val="238"/>
    </font>
    <font>
      <b/>
      <i/>
      <sz val="8"/>
      <name val="Arial CE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7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medium">
        <color theme="0"/>
      </right>
      <top/>
      <bottom style="medium">
        <color theme="0"/>
      </bottom>
      <diagonal/>
    </border>
    <border>
      <left style="thin">
        <color rgb="FFEFFAFF"/>
      </left>
      <right/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indexed="9"/>
      </right>
      <top style="medium">
        <color theme="0"/>
      </top>
      <bottom style="thin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indexed="9"/>
      </right>
      <top style="thin">
        <color theme="0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06918546098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48">
    <xf numFmtId="0" fontId="0" fillId="0" borderId="0" xfId="0"/>
    <xf numFmtId="166" fontId="8" fillId="3" borderId="0" xfId="0" applyNumberFormat="1" applyFont="1" applyFill="1" applyBorder="1"/>
    <xf numFmtId="166" fontId="7" fillId="3" borderId="0" xfId="0" applyNumberFormat="1" applyFont="1" applyFill="1" applyBorder="1" applyAlignment="1">
      <alignment vertical="center"/>
    </xf>
    <xf numFmtId="166" fontId="9" fillId="3" borderId="0" xfId="0" applyNumberFormat="1" applyFont="1" applyFill="1" applyBorder="1" applyAlignment="1"/>
    <xf numFmtId="166" fontId="10" fillId="3" borderId="0" xfId="0" applyNumberFormat="1" applyFont="1" applyFill="1" applyBorder="1" applyAlignment="1"/>
    <xf numFmtId="0" fontId="11" fillId="3" borderId="0" xfId="0" applyFont="1" applyFill="1" applyBorder="1" applyAlignment="1"/>
    <xf numFmtId="164" fontId="8" fillId="2" borderId="0" xfId="0" applyNumberFormat="1" applyFont="1" applyFill="1" applyBorder="1" applyAlignment="1">
      <alignment horizontal="right" vertical="center"/>
    </xf>
    <xf numFmtId="166" fontId="7" fillId="3" borderId="3" xfId="0" applyNumberFormat="1" applyFont="1" applyFill="1" applyBorder="1" applyAlignment="1">
      <alignment vertical="center"/>
    </xf>
    <xf numFmtId="166" fontId="7" fillId="3" borderId="6" xfId="0" applyNumberFormat="1" applyFont="1" applyFill="1" applyBorder="1"/>
    <xf numFmtId="166" fontId="8" fillId="3" borderId="7" xfId="0" applyNumberFormat="1" applyFont="1" applyFill="1" applyBorder="1"/>
    <xf numFmtId="166" fontId="7" fillId="3" borderId="7" xfId="0" applyNumberFormat="1" applyFont="1" applyFill="1" applyBorder="1" applyAlignment="1">
      <alignment vertical="center"/>
    </xf>
    <xf numFmtId="166" fontId="7" fillId="3" borderId="8" xfId="0" applyNumberFormat="1" applyFont="1" applyFill="1" applyBorder="1" applyAlignment="1">
      <alignment horizontal="center" vertical="center"/>
    </xf>
    <xf numFmtId="166" fontId="7" fillId="3" borderId="7" xfId="0" applyNumberFormat="1" applyFont="1" applyFill="1" applyBorder="1"/>
    <xf numFmtId="166" fontId="7" fillId="3" borderId="8" xfId="0" applyNumberFormat="1" applyFont="1" applyFill="1" applyBorder="1" applyAlignment="1">
      <alignment horizontal="center"/>
    </xf>
    <xf numFmtId="166" fontId="9" fillId="3" borderId="2" xfId="0" applyNumberFormat="1" applyFont="1" applyFill="1" applyBorder="1" applyAlignment="1">
      <alignment horizontal="right"/>
    </xf>
    <xf numFmtId="166" fontId="8" fillId="3" borderId="3" xfId="0" applyNumberFormat="1" applyFont="1" applyFill="1" applyBorder="1"/>
    <xf numFmtId="166" fontId="9" fillId="3" borderId="2" xfId="0" applyNumberFormat="1" applyFont="1" applyFill="1" applyBorder="1" applyAlignment="1"/>
    <xf numFmtId="0" fontId="11" fillId="3" borderId="2" xfId="0" applyFont="1" applyFill="1" applyBorder="1" applyAlignment="1"/>
    <xf numFmtId="3" fontId="12" fillId="3" borderId="12" xfId="0" applyNumberFormat="1" applyFont="1" applyFill="1" applyBorder="1" applyAlignment="1"/>
    <xf numFmtId="3" fontId="12" fillId="3" borderId="13" xfId="0" applyNumberFormat="1" applyFont="1" applyFill="1" applyBorder="1" applyAlignment="1"/>
    <xf numFmtId="3" fontId="12" fillId="3" borderId="14" xfId="0" applyNumberFormat="1" applyFont="1" applyFill="1" applyBorder="1" applyAlignment="1"/>
    <xf numFmtId="3" fontId="12" fillId="3" borderId="5" xfId="0" applyNumberFormat="1" applyFont="1" applyFill="1" applyBorder="1" applyAlignment="1"/>
    <xf numFmtId="164" fontId="9" fillId="3" borderId="29" xfId="0" applyNumberFormat="1" applyFont="1" applyFill="1" applyBorder="1"/>
    <xf numFmtId="164" fontId="9" fillId="3" borderId="30" xfId="0" applyNumberFormat="1" applyFont="1" applyFill="1" applyBorder="1"/>
    <xf numFmtId="164" fontId="9" fillId="3" borderId="31" xfId="0" applyNumberFormat="1" applyFont="1" applyFill="1" applyBorder="1"/>
    <xf numFmtId="166" fontId="7" fillId="3" borderId="33" xfId="0" applyNumberFormat="1" applyFont="1" applyFill="1" applyBorder="1" applyAlignment="1">
      <alignment vertical="center"/>
    </xf>
    <xf numFmtId="164" fontId="9" fillId="3" borderId="34" xfId="0" applyNumberFormat="1" applyFont="1" applyFill="1" applyBorder="1"/>
    <xf numFmtId="164" fontId="9" fillId="3" borderId="9" xfId="0" applyNumberFormat="1" applyFont="1" applyFill="1" applyBorder="1"/>
    <xf numFmtId="164" fontId="9" fillId="3" borderId="35" xfId="0" applyNumberFormat="1" applyFont="1" applyFill="1" applyBorder="1"/>
    <xf numFmtId="165" fontId="12" fillId="3" borderId="37" xfId="0" applyNumberFormat="1" applyFont="1" applyFill="1" applyBorder="1" applyAlignment="1">
      <alignment vertical="center"/>
    </xf>
    <xf numFmtId="165" fontId="12" fillId="3" borderId="38" xfId="0" applyNumberFormat="1" applyFont="1" applyFill="1" applyBorder="1" applyAlignment="1">
      <alignment vertical="center"/>
    </xf>
    <xf numFmtId="168" fontId="12" fillId="3" borderId="39" xfId="0" applyNumberFormat="1" applyFont="1" applyFill="1" applyBorder="1"/>
    <xf numFmtId="168" fontId="12" fillId="3" borderId="40" xfId="0" applyNumberFormat="1" applyFont="1" applyFill="1" applyBorder="1"/>
    <xf numFmtId="168" fontId="12" fillId="3" borderId="40" xfId="0" applyNumberFormat="1" applyFont="1" applyFill="1" applyBorder="1" applyAlignment="1">
      <alignment horizontal="right"/>
    </xf>
    <xf numFmtId="168" fontId="12" fillId="3" borderId="41" xfId="0" applyNumberFormat="1" applyFont="1" applyFill="1" applyBorder="1" applyAlignment="1">
      <alignment horizontal="right"/>
    </xf>
    <xf numFmtId="168" fontId="12" fillId="3" borderId="5" xfId="0" applyNumberFormat="1" applyFont="1" applyFill="1" applyBorder="1" applyAlignment="1">
      <alignment horizontal="right"/>
    </xf>
    <xf numFmtId="166" fontId="12" fillId="3" borderId="5" xfId="0" applyNumberFormat="1" applyFont="1" applyFill="1" applyBorder="1" applyAlignment="1">
      <alignment horizontal="right"/>
    </xf>
    <xf numFmtId="49" fontId="9" fillId="0" borderId="21" xfId="0" applyNumberFormat="1" applyFont="1" applyFill="1" applyBorder="1" applyAlignment="1"/>
    <xf numFmtId="49" fontId="9" fillId="0" borderId="22" xfId="0" applyNumberFormat="1" applyFont="1" applyFill="1" applyBorder="1" applyAlignment="1"/>
    <xf numFmtId="3" fontId="9" fillId="0" borderId="22" xfId="0" applyNumberFormat="1" applyFont="1" applyFill="1" applyBorder="1"/>
    <xf numFmtId="3" fontId="9" fillId="0" borderId="44" xfId="0" applyNumberFormat="1" applyFont="1" applyFill="1" applyBorder="1"/>
    <xf numFmtId="49" fontId="9" fillId="0" borderId="23" xfId="0" applyNumberFormat="1" applyFont="1" applyFill="1" applyBorder="1" applyAlignment="1"/>
    <xf numFmtId="49" fontId="9" fillId="0" borderId="24" xfId="0" applyNumberFormat="1" applyFont="1" applyFill="1" applyBorder="1" applyAlignment="1"/>
    <xf numFmtId="3" fontId="9" fillId="0" borderId="24" xfId="0" applyNumberFormat="1" applyFont="1" applyFill="1" applyBorder="1"/>
    <xf numFmtId="3" fontId="9" fillId="0" borderId="45" xfId="0" applyNumberFormat="1" applyFont="1" applyFill="1" applyBorder="1"/>
    <xf numFmtId="49" fontId="9" fillId="0" borderId="26" xfId="0" applyNumberFormat="1" applyFont="1" applyFill="1" applyBorder="1" applyAlignment="1"/>
    <xf numFmtId="49" fontId="9" fillId="0" borderId="27" xfId="0" applyNumberFormat="1" applyFont="1" applyFill="1" applyBorder="1" applyAlignment="1"/>
    <xf numFmtId="3" fontId="9" fillId="0" borderId="27" xfId="0" applyNumberFormat="1" applyFont="1" applyFill="1" applyBorder="1"/>
    <xf numFmtId="3" fontId="9" fillId="0" borderId="46" xfId="0" applyNumberFormat="1" applyFont="1" applyFill="1" applyBorder="1"/>
    <xf numFmtId="3" fontId="9" fillId="0" borderId="42" xfId="0" applyNumberFormat="1" applyFont="1" applyFill="1" applyBorder="1"/>
    <xf numFmtId="3" fontId="9" fillId="0" borderId="43" xfId="0" applyNumberFormat="1" applyFont="1" applyFill="1" applyBorder="1"/>
    <xf numFmtId="168" fontId="12" fillId="3" borderId="50" xfId="0" applyNumberFormat="1" applyFont="1" applyFill="1" applyBorder="1" applyAlignment="1">
      <alignment horizontal="right"/>
    </xf>
    <xf numFmtId="168" fontId="12" fillId="3" borderId="10" xfId="0" applyNumberFormat="1" applyFont="1" applyFill="1" applyBorder="1" applyAlignment="1">
      <alignment horizontal="right"/>
    </xf>
    <xf numFmtId="169" fontId="12" fillId="3" borderId="17" xfId="1" applyNumberFormat="1" applyFont="1" applyFill="1" applyBorder="1" applyAlignment="1">
      <alignment horizontal="right"/>
    </xf>
    <xf numFmtId="169" fontId="12" fillId="3" borderId="18" xfId="1" applyNumberFormat="1" applyFont="1" applyFill="1" applyBorder="1" applyAlignment="1">
      <alignment horizontal="right"/>
    </xf>
    <xf numFmtId="169" fontId="12" fillId="3" borderId="20" xfId="1" applyNumberFormat="1" applyFont="1" applyFill="1" applyBorder="1" applyAlignment="1">
      <alignment horizontal="right"/>
    </xf>
    <xf numFmtId="169" fontId="12" fillId="3" borderId="19" xfId="1" applyNumberFormat="1" applyFont="1" applyFill="1" applyBorder="1" applyAlignment="1">
      <alignment horizontal="right"/>
    </xf>
    <xf numFmtId="166" fontId="8" fillId="3" borderId="8" xfId="0" applyNumberFormat="1" applyFont="1" applyFill="1" applyBorder="1"/>
    <xf numFmtId="166" fontId="8" fillId="3" borderId="16" xfId="0" applyNumberFormat="1" applyFont="1" applyFill="1" applyBorder="1"/>
    <xf numFmtId="166" fontId="4" fillId="0" borderId="4" xfId="0" applyNumberFormat="1" applyFont="1" applyFill="1" applyBorder="1"/>
    <xf numFmtId="164" fontId="4" fillId="0" borderId="4" xfId="0" applyNumberFormat="1" applyFont="1" applyFill="1" applyBorder="1"/>
    <xf numFmtId="164" fontId="5" fillId="0" borderId="4" xfId="0" applyNumberFormat="1" applyFont="1" applyFill="1" applyBorder="1"/>
    <xf numFmtId="166" fontId="4" fillId="0" borderId="4" xfId="0" applyNumberFormat="1" applyFont="1" applyFill="1" applyBorder="1" applyAlignment="1"/>
    <xf numFmtId="0" fontId="3" fillId="0" borderId="4" xfId="0" applyFont="1" applyFill="1" applyBorder="1" applyAlignment="1">
      <alignment vertical="center"/>
    </xf>
    <xf numFmtId="165" fontId="4" fillId="0" borderId="4" xfId="0" applyNumberFormat="1" applyFont="1" applyFill="1" applyBorder="1" applyAlignment="1">
      <alignment horizontal="left"/>
    </xf>
    <xf numFmtId="4" fontId="0" fillId="0" borderId="4" xfId="0" applyNumberFormat="1" applyFill="1" applyBorder="1"/>
    <xf numFmtId="0" fontId="0" fillId="0" borderId="4" xfId="0" applyFill="1" applyBorder="1"/>
    <xf numFmtId="166" fontId="4" fillId="0" borderId="4" xfId="0" applyNumberFormat="1" applyFont="1" applyFill="1" applyBorder="1" applyAlignment="1">
      <alignment horizontal="right"/>
    </xf>
    <xf numFmtId="0" fontId="4" fillId="0" borderId="4" xfId="0" applyFont="1" applyFill="1" applyBorder="1"/>
    <xf numFmtId="164" fontId="3" fillId="0" borderId="4" xfId="0" applyNumberFormat="1" applyFont="1" applyFill="1" applyBorder="1" applyAlignment="1">
      <alignment vertical="center"/>
    </xf>
    <xf numFmtId="164" fontId="5" fillId="0" borderId="4" xfId="0" applyNumberFormat="1" applyFont="1" applyFill="1" applyBorder="1" applyAlignment="1">
      <alignment vertical="center"/>
    </xf>
    <xf numFmtId="0" fontId="3" fillId="0" borderId="4" xfId="0" applyFont="1" applyFill="1" applyBorder="1" applyAlignment="1"/>
    <xf numFmtId="0" fontId="4" fillId="0" borderId="4" xfId="0" applyFont="1" applyFill="1" applyBorder="1" applyAlignment="1"/>
    <xf numFmtId="170" fontId="4" fillId="0" borderId="4" xfId="0" applyNumberFormat="1" applyFont="1" applyFill="1" applyBorder="1"/>
    <xf numFmtId="167" fontId="4" fillId="0" borderId="4" xfId="0" applyNumberFormat="1" applyFont="1" applyFill="1" applyBorder="1"/>
    <xf numFmtId="3" fontId="12" fillId="0" borderId="47" xfId="0" applyNumberFormat="1" applyFont="1" applyFill="1" applyBorder="1"/>
    <xf numFmtId="3" fontId="12" fillId="0" borderId="48" xfId="0" applyNumberFormat="1" applyFont="1" applyFill="1" applyBorder="1"/>
    <xf numFmtId="3" fontId="12" fillId="0" borderId="49" xfId="0" applyNumberFormat="1" applyFont="1" applyFill="1" applyBorder="1"/>
    <xf numFmtId="3" fontId="12" fillId="0" borderId="25" xfId="0" applyNumberFormat="1" applyFont="1" applyFill="1" applyBorder="1"/>
    <xf numFmtId="3" fontId="12" fillId="0" borderId="28" xfId="0" applyNumberFormat="1" applyFont="1" applyFill="1" applyBorder="1"/>
    <xf numFmtId="169" fontId="9" fillId="4" borderId="1" xfId="1" applyNumberFormat="1" applyFont="1" applyFill="1" applyBorder="1" applyAlignment="1">
      <alignment horizontal="right"/>
    </xf>
    <xf numFmtId="169" fontId="9" fillId="4" borderId="4" xfId="1" applyNumberFormat="1" applyFont="1" applyFill="1" applyBorder="1" applyAlignment="1">
      <alignment horizontal="right"/>
    </xf>
    <xf numFmtId="169" fontId="9" fillId="4" borderId="55" xfId="1" applyNumberFormat="1" applyFont="1" applyFill="1" applyBorder="1" applyAlignment="1">
      <alignment horizontal="right"/>
    </xf>
    <xf numFmtId="169" fontId="9" fillId="4" borderId="56" xfId="1" applyNumberFormat="1" applyFont="1" applyFill="1" applyBorder="1" applyAlignment="1">
      <alignment horizontal="right"/>
    </xf>
    <xf numFmtId="0" fontId="0" fillId="0" borderId="4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1" xfId="0" applyBorder="1"/>
    <xf numFmtId="0" fontId="13" fillId="3" borderId="61" xfId="0" applyFont="1" applyFill="1" applyBorder="1" applyAlignment="1">
      <alignment horizontal="right"/>
    </xf>
    <xf numFmtId="0" fontId="13" fillId="3" borderId="56" xfId="0" applyFont="1" applyFill="1" applyBorder="1" applyAlignment="1">
      <alignment horizontal="right"/>
    </xf>
    <xf numFmtId="0" fontId="0" fillId="0" borderId="58" xfId="0" applyBorder="1" applyAlignment="1">
      <alignment vertical="center"/>
    </xf>
    <xf numFmtId="0" fontId="0" fillId="0" borderId="4" xfId="0" applyBorder="1" applyAlignment="1">
      <alignment vertical="center"/>
    </xf>
    <xf numFmtId="0" fontId="13" fillId="3" borderId="62" xfId="0" applyFont="1" applyFill="1" applyBorder="1"/>
    <xf numFmtId="9" fontId="13" fillId="3" borderId="63" xfId="1" applyFont="1" applyFill="1" applyBorder="1"/>
    <xf numFmtId="0" fontId="15" fillId="0" borderId="58" xfId="0" applyFont="1" applyBorder="1"/>
    <xf numFmtId="0" fontId="15" fillId="0" borderId="4" xfId="0" applyFont="1" applyBorder="1"/>
    <xf numFmtId="0" fontId="0" fillId="0" borderId="64" xfId="0" applyBorder="1"/>
    <xf numFmtId="0" fontId="2" fillId="0" borderId="65" xfId="0" applyFont="1" applyBorder="1"/>
    <xf numFmtId="9" fontId="2" fillId="0" borderId="65" xfId="1" applyFont="1" applyBorder="1"/>
    <xf numFmtId="0" fontId="2" fillId="0" borderId="66" xfId="0" applyFont="1" applyBorder="1"/>
    <xf numFmtId="9" fontId="2" fillId="0" borderId="66" xfId="1" applyFont="1" applyBorder="1"/>
    <xf numFmtId="0" fontId="2" fillId="0" borderId="67" xfId="0" applyFont="1" applyBorder="1"/>
    <xf numFmtId="9" fontId="2" fillId="0" borderId="67" xfId="1" applyFont="1" applyBorder="1"/>
    <xf numFmtId="49" fontId="14" fillId="0" borderId="65" xfId="0" applyNumberFormat="1" applyFont="1" applyFill="1" applyBorder="1"/>
    <xf numFmtId="49" fontId="14" fillId="0" borderId="66" xfId="0" applyNumberFormat="1" applyFont="1" applyFill="1" applyBorder="1"/>
    <xf numFmtId="0" fontId="16" fillId="0" borderId="4" xfId="0" applyFont="1" applyFill="1" applyBorder="1"/>
    <xf numFmtId="0" fontId="17" fillId="0" borderId="0" xfId="2"/>
    <xf numFmtId="165" fontId="4" fillId="0" borderId="59" xfId="0" applyNumberFormat="1" applyFont="1" applyFill="1" applyBorder="1" applyAlignment="1">
      <alignment horizontal="left"/>
    </xf>
    <xf numFmtId="166" fontId="4" fillId="0" borderId="59" xfId="0" applyNumberFormat="1" applyFont="1" applyFill="1" applyBorder="1"/>
    <xf numFmtId="4" fontId="0" fillId="0" borderId="59" xfId="0" applyNumberFormat="1" applyFill="1" applyBorder="1"/>
    <xf numFmtId="0" fontId="0" fillId="0" borderId="59" xfId="0" applyFill="1" applyBorder="1"/>
    <xf numFmtId="49" fontId="9" fillId="0" borderId="68" xfId="0" applyNumberFormat="1" applyFont="1" applyFill="1" applyBorder="1" applyAlignment="1"/>
    <xf numFmtId="165" fontId="12" fillId="3" borderId="0" xfId="0" applyNumberFormat="1" applyFont="1" applyFill="1" applyBorder="1" applyAlignment="1">
      <alignment horizontal="left"/>
    </xf>
    <xf numFmtId="3" fontId="12" fillId="3" borderId="0" xfId="0" applyNumberFormat="1" applyFont="1" applyFill="1" applyBorder="1" applyAlignment="1"/>
    <xf numFmtId="49" fontId="9" fillId="0" borderId="70" xfId="0" applyNumberFormat="1" applyFont="1" applyFill="1" applyBorder="1" applyAlignment="1"/>
    <xf numFmtId="49" fontId="9" fillId="0" borderId="71" xfId="0" applyNumberFormat="1" applyFont="1" applyFill="1" applyBorder="1" applyAlignment="1"/>
    <xf numFmtId="166" fontId="4" fillId="0" borderId="58" xfId="0" applyNumberFormat="1" applyFont="1" applyFill="1" applyBorder="1"/>
    <xf numFmtId="3" fontId="12" fillId="3" borderId="17" xfId="0" applyNumberFormat="1" applyFont="1" applyFill="1" applyBorder="1" applyAlignment="1"/>
    <xf numFmtId="3" fontId="9" fillId="0" borderId="69" xfId="0" applyNumberFormat="1" applyFont="1" applyFill="1" applyBorder="1"/>
    <xf numFmtId="165" fontId="18" fillId="0" borderId="4" xfId="0" applyNumberFormat="1" applyFont="1" applyFill="1" applyBorder="1" applyAlignment="1">
      <alignment horizontal="left"/>
    </xf>
    <xf numFmtId="4" fontId="5" fillId="0" borderId="4" xfId="0" applyNumberFormat="1" applyFont="1" applyFill="1" applyBorder="1"/>
    <xf numFmtId="165" fontId="19" fillId="0" borderId="4" xfId="0" applyNumberFormat="1" applyFont="1" applyFill="1" applyBorder="1" applyAlignment="1">
      <alignment horizontal="left"/>
    </xf>
    <xf numFmtId="165" fontId="20" fillId="0" borderId="4" xfId="0" applyNumberFormat="1" applyFont="1" applyFill="1" applyBorder="1" applyAlignment="1">
      <alignment horizontal="left"/>
    </xf>
    <xf numFmtId="49" fontId="9" fillId="0" borderId="72" xfId="0" applyNumberFormat="1" applyFont="1" applyFill="1" applyBorder="1" applyAlignment="1"/>
    <xf numFmtId="49" fontId="9" fillId="0" borderId="73" xfId="0" applyNumberFormat="1" applyFont="1" applyFill="1" applyBorder="1" applyAlignment="1"/>
    <xf numFmtId="165" fontId="21" fillId="0" borderId="4" xfId="0" applyNumberFormat="1" applyFont="1" applyFill="1" applyBorder="1" applyAlignment="1">
      <alignment horizontal="left"/>
    </xf>
    <xf numFmtId="49" fontId="9" fillId="0" borderId="74" xfId="0" applyNumberFormat="1" applyFont="1" applyFill="1" applyBorder="1" applyAlignment="1"/>
    <xf numFmtId="165" fontId="22" fillId="0" borderId="4" xfId="0" applyNumberFormat="1" applyFont="1" applyFill="1" applyBorder="1" applyAlignment="1">
      <alignment horizontal="left"/>
    </xf>
    <xf numFmtId="49" fontId="12" fillId="0" borderId="22" xfId="0" applyNumberFormat="1" applyFont="1" applyFill="1" applyBorder="1" applyAlignment="1">
      <alignment horizontal="center"/>
    </xf>
    <xf numFmtId="49" fontId="12" fillId="0" borderId="73" xfId="0" applyNumberFormat="1" applyFont="1" applyFill="1" applyBorder="1" applyAlignment="1">
      <alignment horizontal="center"/>
    </xf>
    <xf numFmtId="49" fontId="12" fillId="0" borderId="24" xfId="0" applyNumberFormat="1" applyFont="1" applyFill="1" applyBorder="1" applyAlignment="1">
      <alignment horizontal="center"/>
    </xf>
    <xf numFmtId="171" fontId="12" fillId="3" borderId="39" xfId="0" applyNumberFormat="1" applyFont="1" applyFill="1" applyBorder="1"/>
    <xf numFmtId="0" fontId="14" fillId="0" borderId="66" xfId="0" applyNumberFormat="1" applyFont="1" applyFill="1" applyBorder="1"/>
    <xf numFmtId="164" fontId="8" fillId="3" borderId="32" xfId="0" applyNumberFormat="1" applyFont="1" applyFill="1" applyBorder="1" applyAlignment="1">
      <alignment horizontal="center"/>
    </xf>
    <xf numFmtId="164" fontId="8" fillId="3" borderId="36" xfId="0" applyNumberFormat="1" applyFont="1" applyFill="1" applyBorder="1" applyAlignment="1">
      <alignment horizontal="center"/>
    </xf>
    <xf numFmtId="165" fontId="12" fillId="3" borderId="10" xfId="0" applyNumberFormat="1" applyFont="1" applyFill="1" applyBorder="1" applyAlignment="1">
      <alignment horizontal="left"/>
    </xf>
    <xf numFmtId="165" fontId="12" fillId="3" borderId="11" xfId="0" applyNumberFormat="1" applyFont="1" applyFill="1" applyBorder="1" applyAlignment="1">
      <alignment horizontal="left"/>
    </xf>
    <xf numFmtId="164" fontId="9" fillId="3" borderId="51" xfId="0" applyNumberFormat="1" applyFont="1" applyFill="1" applyBorder="1" applyAlignment="1">
      <alignment horizontal="center"/>
    </xf>
    <xf numFmtId="164" fontId="9" fillId="3" borderId="52" xfId="0" applyNumberFormat="1" applyFont="1" applyFill="1" applyBorder="1" applyAlignment="1">
      <alignment horizontal="center"/>
    </xf>
    <xf numFmtId="166" fontId="7" fillId="3" borderId="53" xfId="0" applyNumberFormat="1" applyFont="1" applyFill="1" applyBorder="1" applyAlignment="1">
      <alignment horizontal="center" vertical="center"/>
    </xf>
    <xf numFmtId="166" fontId="7" fillId="3" borderId="54" xfId="0" applyNumberFormat="1" applyFont="1" applyFill="1" applyBorder="1" applyAlignment="1">
      <alignment horizontal="center" vertical="center"/>
    </xf>
    <xf numFmtId="0" fontId="12" fillId="3" borderId="6" xfId="0" applyNumberFormat="1" applyFont="1" applyFill="1" applyBorder="1" applyAlignment="1">
      <alignment horizontal="center"/>
    </xf>
    <xf numFmtId="0" fontId="12" fillId="3" borderId="8" xfId="0" applyNumberFormat="1" applyFont="1" applyFill="1" applyBorder="1" applyAlignment="1">
      <alignment horizontal="center"/>
    </xf>
    <xf numFmtId="0" fontId="12" fillId="3" borderId="15" xfId="0" applyNumberFormat="1" applyFont="1" applyFill="1" applyBorder="1" applyAlignment="1">
      <alignment horizontal="center"/>
    </xf>
    <xf numFmtId="0" fontId="12" fillId="3" borderId="16" xfId="0" applyNumberFormat="1" applyFont="1" applyFill="1" applyBorder="1" applyAlignment="1">
      <alignment horizontal="center"/>
    </xf>
    <xf numFmtId="0" fontId="13" fillId="3" borderId="60" xfId="0" applyFont="1" applyFill="1" applyBorder="1" applyAlignment="1">
      <alignment horizontal="center" vertical="center"/>
    </xf>
    <xf numFmtId="0" fontId="13" fillId="3" borderId="55" xfId="0" applyFont="1" applyFill="1" applyBorder="1" applyAlignment="1">
      <alignment horizontal="center" vertical="center"/>
    </xf>
  </cellXfs>
  <cellStyles count="3">
    <cellStyle name="Hypertextový odkaz" xfId="2" builtinId="8"/>
    <cellStyle name="Normální" xfId="0" builtinId="0"/>
    <cellStyle name="Procenta" xfId="1" builtinId="5"/>
  </cellStyles>
  <dxfs count="6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9" defaultPivotStyle="PivotStyleLight16"/>
  <colors>
    <mruColors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cked"/>
        <c:varyColors val="0"/>
        <c:ser>
          <c:idx val="0"/>
          <c:order val="0"/>
          <c:tx>
            <c:strRef>
              <c:f>'Účty s vývojem'!$B$9:$C$9</c:f>
              <c:strCache>
                <c:ptCount val="2"/>
                <c:pt idx="0">
                  <c:v>Pokladny</c:v>
                </c:pt>
                <c:pt idx="1">
                  <c:v>211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42552</c:v>
                </c:pt>
                <c:pt idx="1">
                  <c:v>42583</c:v>
                </c:pt>
                <c:pt idx="2">
                  <c:v>42614</c:v>
                </c:pt>
                <c:pt idx="3">
                  <c:v>42644</c:v>
                </c:pt>
                <c:pt idx="4">
                  <c:v>42675</c:v>
                </c:pt>
                <c:pt idx="5">
                  <c:v>42705</c:v>
                </c:pt>
                <c:pt idx="6">
                  <c:v>42736</c:v>
                </c:pt>
                <c:pt idx="7">
                  <c:v>42767</c:v>
                </c:pt>
                <c:pt idx="8">
                  <c:v>42795</c:v>
                </c:pt>
                <c:pt idx="9">
                  <c:v>42826</c:v>
                </c:pt>
                <c:pt idx="10">
                  <c:v>42856</c:v>
                </c:pt>
                <c:pt idx="11">
                  <c:v>42887</c:v>
                </c:pt>
                <c:pt idx="12">
                  <c:v>42917</c:v>
                </c:pt>
                <c:pt idx="13">
                  <c:v>42948</c:v>
                </c:pt>
                <c:pt idx="14">
                  <c:v>42979</c:v>
                </c:pt>
                <c:pt idx="15">
                  <c:v>43009</c:v>
                </c:pt>
                <c:pt idx="16">
                  <c:v>43040</c:v>
                </c:pt>
                <c:pt idx="17">
                  <c:v>43070</c:v>
                </c:pt>
                <c:pt idx="18">
                  <c:v>43101</c:v>
                </c:pt>
                <c:pt idx="19">
                  <c:v>43132</c:v>
                </c:pt>
                <c:pt idx="20">
                  <c:v>43160</c:v>
                </c:pt>
                <c:pt idx="21">
                  <c:v>43191</c:v>
                </c:pt>
                <c:pt idx="22">
                  <c:v>43221</c:v>
                </c:pt>
                <c:pt idx="23">
                  <c:v>43252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vývojem'!$B$10:$C$10</c:f>
              <c:strCache>
                <c:ptCount val="2"/>
                <c:pt idx="0">
                  <c:v>Banky</c:v>
                </c:pt>
                <c:pt idx="1">
                  <c:v>221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42552</c:v>
                </c:pt>
                <c:pt idx="1">
                  <c:v>42583</c:v>
                </c:pt>
                <c:pt idx="2">
                  <c:v>42614</c:v>
                </c:pt>
                <c:pt idx="3">
                  <c:v>42644</c:v>
                </c:pt>
                <c:pt idx="4">
                  <c:v>42675</c:v>
                </c:pt>
                <c:pt idx="5">
                  <c:v>42705</c:v>
                </c:pt>
                <c:pt idx="6">
                  <c:v>42736</c:v>
                </c:pt>
                <c:pt idx="7">
                  <c:v>42767</c:v>
                </c:pt>
                <c:pt idx="8">
                  <c:v>42795</c:v>
                </c:pt>
                <c:pt idx="9">
                  <c:v>42826</c:v>
                </c:pt>
                <c:pt idx="10">
                  <c:v>42856</c:v>
                </c:pt>
                <c:pt idx="11">
                  <c:v>42887</c:v>
                </c:pt>
                <c:pt idx="12">
                  <c:v>42917</c:v>
                </c:pt>
                <c:pt idx="13">
                  <c:v>42948</c:v>
                </c:pt>
                <c:pt idx="14">
                  <c:v>42979</c:v>
                </c:pt>
                <c:pt idx="15">
                  <c:v>43009</c:v>
                </c:pt>
                <c:pt idx="16">
                  <c:v>43040</c:v>
                </c:pt>
                <c:pt idx="17">
                  <c:v>43070</c:v>
                </c:pt>
                <c:pt idx="18">
                  <c:v>43101</c:v>
                </c:pt>
                <c:pt idx="19">
                  <c:v>43132</c:v>
                </c:pt>
                <c:pt idx="20">
                  <c:v>43160</c:v>
                </c:pt>
                <c:pt idx="21">
                  <c:v>43191</c:v>
                </c:pt>
                <c:pt idx="22">
                  <c:v>43221</c:v>
                </c:pt>
                <c:pt idx="23">
                  <c:v>43252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150280"/>
        <c:axId val="2110153768"/>
        <c:axId val="0"/>
      </c:area3DChart>
      <c:dateAx>
        <c:axId val="211015028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('Penize stav'!$B$9,'Penize stav'!$B$10)</c:f>
              <c:strCache>
                <c:ptCount val="2"/>
                <c:pt idx="0">
                  <c:v>Pokladny</c:v>
                </c:pt>
                <c:pt idx="1">
                  <c:v>Banky</c:v>
                </c:pt>
              </c:strCache>
            </c:strRef>
          </c:cat>
          <c:val>
            <c:numRef>
              <c:f>('Penize stav'!$AB$9,'Penize stav'!$AB$10)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8-4FD5-B265-CE619605C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0415432"/>
        <c:axId val="2110245784"/>
      </c:barChart>
      <c:catAx>
        <c:axId val="2110415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245784"/>
        <c:crosses val="autoZero"/>
        <c:auto val="1"/>
        <c:lblAlgn val="ctr"/>
        <c:lblOffset val="100"/>
        <c:noMultiLvlLbl val="0"/>
      </c:catAx>
      <c:valAx>
        <c:axId val="211024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41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4</xdr:row>
          <xdr:rowOff>104775</xdr:rowOff>
        </xdr:to>
        <xdr:sp macro="" textlink="">
          <xdr:nvSpPr>
            <xdr:cNvPr id="1025" name="Button 8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5</xdr:row>
          <xdr:rowOff>0</xdr:rowOff>
        </xdr:to>
        <xdr:sp macro="" textlink="">
          <xdr:nvSpPr>
            <xdr:cNvPr id="7169" name="Button 8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438149</xdr:colOff>
      <xdr:row>12</xdr:row>
      <xdr:rowOff>0</xdr:rowOff>
    </xdr:from>
    <xdr:to>
      <xdr:col>20</xdr:col>
      <xdr:colOff>409575</xdr:colOff>
      <xdr:row>42</xdr:row>
      <xdr:rowOff>9524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4</xdr:row>
          <xdr:rowOff>123825</xdr:rowOff>
        </xdr:to>
        <xdr:sp macro="" textlink="">
          <xdr:nvSpPr>
            <xdr:cNvPr id="4097" name="Button 8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219488</xdr:colOff>
      <xdr:row>5</xdr:row>
      <xdr:rowOff>91109</xdr:rowOff>
    </xdr:from>
    <xdr:to>
      <xdr:col>41</xdr:col>
      <xdr:colOff>501097</xdr:colOff>
      <xdr:row>22</xdr:row>
      <xdr:rowOff>13252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5</xdr:row>
          <xdr:rowOff>0</xdr:rowOff>
        </xdr:to>
        <xdr:sp macro="" textlink="">
          <xdr:nvSpPr>
            <xdr:cNvPr id="9217" name="Button 8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5</xdr:row>
          <xdr:rowOff>28575</xdr:rowOff>
        </xdr:to>
        <xdr:sp macro="" textlink="">
          <xdr:nvSpPr>
            <xdr:cNvPr id="12289" name="Button 8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5</xdr:row>
          <xdr:rowOff>38100</xdr:rowOff>
        </xdr:to>
        <xdr:sp macro="" textlink="">
          <xdr:nvSpPr>
            <xdr:cNvPr id="20481" name="Button 8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5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66675</xdr:rowOff>
        </xdr:from>
        <xdr:to>
          <xdr:col>2</xdr:col>
          <xdr:colOff>609600</xdr:colOff>
          <xdr:row>18</xdr:row>
          <xdr:rowOff>180975</xdr:rowOff>
        </xdr:to>
        <xdr:sp macro="" textlink="">
          <xdr:nvSpPr>
            <xdr:cNvPr id="20482" name="Button 8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5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638175</xdr:colOff>
          <xdr:row>5</xdr:row>
          <xdr:rowOff>9525</xdr:rowOff>
        </xdr:to>
        <xdr:sp macro="" textlink="">
          <xdr:nvSpPr>
            <xdr:cNvPr id="16387" name="Button 8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3</xdr:col>
          <xdr:colOff>0</xdr:colOff>
          <xdr:row>5</xdr:row>
          <xdr:rowOff>28575</xdr:rowOff>
        </xdr:to>
        <xdr:sp macro="" textlink="">
          <xdr:nvSpPr>
            <xdr:cNvPr id="15361" name="Button 8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localhost/dat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HC29"/>
  <sheetViews>
    <sheetView zoomScale="130" zoomScaleNormal="130" zoomScalePageLayoutView="130" workbookViewId="0">
      <selection activeCell="AW9" sqref="AW9"/>
    </sheetView>
  </sheetViews>
  <sheetFormatPr defaultColWidth="9.140625" defaultRowHeight="15" customHeight="1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hidden="1" customWidth="1" outlineLevel="1"/>
    <col min="5" max="5" width="10.140625" style="59" hidden="1" customWidth="1" outlineLevel="1"/>
    <col min="6" max="11" width="9.28515625" style="59" hidden="1" customWidth="1" outlineLevel="1"/>
    <col min="12" max="12" width="10.28515625" style="59" hidden="1" customWidth="1" outlineLevel="1"/>
    <col min="13" max="16" width="9.28515625" style="59" hidden="1" customWidth="1" outlineLevel="1"/>
    <col min="17" max="17" width="10.140625" style="59" hidden="1" customWidth="1" outlineLevel="1"/>
    <col min="18" max="18" width="9.28515625" style="59" hidden="1" customWidth="1" outlineLevel="1"/>
    <col min="19" max="19" width="10.42578125" style="59" hidden="1" customWidth="1" outlineLevel="1"/>
    <col min="20" max="20" width="9.28515625" style="59" hidden="1" customWidth="1" outlineLevel="1"/>
    <col min="21" max="21" width="9.28515625" style="65" hidden="1" customWidth="1" outlineLevel="1"/>
    <col min="22" max="23" width="9.28515625" style="66" hidden="1" customWidth="1" outlineLevel="1"/>
    <col min="24" max="24" width="10.28515625" style="66" hidden="1" customWidth="1" outlineLevel="1"/>
    <col min="25" max="26" width="9.28515625" style="66" hidden="1" customWidth="1" outlineLevel="1"/>
    <col min="27" max="27" width="9.28515625" style="59" hidden="1" customWidth="1" outlineLevel="1"/>
    <col min="28" max="28" width="9.28515625" style="59" customWidth="1" collapsed="1"/>
    <col min="29" max="33" width="9.28515625" style="67" hidden="1" customWidth="1" outlineLevel="1"/>
    <col min="34" max="34" width="9.28515625" style="67" customWidth="1" collapsed="1"/>
    <col min="35" max="35" width="9.28515625" style="59" hidden="1" customWidth="1" outlineLevel="1"/>
    <col min="36" max="36" width="10.140625" style="59" hidden="1" customWidth="1" outlineLevel="1"/>
    <col min="37" max="42" width="9.28515625" style="59" hidden="1" customWidth="1" outlineLevel="1"/>
    <col min="43" max="43" width="10.28515625" style="59" hidden="1" customWidth="1" outlineLevel="1"/>
    <col min="44" max="46" width="9.28515625" style="59" hidden="1" customWidth="1" outlineLevel="1"/>
    <col min="47" max="47" width="9.28515625" style="59" customWidth="1" collapsed="1"/>
    <col min="48" max="211" width="9.140625" style="59"/>
    <col min="212" max="16384" width="9.140625" style="68"/>
  </cols>
  <sheetData>
    <row r="1" spans="1:50" ht="10.35" customHeight="1" thickBot="1" x14ac:dyDescent="0.25"/>
    <row r="2" spans="1:50" ht="15" customHeight="1" x14ac:dyDescent="0.2">
      <c r="B2" s="8" t="s">
        <v>50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7"/>
      <c r="AC2" s="9"/>
      <c r="AD2" s="10"/>
      <c r="AE2" s="10"/>
      <c r="AF2" s="10"/>
      <c r="AG2" s="10"/>
      <c r="AH2" s="11" t="s">
        <v>43</v>
      </c>
      <c r="AI2" s="12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13" t="s">
        <v>41</v>
      </c>
    </row>
    <row r="3" spans="1:50" ht="15" customHeight="1" x14ac:dyDescent="0.25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5"/>
      <c r="AC3" s="1"/>
      <c r="AD3" s="2"/>
      <c r="AE3" s="2"/>
      <c r="AF3" s="2"/>
      <c r="AG3" s="2"/>
      <c r="AH3" s="7"/>
      <c r="AI3" s="4"/>
      <c r="AJ3" s="3"/>
      <c r="AK3" s="1"/>
      <c r="AL3" s="1"/>
      <c r="AM3" s="1"/>
      <c r="AN3" s="1"/>
      <c r="AO3" s="1"/>
      <c r="AP3" s="1"/>
      <c r="AQ3" s="1"/>
      <c r="AR3" s="1"/>
      <c r="AS3" s="1"/>
      <c r="AT3" s="1"/>
      <c r="AU3" s="15"/>
    </row>
    <row r="4" spans="1:5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5"/>
      <c r="AC4" s="1"/>
      <c r="AD4" s="2"/>
      <c r="AE4" s="2"/>
      <c r="AF4" s="2"/>
      <c r="AG4" s="2"/>
      <c r="AH4" s="7"/>
      <c r="AI4" s="3"/>
      <c r="AJ4" s="3"/>
      <c r="AK4" s="1"/>
      <c r="AL4" s="1"/>
      <c r="AM4" s="1"/>
      <c r="AN4" s="1"/>
      <c r="AO4" s="1"/>
      <c r="AP4" s="1"/>
      <c r="AQ4" s="1"/>
      <c r="AR4" s="1"/>
      <c r="AS4" s="1"/>
      <c r="AT4" s="1"/>
      <c r="AU4" s="15"/>
    </row>
    <row r="5" spans="1:50" ht="15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8"/>
      <c r="AC5" s="1"/>
      <c r="AD5" s="2"/>
      <c r="AE5" s="2"/>
      <c r="AF5" s="2"/>
      <c r="AG5" s="2"/>
      <c r="AH5" s="7"/>
      <c r="AI5" s="5"/>
      <c r="AJ5" s="5"/>
      <c r="AK5" s="1"/>
      <c r="AL5" s="1"/>
      <c r="AM5" s="1"/>
      <c r="AN5" s="1"/>
      <c r="AO5" s="1"/>
      <c r="AP5" s="1"/>
      <c r="AQ5" s="1"/>
      <c r="AR5" s="1"/>
      <c r="AS5" s="1"/>
      <c r="AT5" s="1"/>
      <c r="AU5" s="15"/>
    </row>
    <row r="6" spans="1:50" s="60" customFormat="1" ht="15" hidden="1" customHeight="1" x14ac:dyDescent="0.2">
      <c r="A6" s="69"/>
      <c r="B6" s="142"/>
      <c r="C6" s="143"/>
      <c r="D6" s="22">
        <f t="shared" ref="D6:AA6" si="0">D7-IF(MONTH(D7)=2,IF(OR(YEAR(D7)=2008,YEAR(D7)=2012,YEAR(D7)=2016),29,28),IF(OR(MONTH(D7)=4,MONTH(D7)=6,MONTH(D7)=9,MONTH(D7)=11),30,31))+1</f>
        <v>42736</v>
      </c>
      <c r="E6" s="23">
        <f t="shared" si="0"/>
        <v>42767</v>
      </c>
      <c r="F6" s="23">
        <f t="shared" si="0"/>
        <v>42795</v>
      </c>
      <c r="G6" s="23">
        <f t="shared" si="0"/>
        <v>42826</v>
      </c>
      <c r="H6" s="23">
        <f t="shared" si="0"/>
        <v>42856</v>
      </c>
      <c r="I6" s="23">
        <f t="shared" si="0"/>
        <v>42887</v>
      </c>
      <c r="J6" s="23">
        <f t="shared" si="0"/>
        <v>42917</v>
      </c>
      <c r="K6" s="23">
        <f t="shared" si="0"/>
        <v>42948</v>
      </c>
      <c r="L6" s="23">
        <f t="shared" si="0"/>
        <v>42979</v>
      </c>
      <c r="M6" s="23">
        <f t="shared" si="0"/>
        <v>43009</v>
      </c>
      <c r="N6" s="23">
        <f t="shared" si="0"/>
        <v>43040</v>
      </c>
      <c r="O6" s="23">
        <f t="shared" si="0"/>
        <v>43070</v>
      </c>
      <c r="P6" s="23">
        <f t="shared" si="0"/>
        <v>43101</v>
      </c>
      <c r="Q6" s="23">
        <f t="shared" si="0"/>
        <v>43132</v>
      </c>
      <c r="R6" s="23">
        <f t="shared" si="0"/>
        <v>43160</v>
      </c>
      <c r="S6" s="23">
        <f t="shared" si="0"/>
        <v>43191</v>
      </c>
      <c r="T6" s="23">
        <f t="shared" si="0"/>
        <v>43221</v>
      </c>
      <c r="U6" s="23">
        <f t="shared" si="0"/>
        <v>43252</v>
      </c>
      <c r="V6" s="23">
        <f t="shared" si="0"/>
        <v>43282</v>
      </c>
      <c r="W6" s="23">
        <f t="shared" si="0"/>
        <v>43313</v>
      </c>
      <c r="X6" s="23">
        <f t="shared" si="0"/>
        <v>43344</v>
      </c>
      <c r="Y6" s="23">
        <f t="shared" si="0"/>
        <v>43374</v>
      </c>
      <c r="Z6" s="23">
        <f t="shared" si="0"/>
        <v>43405</v>
      </c>
      <c r="AA6" s="23">
        <f t="shared" si="0"/>
        <v>43435</v>
      </c>
      <c r="AB6" s="138"/>
      <c r="AC6" s="10"/>
      <c r="AD6" s="10"/>
      <c r="AE6" s="10"/>
      <c r="AF6" s="10"/>
      <c r="AG6" s="10"/>
      <c r="AH6" s="140"/>
      <c r="AI6" s="22">
        <f>AA7+1</f>
        <v>43466</v>
      </c>
      <c r="AJ6" s="23">
        <f>AI7+1</f>
        <v>43497</v>
      </c>
      <c r="AK6" s="23">
        <f>AJ7+1</f>
        <v>43525</v>
      </c>
      <c r="AL6" s="23">
        <f>AK7+1</f>
        <v>43556</v>
      </c>
      <c r="AM6" s="23">
        <f>AL7+1</f>
        <v>43586</v>
      </c>
      <c r="AN6" s="23">
        <f t="shared" ref="AN6:AT6" si="1">AM7+1</f>
        <v>43617</v>
      </c>
      <c r="AO6" s="23">
        <f t="shared" si="1"/>
        <v>43647</v>
      </c>
      <c r="AP6" s="23">
        <f t="shared" si="1"/>
        <v>43678</v>
      </c>
      <c r="AQ6" s="23">
        <f t="shared" si="1"/>
        <v>43709</v>
      </c>
      <c r="AR6" s="23">
        <f t="shared" si="1"/>
        <v>43739</v>
      </c>
      <c r="AS6" s="23">
        <f t="shared" si="1"/>
        <v>43770</v>
      </c>
      <c r="AT6" s="24">
        <f t="shared" si="1"/>
        <v>43800</v>
      </c>
      <c r="AU6" s="134"/>
    </row>
    <row r="7" spans="1:50" s="60" customFormat="1" ht="15" hidden="1" customHeight="1" thickBot="1" x14ac:dyDescent="0.25">
      <c r="A7" s="69"/>
      <c r="B7" s="144"/>
      <c r="C7" s="145"/>
      <c r="D7" s="26">
        <f t="shared" ref="D7:Z7" si="2">E6-1</f>
        <v>42766</v>
      </c>
      <c r="E7" s="27">
        <f t="shared" si="2"/>
        <v>42794</v>
      </c>
      <c r="F7" s="27">
        <f t="shared" si="2"/>
        <v>42825</v>
      </c>
      <c r="G7" s="27">
        <f t="shared" si="2"/>
        <v>42855</v>
      </c>
      <c r="H7" s="27">
        <f t="shared" si="2"/>
        <v>42886</v>
      </c>
      <c r="I7" s="27">
        <f t="shared" si="2"/>
        <v>42916</v>
      </c>
      <c r="J7" s="27">
        <f t="shared" si="2"/>
        <v>42947</v>
      </c>
      <c r="K7" s="27">
        <f t="shared" si="2"/>
        <v>42978</v>
      </c>
      <c r="L7" s="27">
        <f t="shared" si="2"/>
        <v>43008</v>
      </c>
      <c r="M7" s="27">
        <f t="shared" si="2"/>
        <v>43039</v>
      </c>
      <c r="N7" s="27">
        <f t="shared" si="2"/>
        <v>43069</v>
      </c>
      <c r="O7" s="27">
        <f t="shared" si="2"/>
        <v>43100</v>
      </c>
      <c r="P7" s="27">
        <f t="shared" si="2"/>
        <v>43131</v>
      </c>
      <c r="Q7" s="27">
        <f t="shared" si="2"/>
        <v>43159</v>
      </c>
      <c r="R7" s="27">
        <f t="shared" si="2"/>
        <v>43190</v>
      </c>
      <c r="S7" s="27">
        <f t="shared" si="2"/>
        <v>43220</v>
      </c>
      <c r="T7" s="27">
        <f t="shared" si="2"/>
        <v>43251</v>
      </c>
      <c r="U7" s="27">
        <f t="shared" si="2"/>
        <v>43281</v>
      </c>
      <c r="V7" s="27">
        <f t="shared" si="2"/>
        <v>43312</v>
      </c>
      <c r="W7" s="27">
        <f t="shared" si="2"/>
        <v>43343</v>
      </c>
      <c r="X7" s="27">
        <f t="shared" si="2"/>
        <v>43373</v>
      </c>
      <c r="Y7" s="27">
        <f t="shared" si="2"/>
        <v>43404</v>
      </c>
      <c r="Z7" s="27">
        <f t="shared" si="2"/>
        <v>43434</v>
      </c>
      <c r="AA7" s="27">
        <f>C3</f>
        <v>43465</v>
      </c>
      <c r="AB7" s="139"/>
      <c r="AC7" s="25"/>
      <c r="AD7" s="25"/>
      <c r="AE7" s="25"/>
      <c r="AF7" s="25"/>
      <c r="AG7" s="25"/>
      <c r="AH7" s="141"/>
      <c r="AI7" s="26">
        <f>AI6+IF(MONTH(AI6)=2,IF(OR(YEAR(AI6)=2008,YEAR(AI6)=2012,YEAR(AI6)=2016),29,28),IF(OR(MONTH(AI6)=4,MONTH(AI6)=6,MONTH(AI6)=9,MONTH(AI6)=11),30,31))-1</f>
        <v>43496</v>
      </c>
      <c r="AJ7" s="27">
        <f>AJ6+IF(MONTH(AJ6)=2,IF(OR(YEAR(AJ6)=2008,YEAR(AJ6)=2012,YEAR(AJ6)=2016),29,28),IF(OR(MONTH(AJ6)=4,MONTH(AJ6)=6,MONTH(AJ6)=9,MONTH(AJ6)=11),30,31))-1</f>
        <v>43524</v>
      </c>
      <c r="AK7" s="27">
        <f>AK6+IF(MONTH(AK6)=2,IF(OR(YEAR(AK6)=2008,YEAR(AK6)=2012,YEAR(AK6)=2016),29,28),IF(OR(MONTH(AK6)=4,MONTH(AK6)=6,MONTH(AK6)=9,MONTH(AK6)=11),30,31))-1</f>
        <v>43555</v>
      </c>
      <c r="AL7" s="27">
        <f>AL6+IF(MONTH(AL6)=2,IF(OR(YEAR(AL6)=2008,YEAR(AL6)=2012,YEAR(AL6)=2016),29,28),IF(OR(MONTH(AL6)=4,MONTH(AL6)=6,MONTH(AL6)=9,MONTH(AL6)=11),30,31))-1</f>
        <v>43585</v>
      </c>
      <c r="AM7" s="27">
        <f>AM6+IF(MONTH(AM6)=2,IF(OR(YEAR(AM6)=2008,YEAR(AM6)=2012,YEAR(AM6)=2016),29,28),IF(OR(MONTH(AM6)=4,MONTH(AM6)=6,MONTH(AM6)=9,MONTH(AM6)=11),30,31))-1</f>
        <v>43616</v>
      </c>
      <c r="AN7" s="27">
        <f t="shared" ref="AN7:AT7" si="3">AN6+IF(MONTH(AN6)=2,IF(OR(YEAR(AN6)=2008,YEAR(AN6)=2012,YEAR(AN6)=2016),29,28),IF(OR(MONTH(AN6)=4,MONTH(AN6)=6,MONTH(AN6)=9,MONTH(AN6)=11),30,31))-1</f>
        <v>43646</v>
      </c>
      <c r="AO7" s="27">
        <f t="shared" si="3"/>
        <v>43677</v>
      </c>
      <c r="AP7" s="27">
        <f t="shared" si="3"/>
        <v>43708</v>
      </c>
      <c r="AQ7" s="27">
        <f t="shared" si="3"/>
        <v>43738</v>
      </c>
      <c r="AR7" s="27">
        <f t="shared" si="3"/>
        <v>43769</v>
      </c>
      <c r="AS7" s="27">
        <f t="shared" si="3"/>
        <v>43799</v>
      </c>
      <c r="AT7" s="28">
        <f t="shared" si="3"/>
        <v>43830</v>
      </c>
      <c r="AU7" s="135"/>
    </row>
    <row r="8" spans="1:50" s="61" customFormat="1" ht="15" customHeight="1" thickBot="1" x14ac:dyDescent="0.25">
      <c r="A8" s="70"/>
      <c r="B8" s="29" t="s">
        <v>1</v>
      </c>
      <c r="C8" s="30" t="s">
        <v>49</v>
      </c>
      <c r="D8" s="31">
        <f t="shared" ref="D8:AA8" si="4">D6</f>
        <v>42736</v>
      </c>
      <c r="E8" s="32">
        <f t="shared" si="4"/>
        <v>42767</v>
      </c>
      <c r="F8" s="32">
        <f t="shared" si="4"/>
        <v>42795</v>
      </c>
      <c r="G8" s="33">
        <f t="shared" si="4"/>
        <v>42826</v>
      </c>
      <c r="H8" s="33">
        <f t="shared" si="4"/>
        <v>42856</v>
      </c>
      <c r="I8" s="33">
        <f t="shared" si="4"/>
        <v>42887</v>
      </c>
      <c r="J8" s="33">
        <f t="shared" si="4"/>
        <v>42917</v>
      </c>
      <c r="K8" s="33">
        <f t="shared" si="4"/>
        <v>42948</v>
      </c>
      <c r="L8" s="33">
        <f t="shared" si="4"/>
        <v>42979</v>
      </c>
      <c r="M8" s="33">
        <f t="shared" si="4"/>
        <v>43009</v>
      </c>
      <c r="N8" s="33">
        <f t="shared" si="4"/>
        <v>43040</v>
      </c>
      <c r="O8" s="33">
        <f t="shared" si="4"/>
        <v>43070</v>
      </c>
      <c r="P8" s="33">
        <f t="shared" si="4"/>
        <v>43101</v>
      </c>
      <c r="Q8" s="33">
        <f t="shared" si="4"/>
        <v>43132</v>
      </c>
      <c r="R8" s="33">
        <f t="shared" si="4"/>
        <v>43160</v>
      </c>
      <c r="S8" s="33">
        <f t="shared" si="4"/>
        <v>43191</v>
      </c>
      <c r="T8" s="33">
        <f t="shared" si="4"/>
        <v>43221</v>
      </c>
      <c r="U8" s="33">
        <f t="shared" si="4"/>
        <v>43252</v>
      </c>
      <c r="V8" s="33">
        <f t="shared" si="4"/>
        <v>43282</v>
      </c>
      <c r="W8" s="33">
        <f t="shared" si="4"/>
        <v>43313</v>
      </c>
      <c r="X8" s="33">
        <f t="shared" si="4"/>
        <v>43344</v>
      </c>
      <c r="Y8" s="33">
        <f t="shared" si="4"/>
        <v>43374</v>
      </c>
      <c r="Z8" s="33">
        <f t="shared" si="4"/>
        <v>43405</v>
      </c>
      <c r="AA8" s="33">
        <f t="shared" si="4"/>
        <v>43435</v>
      </c>
      <c r="AB8" s="51" t="s">
        <v>39</v>
      </c>
      <c r="AC8" s="52" t="s">
        <v>45</v>
      </c>
      <c r="AD8" s="34" t="s">
        <v>46</v>
      </c>
      <c r="AE8" s="34" t="s">
        <v>47</v>
      </c>
      <c r="AF8" s="34" t="s">
        <v>48</v>
      </c>
      <c r="AG8" s="34" t="s">
        <v>42</v>
      </c>
      <c r="AH8" s="51" t="s">
        <v>44</v>
      </c>
      <c r="AI8" s="35">
        <f t="shared" ref="AI8:AT8" si="5">AI6</f>
        <v>43466</v>
      </c>
      <c r="AJ8" s="35">
        <f t="shared" si="5"/>
        <v>43497</v>
      </c>
      <c r="AK8" s="35">
        <f t="shared" si="5"/>
        <v>43525</v>
      </c>
      <c r="AL8" s="35">
        <f t="shared" si="5"/>
        <v>43556</v>
      </c>
      <c r="AM8" s="35">
        <f t="shared" si="5"/>
        <v>43586</v>
      </c>
      <c r="AN8" s="35">
        <f t="shared" si="5"/>
        <v>43617</v>
      </c>
      <c r="AO8" s="35">
        <f t="shared" si="5"/>
        <v>43647</v>
      </c>
      <c r="AP8" s="35">
        <f t="shared" si="5"/>
        <v>43678</v>
      </c>
      <c r="AQ8" s="35">
        <f t="shared" si="5"/>
        <v>43709</v>
      </c>
      <c r="AR8" s="35">
        <f t="shared" si="5"/>
        <v>43739</v>
      </c>
      <c r="AS8" s="35">
        <f t="shared" si="5"/>
        <v>43770</v>
      </c>
      <c r="AT8" s="35">
        <f t="shared" si="5"/>
        <v>43800</v>
      </c>
      <c r="AU8" s="36" t="s">
        <v>40</v>
      </c>
    </row>
    <row r="9" spans="1:50" ht="15" customHeight="1" x14ac:dyDescent="0.2">
      <c r="B9" s="37" t="s">
        <v>6</v>
      </c>
      <c r="C9" s="38" t="s">
        <v>2</v>
      </c>
      <c r="D9" s="39" t="e">
        <f ca="1">AbraTurnover(API!$C$3,API!$C$4,API!$C$5,$C9,D$6,D$7,"","","","","")/1000</f>
        <v>#NAME?</v>
      </c>
      <c r="E9" s="39" t="e">
        <f ca="1">AbraTurnover(API!$C$3,API!$C$4,API!$C$5,$C9,E$6,E$7,"","","","","")/1000</f>
        <v>#NAME?</v>
      </c>
      <c r="F9" s="39" t="e">
        <f ca="1">AbraTurnover(API!$C$3,API!$C$4,API!$C$5,$C9,F$6,F$7,"","","","","")/1000</f>
        <v>#NAME?</v>
      </c>
      <c r="G9" s="39" t="e">
        <f ca="1">AbraTurnover(API!$C$3,API!$C$4,API!$C$5,$C9,G$6,G$7,"","","","","")/1000</f>
        <v>#NAME?</v>
      </c>
      <c r="H9" s="39" t="e">
        <f ca="1">AbraTurnover(API!$C$3,API!$C$4,API!$C$5,$C9,H$6,H$7,"","","","","")/1000</f>
        <v>#NAME?</v>
      </c>
      <c r="I9" s="39" t="e">
        <f ca="1">AbraTurnover(API!$C$3,API!$C$4,API!$C$5,$C9,I$6,I$7,"","","","","")/1000</f>
        <v>#NAME?</v>
      </c>
      <c r="J9" s="39" t="e">
        <f ca="1">AbraTurnover(API!$C$3,API!$C$4,API!$C$5,$C9,J$6,J$7,"","","","","")/1000</f>
        <v>#NAME?</v>
      </c>
      <c r="K9" s="39" t="e">
        <f ca="1">AbraTurnover(API!$C$3,API!$C$4,API!$C$5,$C9,K$6,K$7,"","","","","")/1000</f>
        <v>#NAME?</v>
      </c>
      <c r="L9" s="39" t="e">
        <f ca="1">AbraTurnover(API!$C$3,API!$C$4,API!$C$5,$C9,L$6,L$7,"","","","","")/1000</f>
        <v>#NAME?</v>
      </c>
      <c r="M9" s="39" t="e">
        <f ca="1">AbraTurnover(API!$C$3,API!$C$4,API!$C$5,$C9,M$6,M$7,"","","","","")/1000</f>
        <v>#NAME?</v>
      </c>
      <c r="N9" s="39" t="e">
        <f ca="1">AbraTurnover(API!$C$3,API!$C$4,API!$C$5,$C9,N$6,N$7,"","","","","")/1000</f>
        <v>#NAME?</v>
      </c>
      <c r="O9" s="39" t="e">
        <f ca="1">AbraTurnover(API!$C$3,API!$C$4,API!$C$5,$C9,O$6,O$7,"","","","","")/1000</f>
        <v>#NAME?</v>
      </c>
      <c r="P9" s="39" t="e">
        <f ca="1">AbraTurnover(API!$C$3,API!$C$4,API!$C$5,$C9,P$6,P$7,"","","","","")/1000</f>
        <v>#NAME?</v>
      </c>
      <c r="Q9" s="39" t="e">
        <f ca="1">AbraTurnover(API!$C$3,API!$C$4,API!$C$5,$C9,Q$6,Q$7,"","","","","")/1000</f>
        <v>#NAME?</v>
      </c>
      <c r="R9" s="39" t="e">
        <f ca="1">AbraTurnover(API!$C$3,API!$C$4,API!$C$5,$C9,R$6,R$7,"","","","","")/1000</f>
        <v>#NAME?</v>
      </c>
      <c r="S9" s="39" t="e">
        <f ca="1">AbraTurnover(API!$C$3,API!$C$4,API!$C$5,$C9,S$6,S$7,"","","","","")/1000</f>
        <v>#NAME?</v>
      </c>
      <c r="T9" s="39" t="e">
        <f ca="1">AbraTurnover(API!$C$3,API!$C$4,API!$C$5,$C9,T$6,T$7,"","","","","")/1000</f>
        <v>#NAME?</v>
      </c>
      <c r="U9" s="39" t="e">
        <f ca="1">AbraTurnover(API!$C$3,API!$C$4,API!$C$5,$C9,U$6,U$7,"","","","","")/1000</f>
        <v>#NAME?</v>
      </c>
      <c r="V9" s="39" t="e">
        <f ca="1">AbraTurnover(API!$C$3,API!$C$4,API!$C$5,$C9,V$6,V$7,"","","","","")/1000</f>
        <v>#NAME?</v>
      </c>
      <c r="W9" s="39" t="e">
        <f ca="1">AbraTurnover(API!$C$3,API!$C$4,API!$C$5,$C9,W$6,W$7,"","","","","")/1000</f>
        <v>#NAME?</v>
      </c>
      <c r="X9" s="39" t="e">
        <f ca="1">AbraTurnover(API!$C$3,API!$C$4,API!$C$5,$C9,X$6,X$7,"","","","","")/1000</f>
        <v>#NAME?</v>
      </c>
      <c r="Y9" s="39" t="e">
        <f ca="1">AbraTurnover(API!$C$3,API!$C$4,API!$C$5,$C9,Y$6,Y$7,"","","","","")/1000</f>
        <v>#NAME?</v>
      </c>
      <c r="Z9" s="39" t="e">
        <f ca="1">AbraTurnover(API!$C$3,API!$C$4,API!$C$5,$C9,Z$6,Z$7,"","","","","")/1000</f>
        <v>#NAME?</v>
      </c>
      <c r="AA9" s="40" t="e">
        <f ca="1">AbraTurnover(API!$C$3,API!$C$4,API!$C$5,$C9,AA$6,AA$7,"","","","","")/1000</f>
        <v>#NAME?</v>
      </c>
      <c r="AB9" s="75" t="e">
        <f ca="1">SUM(P9:AA9)</f>
        <v>#NAME?</v>
      </c>
      <c r="AC9" s="80" t="e">
        <f t="shared" ref="AC9:AC25" ca="1" si="6">IF(SUM(J9:O9)+SUM(V9:AA9)&lt;0.001,0,IF(SUM(J9:O9)&lt;0.001,1,IF(SUM(V9:AA9)&lt;0.001,-1,SUM(V9:AA9)/(SUM(J9:O9))-1)))</f>
        <v>#NAME?</v>
      </c>
      <c r="AD9" s="80" t="e">
        <f t="shared" ref="AD9:AD25" ca="1" si="7">IF(SUM(D9:O9)+SUM(P9:AA9)&lt;0.001,0,IF(SUM(D9:O9)&lt;0.001,1,IF(SUM(P9:AA9)&lt;0.001,-1,SUM(P9:AA9)/(SUM(D9:O9))-1)))</f>
        <v>#NAME?</v>
      </c>
      <c r="AE9" s="80">
        <v>-0.5</v>
      </c>
      <c r="AF9" s="80">
        <v>0.5</v>
      </c>
      <c r="AG9" s="80" t="s">
        <v>51</v>
      </c>
      <c r="AH9" s="82" t="e">
        <f t="shared" ref="AH9:AH25" ca="1" si="8">IF($AG9&lt;&gt;"-",$AG9,IF($AC9&lt;$AE9,$AE9,IF($AC9&gt;$AF9,$AF9,$AC9)))</f>
        <v>#NAME?</v>
      </c>
      <c r="AI9" s="49" t="e">
        <f ca="1">$AB9*(1+$AH9)*VLOOKUP(MONTH(AI$8),Sezona!$B$4:$C$15,2)</f>
        <v>#NAME?</v>
      </c>
      <c r="AJ9" s="43" t="e">
        <f ca="1">$AB9*(1+$AH9)*VLOOKUP(MONTH(AJ$8),Sezona!$B$4:$C$15,2)</f>
        <v>#NAME?</v>
      </c>
      <c r="AK9" s="43" t="e">
        <f ca="1">$AB9*(1+$AH9)*VLOOKUP(MONTH(AK$8),Sezona!$B$4:$C$15,2)</f>
        <v>#NAME?</v>
      </c>
      <c r="AL9" s="43" t="e">
        <f ca="1">$AB9*(1+$AH9)*VLOOKUP(MONTH(AL$8),Sezona!$B$4:$C$15,2)</f>
        <v>#NAME?</v>
      </c>
      <c r="AM9" s="43" t="e">
        <f ca="1">$AB9*(1+$AH9)*VLOOKUP(MONTH(AM$8),Sezona!$B$4:$C$15,2)</f>
        <v>#NAME?</v>
      </c>
      <c r="AN9" s="43" t="e">
        <f ca="1">$AB9*(1+$AH9)*VLOOKUP(MONTH(AN$8),Sezona!$B$4:$C$15,2)</f>
        <v>#NAME?</v>
      </c>
      <c r="AO9" s="43" t="e">
        <f ca="1">$AB9*(1+$AH9)*VLOOKUP(MONTH(AO$8),Sezona!$B$4:$C$15,2)</f>
        <v>#NAME?</v>
      </c>
      <c r="AP9" s="43" t="e">
        <f ca="1">$AB9*(1+$AH9)*VLOOKUP(MONTH(AP$8),Sezona!$B$4:$C$15,2)</f>
        <v>#NAME?</v>
      </c>
      <c r="AQ9" s="43" t="e">
        <f ca="1">$AB9*(1+$AH9)*VLOOKUP(MONTH(AQ$8),Sezona!$B$4:$C$15,2)</f>
        <v>#NAME?</v>
      </c>
      <c r="AR9" s="43" t="e">
        <f ca="1">$AB9*(1+$AH9)*VLOOKUP(MONTH(AR$8),Sezona!$B$4:$C$15,2)</f>
        <v>#NAME?</v>
      </c>
      <c r="AS9" s="43" t="e">
        <f ca="1">$AB9*(1+$AH9)*VLOOKUP(MONTH(AS$8),Sezona!$B$4:$C$15,2)</f>
        <v>#NAME?</v>
      </c>
      <c r="AT9" s="43" t="e">
        <f ca="1">$AB9*(1+$AH9)*VLOOKUP(MONTH(AT$8),Sezona!$B$4:$C$15,2)</f>
        <v>#NAME?</v>
      </c>
      <c r="AU9" s="78" t="e">
        <f ca="1">SUM(AI9:AT9)</f>
        <v>#NAME?</v>
      </c>
      <c r="AW9" s="61"/>
      <c r="AX9" s="61"/>
    </row>
    <row r="10" spans="1:50" ht="15" customHeight="1" x14ac:dyDescent="0.2">
      <c r="B10" s="41" t="s">
        <v>7</v>
      </c>
      <c r="C10" s="42" t="s">
        <v>12</v>
      </c>
      <c r="D10" s="43" t="e">
        <f ca="1">AbraTurnover(API!$C$3,API!$C$4,API!$C$5,$C10,D$6,D$7,"","","","","")/1000</f>
        <v>#NAME?</v>
      </c>
      <c r="E10" s="43" t="e">
        <f ca="1">AbraTurnover(API!$C$3,API!$C$4,API!$C$5,$C10,E$6,E$7,"","","","","")/1000</f>
        <v>#NAME?</v>
      </c>
      <c r="F10" s="43" t="e">
        <f ca="1">AbraTurnover(API!$C$3,API!$C$4,API!$C$5,$C10,F$6,F$7,"","","","","")/1000</f>
        <v>#NAME?</v>
      </c>
      <c r="G10" s="43" t="e">
        <f ca="1">AbraTurnover(API!$C$3,API!$C$4,API!$C$5,$C10,G$6,G$7,"","","","","")/1000</f>
        <v>#NAME?</v>
      </c>
      <c r="H10" s="43" t="e">
        <f ca="1">AbraTurnover(API!$C$3,API!$C$4,API!$C$5,$C10,H$6,H$7,"","","","","")/1000</f>
        <v>#NAME?</v>
      </c>
      <c r="I10" s="43" t="e">
        <f ca="1">AbraTurnover(API!$C$3,API!$C$4,API!$C$5,$C10,I$6,I$7,"","","","","")/1000</f>
        <v>#NAME?</v>
      </c>
      <c r="J10" s="43" t="e">
        <f ca="1">AbraTurnover(API!$C$3,API!$C$4,API!$C$5,$C10,J$6,J$7,"","","","","")/1000</f>
        <v>#NAME?</v>
      </c>
      <c r="K10" s="43" t="e">
        <f ca="1">AbraTurnover(API!$C$3,API!$C$4,API!$C$5,$C10,K$6,K$7,"","","","","")/1000</f>
        <v>#NAME?</v>
      </c>
      <c r="L10" s="43" t="e">
        <f ca="1">AbraTurnover(API!$C$3,API!$C$4,API!$C$5,$C10,L$6,L$7,"","","","","")/1000</f>
        <v>#NAME?</v>
      </c>
      <c r="M10" s="43" t="e">
        <f ca="1">AbraTurnover(API!$C$3,API!$C$4,API!$C$5,$C10,M$6,M$7,"","","","","")/1000</f>
        <v>#NAME?</v>
      </c>
      <c r="N10" s="43" t="e">
        <f ca="1">AbraTurnover(API!$C$3,API!$C$4,API!$C$5,$C10,N$6,N$7,"","","","","")/1000</f>
        <v>#NAME?</v>
      </c>
      <c r="O10" s="43" t="e">
        <f ca="1">AbraTurnover(API!$C$3,API!$C$4,API!$C$5,$C10,O$6,O$7,"","","","","")/1000</f>
        <v>#NAME?</v>
      </c>
      <c r="P10" s="43" t="e">
        <f ca="1">AbraTurnover(API!$C$3,API!$C$4,API!$C$5,$C10,P$6,P$7,"","","","","")/1000</f>
        <v>#NAME?</v>
      </c>
      <c r="Q10" s="43" t="e">
        <f ca="1">AbraTurnover(API!$C$3,API!$C$4,API!$C$5,$C10,Q$6,Q$7,"","","","","")/1000</f>
        <v>#NAME?</v>
      </c>
      <c r="R10" s="43" t="e">
        <f ca="1">AbraTurnover(API!$C$3,API!$C$4,API!$C$5,$C10,R$6,R$7,"","","","","")/1000</f>
        <v>#NAME?</v>
      </c>
      <c r="S10" s="43" t="e">
        <f ca="1">AbraTurnover(API!$C$3,API!$C$4,API!$C$5,$C10,S$6,S$7,"","","","","")/1000</f>
        <v>#NAME?</v>
      </c>
      <c r="T10" s="43" t="e">
        <f ca="1">AbraTurnover(API!$C$3,API!$C$4,API!$C$5,$C10,T$6,T$7,"","","","","")/1000</f>
        <v>#NAME?</v>
      </c>
      <c r="U10" s="43" t="e">
        <f ca="1">AbraTurnover(API!$C$3,API!$C$4,API!$C$5,$C10,U$6,U$7,"","","","","")/1000</f>
        <v>#NAME?</v>
      </c>
      <c r="V10" s="43" t="e">
        <f ca="1">AbraTurnover(API!$C$3,API!$C$4,API!$C$5,$C10,V$6,V$7,"","","","","")/1000</f>
        <v>#NAME?</v>
      </c>
      <c r="W10" s="43" t="e">
        <f ca="1">AbraTurnover(API!$C$3,API!$C$4,API!$C$5,$C10,W$6,W$7,"","","","","")/1000</f>
        <v>#NAME?</v>
      </c>
      <c r="X10" s="43" t="e">
        <f ca="1">AbraTurnover(API!$C$3,API!$C$4,API!$C$5,$C10,X$6,X$7,"","","","","")/1000</f>
        <v>#NAME?</v>
      </c>
      <c r="Y10" s="43" t="e">
        <f ca="1">AbraTurnover(API!$C$3,API!$C$4,API!$C$5,$C10,Y$6,Y$7,"","","","","")/1000</f>
        <v>#NAME?</v>
      </c>
      <c r="Z10" s="43" t="e">
        <f ca="1">AbraTurnover(API!$C$3,API!$C$4,API!$C$5,$C10,Z$6,Z$7,"","","","","")/1000</f>
        <v>#NAME?</v>
      </c>
      <c r="AA10" s="44" t="e">
        <f ca="1">AbraTurnover(API!$C$3,API!$C$4,API!$C$5,$C10,AA$6,AA$7,"","","","","")/1000</f>
        <v>#NAME?</v>
      </c>
      <c r="AB10" s="76" t="e">
        <f ca="1">SUM(P10:AA10)</f>
        <v>#NAME?</v>
      </c>
      <c r="AC10" s="81" t="e">
        <f t="shared" ca="1" si="6"/>
        <v>#NAME?</v>
      </c>
      <c r="AD10" s="81" t="e">
        <f t="shared" ca="1" si="7"/>
        <v>#NAME?</v>
      </c>
      <c r="AE10" s="81">
        <v>-0.5</v>
      </c>
      <c r="AF10" s="81">
        <v>0.5</v>
      </c>
      <c r="AG10" s="81" t="s">
        <v>51</v>
      </c>
      <c r="AH10" s="83" t="e">
        <f t="shared" ca="1" si="8"/>
        <v>#NAME?</v>
      </c>
      <c r="AI10" s="49" t="e">
        <f ca="1">$AB10*(1+$AH10)*VLOOKUP(MONTH(AI$8),Sezona!$E$4:$F$15,2)</f>
        <v>#NAME?</v>
      </c>
      <c r="AJ10" s="49" t="e">
        <f ca="1">$AB10*(1+$AH10)*VLOOKUP(MONTH(AJ$8),Sezona!$E$4:$F$15,2)</f>
        <v>#NAME?</v>
      </c>
      <c r="AK10" s="49" t="e">
        <f ca="1">$AB10*(1+$AH10)*VLOOKUP(MONTH(AK$8),Sezona!$E$4:$F$15,2)</f>
        <v>#NAME?</v>
      </c>
      <c r="AL10" s="49" t="e">
        <f ca="1">$AB10*(1+$AH10)*VLOOKUP(MONTH(AL$8),Sezona!$E$4:$F$15,2)</f>
        <v>#NAME?</v>
      </c>
      <c r="AM10" s="49" t="e">
        <f ca="1">$AB10*(1+$AH10)*VLOOKUP(MONTH(AM$8),Sezona!$E$4:$F$15,2)</f>
        <v>#NAME?</v>
      </c>
      <c r="AN10" s="49" t="e">
        <f ca="1">$AB10*(1+$AH10)*VLOOKUP(MONTH(AN$8),Sezona!$E$4:$F$15,2)</f>
        <v>#NAME?</v>
      </c>
      <c r="AO10" s="49" t="e">
        <f ca="1">$AB10*(1+$AH10)*VLOOKUP(MONTH(AO$8),Sezona!$E$4:$F$15,2)</f>
        <v>#NAME?</v>
      </c>
      <c r="AP10" s="49" t="e">
        <f ca="1">$AB10*(1+$AH10)*VLOOKUP(MONTH(AP$8),Sezona!$E$4:$F$15,2)</f>
        <v>#NAME?</v>
      </c>
      <c r="AQ10" s="49" t="e">
        <f ca="1">$AB10*(1+$AH10)*VLOOKUP(MONTH(AQ$8),Sezona!$E$4:$F$15,2)</f>
        <v>#NAME?</v>
      </c>
      <c r="AR10" s="49" t="e">
        <f ca="1">$AB10*(1+$AH10)*VLOOKUP(MONTH(AR$8),Sezona!$E$4:$F$15,2)</f>
        <v>#NAME?</v>
      </c>
      <c r="AS10" s="49" t="e">
        <f ca="1">$AB10*(1+$AH10)*VLOOKUP(MONTH(AS$8),Sezona!$E$4:$F$15,2)</f>
        <v>#NAME?</v>
      </c>
      <c r="AT10" s="49" t="e">
        <f ca="1">$AB10*(1+$AH10)*VLOOKUP(MONTH(AT$8),Sezona!$E$4:$F$15,2)</f>
        <v>#NAME?</v>
      </c>
      <c r="AU10" s="78" t="e">
        <f ca="1">SUM(AI10:AT10)</f>
        <v>#NAME?</v>
      </c>
    </row>
    <row r="11" spans="1:50" ht="15" customHeight="1" x14ac:dyDescent="0.2">
      <c r="B11" s="41" t="s">
        <v>8</v>
      </c>
      <c r="C11" s="42" t="s">
        <v>11</v>
      </c>
      <c r="D11" s="43" t="e">
        <f ca="1">AbraTurnover(API!$C$3,API!$C$4,API!$C$5,$C11,D$6,D$7,"","","","","")/1000</f>
        <v>#NAME?</v>
      </c>
      <c r="E11" s="43" t="e">
        <f ca="1">AbraTurnover(API!$C$3,API!$C$4,API!$C$5,$C11,E$6,E$7,"","","","","")/1000</f>
        <v>#NAME?</v>
      </c>
      <c r="F11" s="43" t="e">
        <f ca="1">AbraTurnover(API!$C$3,API!$C$4,API!$C$5,$C11,F$6,F$7,"","","","","")/1000</f>
        <v>#NAME?</v>
      </c>
      <c r="G11" s="43" t="e">
        <f ca="1">AbraTurnover(API!$C$3,API!$C$4,API!$C$5,$C11,G$6,G$7,"","","","","")/1000</f>
        <v>#NAME?</v>
      </c>
      <c r="H11" s="43" t="e">
        <f ca="1">AbraTurnover(API!$C$3,API!$C$4,API!$C$5,$C11,H$6,H$7,"","","","","")/1000</f>
        <v>#NAME?</v>
      </c>
      <c r="I11" s="43" t="e">
        <f ca="1">AbraTurnover(API!$C$3,API!$C$4,API!$C$5,$C11,I$6,I$7,"","","","","")/1000</f>
        <v>#NAME?</v>
      </c>
      <c r="J11" s="43" t="e">
        <f ca="1">AbraTurnover(API!$C$3,API!$C$4,API!$C$5,$C11,J$6,J$7,"","","","","")/1000</f>
        <v>#NAME?</v>
      </c>
      <c r="K11" s="43" t="e">
        <f ca="1">AbraTurnover(API!$C$3,API!$C$4,API!$C$5,$C11,K$6,K$7,"","","","","")/1000</f>
        <v>#NAME?</v>
      </c>
      <c r="L11" s="43" t="e">
        <f ca="1">AbraTurnover(API!$C$3,API!$C$4,API!$C$5,$C11,L$6,L$7,"","","","","")/1000</f>
        <v>#NAME?</v>
      </c>
      <c r="M11" s="43" t="e">
        <f ca="1">AbraTurnover(API!$C$3,API!$C$4,API!$C$5,$C11,M$6,M$7,"","","","","")/1000</f>
        <v>#NAME?</v>
      </c>
      <c r="N11" s="43" t="e">
        <f ca="1">AbraTurnover(API!$C$3,API!$C$4,API!$C$5,$C11,N$6,N$7,"","","","","")/1000</f>
        <v>#NAME?</v>
      </c>
      <c r="O11" s="43" t="e">
        <f ca="1">AbraTurnover(API!$C$3,API!$C$4,API!$C$5,$C11,O$6,O$7,"","","","","")/1000</f>
        <v>#NAME?</v>
      </c>
      <c r="P11" s="43" t="e">
        <f ca="1">AbraTurnover(API!$C$3,API!$C$4,API!$C$5,$C11,P$6,P$7,"","","","","")/1000</f>
        <v>#NAME?</v>
      </c>
      <c r="Q11" s="43" t="e">
        <f ca="1">AbraTurnover(API!$C$3,API!$C$4,API!$C$5,$C11,Q$6,Q$7,"","","","","")/1000</f>
        <v>#NAME?</v>
      </c>
      <c r="R11" s="43" t="e">
        <f ca="1">AbraTurnover(API!$C$3,API!$C$4,API!$C$5,$C11,R$6,R$7,"","","","","")/1000</f>
        <v>#NAME?</v>
      </c>
      <c r="S11" s="43" t="e">
        <f ca="1">AbraTurnover(API!$C$3,API!$C$4,API!$C$5,$C11,S$6,S$7,"","","","","")/1000</f>
        <v>#NAME?</v>
      </c>
      <c r="T11" s="43" t="e">
        <f ca="1">AbraTurnover(API!$C$3,API!$C$4,API!$C$5,$C11,T$6,T$7,"","","","","")/1000</f>
        <v>#NAME?</v>
      </c>
      <c r="U11" s="43" t="e">
        <f ca="1">AbraTurnover(API!$C$3,API!$C$4,API!$C$5,$C11,U$6,U$7,"","","","","")/1000</f>
        <v>#NAME?</v>
      </c>
      <c r="V11" s="43" t="e">
        <f ca="1">AbraTurnover(API!$C$3,API!$C$4,API!$C$5,$C11,V$6,V$7,"","","","","")/1000</f>
        <v>#NAME?</v>
      </c>
      <c r="W11" s="43" t="e">
        <f ca="1">AbraTurnover(API!$C$3,API!$C$4,API!$C$5,$C11,W$6,W$7,"","","","","")/1000</f>
        <v>#NAME?</v>
      </c>
      <c r="X11" s="43" t="e">
        <f ca="1">AbraTurnover(API!$C$3,API!$C$4,API!$C$5,$C11,X$6,X$7,"","","","","")/1000</f>
        <v>#NAME?</v>
      </c>
      <c r="Y11" s="43" t="e">
        <f ca="1">AbraTurnover(API!$C$3,API!$C$4,API!$C$5,$C11,Y$6,Y$7,"","","","","")/1000</f>
        <v>#NAME?</v>
      </c>
      <c r="Z11" s="43" t="e">
        <f ca="1">AbraTurnover(API!$C$3,API!$C$4,API!$C$5,$C11,Z$6,Z$7,"","","","","")/1000</f>
        <v>#NAME?</v>
      </c>
      <c r="AA11" s="44" t="e">
        <f ca="1">AbraTurnover(API!$C$3,API!$C$4,API!$C$5,$C11,AA$6,AA$7,"","","","","")/1000</f>
        <v>#NAME?</v>
      </c>
      <c r="AB11" s="76" t="e">
        <f ca="1">SUM(P11:AA11)</f>
        <v>#NAME?</v>
      </c>
      <c r="AC11" s="81" t="e">
        <f ca="1">IF(SUM(J11:O11)+SUM(V11:AA11)&lt;0.001,0,IF(SUM(J11:O11)&lt;0.001,1,IF(SUM(V11:AA11)&lt;0.001,-1,SUM(V11:AA11)/(SUM(J11:O11))-1)))</f>
        <v>#NAME?</v>
      </c>
      <c r="AD11" s="81" t="e">
        <f ca="1">IF(SUM(D11:O11)+SUM(P11:AA11)&lt;0.001,0,IF(SUM(D11:O11)&lt;0.001,1,IF(SUM(P11:AA11)&lt;0.001,-1,SUM(P11:AA11)/(SUM(D11:O11))-1)))</f>
        <v>#NAME?</v>
      </c>
      <c r="AE11" s="81">
        <v>0.5</v>
      </c>
      <c r="AF11" s="81">
        <v>0.5</v>
      </c>
      <c r="AG11" s="81" t="s">
        <v>51</v>
      </c>
      <c r="AH11" s="83" t="e">
        <f t="shared" ca="1" si="8"/>
        <v>#NAME?</v>
      </c>
      <c r="AI11" s="49" t="e">
        <f ca="1">$AB11*(1+$AH11)*VLOOKUP(MONTH(AI$8),Sezona!$B$4:$C$15,2)</f>
        <v>#NAME?</v>
      </c>
      <c r="AJ11" s="49" t="e">
        <f ca="1">$AB11*(1+$AH11)*VLOOKUP(MONTH(AJ$8),Sezona!$B$4:$C$15,2)</f>
        <v>#NAME?</v>
      </c>
      <c r="AK11" s="49" t="e">
        <f ca="1">$AB11*(1+$AH11)*VLOOKUP(MONTH(AK$8),Sezona!$B$4:$C$15,2)</f>
        <v>#NAME?</v>
      </c>
      <c r="AL11" s="49" t="e">
        <f ca="1">$AB11*(1+$AH11)*VLOOKUP(MONTH(AL$8),Sezona!$B$4:$C$15,2)</f>
        <v>#NAME?</v>
      </c>
      <c r="AM11" s="49" t="e">
        <f ca="1">$AB11*(1+$AH11)*VLOOKUP(MONTH(AM$8),Sezona!$B$4:$C$15,2)</f>
        <v>#NAME?</v>
      </c>
      <c r="AN11" s="49" t="e">
        <f ca="1">$AB11*(1+$AH11)*VLOOKUP(MONTH(AN$8),Sezona!$B$4:$C$15,2)</f>
        <v>#NAME?</v>
      </c>
      <c r="AO11" s="49" t="e">
        <f ca="1">$AB11*(1+$AH11)*VLOOKUP(MONTH(AO$8),Sezona!$B$4:$C$15,2)</f>
        <v>#NAME?</v>
      </c>
      <c r="AP11" s="49" t="e">
        <f ca="1">$AB11*(1+$AH11)*VLOOKUP(MONTH(AP$8),Sezona!$B$4:$C$15,2)</f>
        <v>#NAME?</v>
      </c>
      <c r="AQ11" s="49" t="e">
        <f ca="1">$AB11*(1+$AH11)*VLOOKUP(MONTH(AQ$8),Sezona!$B$4:$C$15,2)</f>
        <v>#NAME?</v>
      </c>
      <c r="AR11" s="49" t="e">
        <f ca="1">$AB11*(1+$AH11)*VLOOKUP(MONTH(AR$8),Sezona!$B$4:$C$15,2)</f>
        <v>#NAME?</v>
      </c>
      <c r="AS11" s="49" t="e">
        <f ca="1">$AB11*(1+$AH11)*VLOOKUP(MONTH(AS$8),Sezona!$B$4:$C$15,2)</f>
        <v>#NAME?</v>
      </c>
      <c r="AT11" s="49" t="e">
        <f ca="1">$AB11*(1+$AH11)*VLOOKUP(MONTH(AT$8),Sezona!$B$4:$C$15,2)</f>
        <v>#NAME?</v>
      </c>
      <c r="AU11" s="78" t="e">
        <f ca="1">SUM(AI11:AT11)</f>
        <v>#NAME?</v>
      </c>
    </row>
    <row r="12" spans="1:50" ht="15" customHeight="1" x14ac:dyDescent="0.2">
      <c r="B12" s="41" t="s">
        <v>9</v>
      </c>
      <c r="C12" s="42" t="s">
        <v>10</v>
      </c>
      <c r="D12" s="43" t="e">
        <f ca="1">AbraTurnover(API!$C$3,API!$C$4,API!$C$5,$C12,D$6,D$7,"","","","","")/1000</f>
        <v>#NAME?</v>
      </c>
      <c r="E12" s="43" t="e">
        <f ca="1">AbraTurnover(API!$C$3,API!$C$4,API!$C$5,$C12,E$6,E$7,"","","","","")/1000</f>
        <v>#NAME?</v>
      </c>
      <c r="F12" s="43" t="e">
        <f ca="1">AbraTurnover(API!$C$3,API!$C$4,API!$C$5,$C12,F$6,F$7,"","","","","")/1000</f>
        <v>#NAME?</v>
      </c>
      <c r="G12" s="43" t="e">
        <f ca="1">AbraTurnover(API!$C$3,API!$C$4,API!$C$5,$C12,G$6,G$7,"","","","","")/1000</f>
        <v>#NAME?</v>
      </c>
      <c r="H12" s="43" t="e">
        <f ca="1">AbraTurnover(API!$C$3,API!$C$4,API!$C$5,$C12,H$6,H$7,"","","","","")/1000</f>
        <v>#NAME?</v>
      </c>
      <c r="I12" s="43" t="e">
        <f ca="1">AbraTurnover(API!$C$3,API!$C$4,API!$C$5,$C12,I$6,I$7,"","","","","")/1000</f>
        <v>#NAME?</v>
      </c>
      <c r="J12" s="43" t="e">
        <f ca="1">AbraTurnover(API!$C$3,API!$C$4,API!$C$5,$C12,J$6,J$7,"","","","","")/1000</f>
        <v>#NAME?</v>
      </c>
      <c r="K12" s="43" t="e">
        <f ca="1">AbraTurnover(API!$C$3,API!$C$4,API!$C$5,$C12,K$6,K$7,"","","","","")/1000</f>
        <v>#NAME?</v>
      </c>
      <c r="L12" s="43" t="e">
        <f ca="1">AbraTurnover(API!$C$3,API!$C$4,API!$C$5,$C12,L$6,L$7,"","","","","")/1000</f>
        <v>#NAME?</v>
      </c>
      <c r="M12" s="43" t="e">
        <f ca="1">AbraTurnover(API!$C$3,API!$C$4,API!$C$5,$C12,M$6,M$7,"","","","","")/1000</f>
        <v>#NAME?</v>
      </c>
      <c r="N12" s="43" t="e">
        <f ca="1">AbraTurnover(API!$C$3,API!$C$4,API!$C$5,$C12,N$6,N$7,"","","","","")/1000</f>
        <v>#NAME?</v>
      </c>
      <c r="O12" s="43" t="e">
        <f ca="1">AbraTurnover(API!$C$3,API!$C$4,API!$C$5,$C12,O$6,O$7,"","","","","")/1000</f>
        <v>#NAME?</v>
      </c>
      <c r="P12" s="43" t="e">
        <f ca="1">AbraTurnover(API!$C$3,API!$C$4,API!$C$5,$C12,P$6,P$7,"","","","","")/1000</f>
        <v>#NAME?</v>
      </c>
      <c r="Q12" s="43" t="e">
        <f ca="1">AbraTurnover(API!$C$3,API!$C$4,API!$C$5,$C12,Q$6,Q$7,"","","","","")/1000</f>
        <v>#NAME?</v>
      </c>
      <c r="R12" s="43" t="e">
        <f ca="1">AbraTurnover(API!$C$3,API!$C$4,API!$C$5,$C12,R$6,R$7,"","","","","")/1000</f>
        <v>#NAME?</v>
      </c>
      <c r="S12" s="43" t="e">
        <f ca="1">AbraTurnover(API!$C$3,API!$C$4,API!$C$5,$C12,S$6,S$7,"","","","","")/1000</f>
        <v>#NAME?</v>
      </c>
      <c r="T12" s="43" t="e">
        <f ca="1">AbraTurnover(API!$C$3,API!$C$4,API!$C$5,$C12,T$6,T$7,"","","","","")/1000</f>
        <v>#NAME?</v>
      </c>
      <c r="U12" s="43" t="e">
        <f ca="1">AbraTurnover(API!$C$3,API!$C$4,API!$C$5,$C12,U$6,U$7,"","","","","")/1000</f>
        <v>#NAME?</v>
      </c>
      <c r="V12" s="43" t="e">
        <f ca="1">AbraTurnover(API!$C$3,API!$C$4,API!$C$5,$C12,V$6,V$7,"","","","","")/1000</f>
        <v>#NAME?</v>
      </c>
      <c r="W12" s="43" t="e">
        <f ca="1">AbraTurnover(API!$C$3,API!$C$4,API!$C$5,$C12,W$6,W$7,"","","","","")/1000</f>
        <v>#NAME?</v>
      </c>
      <c r="X12" s="43" t="e">
        <f ca="1">AbraTurnover(API!$C$3,API!$C$4,API!$C$5,$C12,X$6,X$7,"","","","","")/1000</f>
        <v>#NAME?</v>
      </c>
      <c r="Y12" s="43" t="e">
        <f ca="1">AbraTurnover(API!$C$3,API!$C$4,API!$C$5,$C12,Y$6,Y$7,"","","","","")/1000</f>
        <v>#NAME?</v>
      </c>
      <c r="Z12" s="43" t="e">
        <f ca="1">AbraTurnover(API!$C$3,API!$C$4,API!$C$5,$C12,Z$6,Z$7,"","","","","")/1000</f>
        <v>#NAME?</v>
      </c>
      <c r="AA12" s="44" t="e">
        <f ca="1">AbraTurnover(API!$C$3,API!$C$4,API!$C$5,$C12,AA$6,AA$7,"","","","","")/1000</f>
        <v>#NAME?</v>
      </c>
      <c r="AB12" s="76" t="e">
        <f t="shared" ref="AB12:AB25" ca="1" si="9">SUM(P12:AA12)</f>
        <v>#NAME?</v>
      </c>
      <c r="AC12" s="81" t="e">
        <f t="shared" ca="1" si="6"/>
        <v>#NAME?</v>
      </c>
      <c r="AD12" s="81" t="e">
        <f t="shared" ca="1" si="7"/>
        <v>#NAME?</v>
      </c>
      <c r="AE12" s="81">
        <v>-0.5</v>
      </c>
      <c r="AF12" s="81">
        <v>0.5</v>
      </c>
      <c r="AG12" s="81">
        <v>0</v>
      </c>
      <c r="AH12" s="83">
        <f t="shared" si="8"/>
        <v>0</v>
      </c>
      <c r="AI12" s="49" t="e">
        <f t="shared" ref="AI12:AP25" ca="1" si="10">$AB12*(1+$AH12)/12</f>
        <v>#NAME?</v>
      </c>
      <c r="AJ12" s="43" t="e">
        <f t="shared" ca="1" si="10"/>
        <v>#NAME?</v>
      </c>
      <c r="AK12" s="43" t="e">
        <f t="shared" ca="1" si="10"/>
        <v>#NAME?</v>
      </c>
      <c r="AL12" s="43" t="e">
        <f t="shared" ca="1" si="10"/>
        <v>#NAME?</v>
      </c>
      <c r="AM12" s="43" t="e">
        <f t="shared" ca="1" si="10"/>
        <v>#NAME?</v>
      </c>
      <c r="AN12" s="43" t="e">
        <f t="shared" ca="1" si="10"/>
        <v>#NAME?</v>
      </c>
      <c r="AO12" s="43" t="e">
        <f t="shared" ca="1" si="10"/>
        <v>#NAME?</v>
      </c>
      <c r="AP12" s="43" t="e">
        <f t="shared" ca="1" si="10"/>
        <v>#NAME?</v>
      </c>
      <c r="AQ12" s="43" t="e">
        <f t="shared" ref="AQ12:AT24" ca="1" si="11">$AB12*(1+$AH12)/12</f>
        <v>#NAME?</v>
      </c>
      <c r="AR12" s="43" t="e">
        <f t="shared" ca="1" si="11"/>
        <v>#NAME?</v>
      </c>
      <c r="AS12" s="43" t="e">
        <f t="shared" ca="1" si="11"/>
        <v>#NAME?</v>
      </c>
      <c r="AT12" s="43" t="e">
        <f t="shared" ca="1" si="11"/>
        <v>#NAME?</v>
      </c>
      <c r="AU12" s="78" t="e">
        <f t="shared" ref="AU12:AU25" ca="1" si="12">SUM(AI12:AT12)</f>
        <v>#NAME?</v>
      </c>
    </row>
    <row r="13" spans="1:50" ht="15" customHeight="1" x14ac:dyDescent="0.2">
      <c r="B13" s="41" t="s">
        <v>13</v>
      </c>
      <c r="C13" s="42" t="s">
        <v>17</v>
      </c>
      <c r="D13" s="43" t="e">
        <f ca="1">AbraTurnover(API!$C$3,API!$C$4,API!$C$5,$C13,D$6,D$7,"","","","","")/1000</f>
        <v>#NAME?</v>
      </c>
      <c r="E13" s="43" t="e">
        <f ca="1">AbraTurnover(API!$C$3,API!$C$4,API!$C$5,$C13,E$6,E$7,"","","","","")/1000</f>
        <v>#NAME?</v>
      </c>
      <c r="F13" s="43" t="e">
        <f ca="1">AbraTurnover(API!$C$3,API!$C$4,API!$C$5,$C13,F$6,F$7,"","","","","")/1000</f>
        <v>#NAME?</v>
      </c>
      <c r="G13" s="43" t="e">
        <f ca="1">AbraTurnover(API!$C$3,API!$C$4,API!$C$5,$C13,G$6,G$7,"","","","","")/1000</f>
        <v>#NAME?</v>
      </c>
      <c r="H13" s="43" t="e">
        <f ca="1">AbraTurnover(API!$C$3,API!$C$4,API!$C$5,$C13,H$6,H$7,"","","","","")/1000</f>
        <v>#NAME?</v>
      </c>
      <c r="I13" s="43" t="e">
        <f ca="1">AbraTurnover(API!$C$3,API!$C$4,API!$C$5,$C13,I$6,I$7,"","","","","")/1000</f>
        <v>#NAME?</v>
      </c>
      <c r="J13" s="43" t="e">
        <f ca="1">AbraTurnover(API!$C$3,API!$C$4,API!$C$5,$C13,J$6,J$7,"","","","","")/1000</f>
        <v>#NAME?</v>
      </c>
      <c r="K13" s="43" t="e">
        <f ca="1">AbraTurnover(API!$C$3,API!$C$4,API!$C$5,$C13,K$6,K$7,"","","","","")/1000</f>
        <v>#NAME?</v>
      </c>
      <c r="L13" s="43" t="e">
        <f ca="1">AbraTurnover(API!$C$3,API!$C$4,API!$C$5,$C13,L$6,L$7,"","","","","")/1000</f>
        <v>#NAME?</v>
      </c>
      <c r="M13" s="43" t="e">
        <f ca="1">AbraTurnover(API!$C$3,API!$C$4,API!$C$5,$C13,M$6,M$7,"","","","","")/1000</f>
        <v>#NAME?</v>
      </c>
      <c r="N13" s="43" t="e">
        <f ca="1">AbraTurnover(API!$C$3,API!$C$4,API!$C$5,$C13,N$6,N$7,"","","","","")/1000</f>
        <v>#NAME?</v>
      </c>
      <c r="O13" s="43" t="e">
        <f ca="1">AbraTurnover(API!$C$3,API!$C$4,API!$C$5,$C13,O$6,O$7,"","","","","")/1000</f>
        <v>#NAME?</v>
      </c>
      <c r="P13" s="43" t="e">
        <f ca="1">AbraTurnover(API!$C$3,API!$C$4,API!$C$5,$C13,P$6,P$7,"","","","","")/1000</f>
        <v>#NAME?</v>
      </c>
      <c r="Q13" s="43" t="e">
        <f ca="1">AbraTurnover(API!$C$3,API!$C$4,API!$C$5,$C13,Q$6,Q$7,"","","","","")/1000</f>
        <v>#NAME?</v>
      </c>
      <c r="R13" s="43" t="e">
        <f ca="1">AbraTurnover(API!$C$3,API!$C$4,API!$C$5,$C13,R$6,R$7,"","","","","")/1000</f>
        <v>#NAME?</v>
      </c>
      <c r="S13" s="43" t="e">
        <f ca="1">AbraTurnover(API!$C$3,API!$C$4,API!$C$5,$C13,S$6,S$7,"","","","","")/1000</f>
        <v>#NAME?</v>
      </c>
      <c r="T13" s="43" t="e">
        <f ca="1">AbraTurnover(API!$C$3,API!$C$4,API!$C$5,$C13,T$6,T$7,"","","","","")/1000</f>
        <v>#NAME?</v>
      </c>
      <c r="U13" s="43" t="e">
        <f ca="1">AbraTurnover(API!$C$3,API!$C$4,API!$C$5,$C13,U$6,U$7,"","","","","")/1000</f>
        <v>#NAME?</v>
      </c>
      <c r="V13" s="43" t="e">
        <f ca="1">AbraTurnover(API!$C$3,API!$C$4,API!$C$5,$C13,V$6,V$7,"","","","","")/1000</f>
        <v>#NAME?</v>
      </c>
      <c r="W13" s="43" t="e">
        <f ca="1">AbraTurnover(API!$C$3,API!$C$4,API!$C$5,$C13,W$6,W$7,"","","","","")/1000</f>
        <v>#NAME?</v>
      </c>
      <c r="X13" s="43" t="e">
        <f ca="1">AbraTurnover(API!$C$3,API!$C$4,API!$C$5,$C13,X$6,X$7,"","","","","")/1000</f>
        <v>#NAME?</v>
      </c>
      <c r="Y13" s="43" t="e">
        <f ca="1">AbraTurnover(API!$C$3,API!$C$4,API!$C$5,$C13,Y$6,Y$7,"","","","","")/1000</f>
        <v>#NAME?</v>
      </c>
      <c r="Z13" s="43" t="e">
        <f ca="1">AbraTurnover(API!$C$3,API!$C$4,API!$C$5,$C13,Z$6,Z$7,"","","","","")/1000</f>
        <v>#NAME?</v>
      </c>
      <c r="AA13" s="44" t="e">
        <f ca="1">AbraTurnover(API!$C$3,API!$C$4,API!$C$5,$C13,AA$6,AA$7,"","","","","")/1000</f>
        <v>#NAME?</v>
      </c>
      <c r="AB13" s="76" t="e">
        <f t="shared" ca="1" si="9"/>
        <v>#NAME?</v>
      </c>
      <c r="AC13" s="81" t="e">
        <f t="shared" ca="1" si="6"/>
        <v>#NAME?</v>
      </c>
      <c r="AD13" s="81" t="e">
        <f t="shared" ca="1" si="7"/>
        <v>#NAME?</v>
      </c>
      <c r="AE13" s="81">
        <v>-0.5</v>
      </c>
      <c r="AF13" s="81">
        <v>0.5</v>
      </c>
      <c r="AG13" s="81">
        <v>0</v>
      </c>
      <c r="AH13" s="83">
        <f t="shared" si="8"/>
        <v>0</v>
      </c>
      <c r="AI13" s="49" t="e">
        <f t="shared" ca="1" si="10"/>
        <v>#NAME?</v>
      </c>
      <c r="AJ13" s="43" t="e">
        <f t="shared" ca="1" si="10"/>
        <v>#NAME?</v>
      </c>
      <c r="AK13" s="43" t="e">
        <f t="shared" ca="1" si="10"/>
        <v>#NAME?</v>
      </c>
      <c r="AL13" s="43" t="e">
        <f t="shared" ca="1" si="10"/>
        <v>#NAME?</v>
      </c>
      <c r="AM13" s="43" t="e">
        <f t="shared" ca="1" si="10"/>
        <v>#NAME?</v>
      </c>
      <c r="AN13" s="43" t="e">
        <f t="shared" ca="1" si="10"/>
        <v>#NAME?</v>
      </c>
      <c r="AO13" s="43" t="e">
        <f t="shared" ca="1" si="10"/>
        <v>#NAME?</v>
      </c>
      <c r="AP13" s="43" t="e">
        <f t="shared" ca="1" si="10"/>
        <v>#NAME?</v>
      </c>
      <c r="AQ13" s="43" t="e">
        <f t="shared" ca="1" si="11"/>
        <v>#NAME?</v>
      </c>
      <c r="AR13" s="43" t="e">
        <f t="shared" ca="1" si="11"/>
        <v>#NAME?</v>
      </c>
      <c r="AS13" s="43" t="e">
        <f t="shared" ca="1" si="11"/>
        <v>#NAME?</v>
      </c>
      <c r="AT13" s="43" t="e">
        <f t="shared" ca="1" si="11"/>
        <v>#NAME?</v>
      </c>
      <c r="AU13" s="78" t="e">
        <f t="shared" ca="1" si="12"/>
        <v>#NAME?</v>
      </c>
    </row>
    <row r="14" spans="1:50" ht="15" customHeight="1" x14ac:dyDescent="0.2">
      <c r="B14" s="41" t="s">
        <v>14</v>
      </c>
      <c r="C14" s="42" t="s">
        <v>18</v>
      </c>
      <c r="D14" s="43" t="e">
        <f ca="1">AbraTurnover(API!$C$3,API!$C$4,API!$C$5,$C14,D$6,D$7,"","","","","")/1000</f>
        <v>#NAME?</v>
      </c>
      <c r="E14" s="43" t="e">
        <f ca="1">AbraTurnover(API!$C$3,API!$C$4,API!$C$5,$C14,E$6,E$7,"","","","","")/1000</f>
        <v>#NAME?</v>
      </c>
      <c r="F14" s="43" t="e">
        <f ca="1">AbraTurnover(API!$C$3,API!$C$4,API!$C$5,$C14,F$6,F$7,"","","","","")/1000</f>
        <v>#NAME?</v>
      </c>
      <c r="G14" s="43" t="e">
        <f ca="1">AbraTurnover(API!$C$3,API!$C$4,API!$C$5,$C14,G$6,G$7,"","","","","")/1000</f>
        <v>#NAME?</v>
      </c>
      <c r="H14" s="43" t="e">
        <f ca="1">AbraTurnover(API!$C$3,API!$C$4,API!$C$5,$C14,H$6,H$7,"","","","","")/1000</f>
        <v>#NAME?</v>
      </c>
      <c r="I14" s="43" t="e">
        <f ca="1">AbraTurnover(API!$C$3,API!$C$4,API!$C$5,$C14,I$6,I$7,"","","","","")/1000</f>
        <v>#NAME?</v>
      </c>
      <c r="J14" s="43" t="e">
        <f ca="1">AbraTurnover(API!$C$3,API!$C$4,API!$C$5,$C14,J$6,J$7,"","","","","")/1000</f>
        <v>#NAME?</v>
      </c>
      <c r="K14" s="43" t="e">
        <f ca="1">AbraTurnover(API!$C$3,API!$C$4,API!$C$5,$C14,K$6,K$7,"","","","","")/1000</f>
        <v>#NAME?</v>
      </c>
      <c r="L14" s="43" t="e">
        <f ca="1">AbraTurnover(API!$C$3,API!$C$4,API!$C$5,$C14,L$6,L$7,"","","","","")/1000</f>
        <v>#NAME?</v>
      </c>
      <c r="M14" s="43" t="e">
        <f ca="1">AbraTurnover(API!$C$3,API!$C$4,API!$C$5,$C14,M$6,M$7,"","","","","")/1000</f>
        <v>#NAME?</v>
      </c>
      <c r="N14" s="43" t="e">
        <f ca="1">AbraTurnover(API!$C$3,API!$C$4,API!$C$5,$C14,N$6,N$7,"","","","","")/1000</f>
        <v>#NAME?</v>
      </c>
      <c r="O14" s="43" t="e">
        <f ca="1">AbraTurnover(API!$C$3,API!$C$4,API!$C$5,$C14,O$6,O$7,"","","","","")/1000</f>
        <v>#NAME?</v>
      </c>
      <c r="P14" s="43" t="e">
        <f ca="1">AbraTurnover(API!$C$3,API!$C$4,API!$C$5,$C14,P$6,P$7,"","","","","")/1000</f>
        <v>#NAME?</v>
      </c>
      <c r="Q14" s="43" t="e">
        <f ca="1">AbraTurnover(API!$C$3,API!$C$4,API!$C$5,$C14,Q$6,Q$7,"","","","","")/1000</f>
        <v>#NAME?</v>
      </c>
      <c r="R14" s="43" t="e">
        <f ca="1">AbraTurnover(API!$C$3,API!$C$4,API!$C$5,$C14,R$6,R$7,"","","","","")/1000</f>
        <v>#NAME?</v>
      </c>
      <c r="S14" s="43" t="e">
        <f ca="1">AbraTurnover(API!$C$3,API!$C$4,API!$C$5,$C14,S$6,S$7,"","","","","")/1000</f>
        <v>#NAME?</v>
      </c>
      <c r="T14" s="43" t="e">
        <f ca="1">AbraTurnover(API!$C$3,API!$C$4,API!$C$5,$C14,T$6,T$7,"","","","","")/1000</f>
        <v>#NAME?</v>
      </c>
      <c r="U14" s="43" t="e">
        <f ca="1">AbraTurnover(API!$C$3,API!$C$4,API!$C$5,$C14,U$6,U$7,"","","","","")/1000</f>
        <v>#NAME?</v>
      </c>
      <c r="V14" s="43" t="e">
        <f ca="1">AbraTurnover(API!$C$3,API!$C$4,API!$C$5,$C14,V$6,V$7,"","","","","")/1000</f>
        <v>#NAME?</v>
      </c>
      <c r="W14" s="43" t="e">
        <f ca="1">AbraTurnover(API!$C$3,API!$C$4,API!$C$5,$C14,W$6,W$7,"","","","","")/1000</f>
        <v>#NAME?</v>
      </c>
      <c r="X14" s="43" t="e">
        <f ca="1">AbraTurnover(API!$C$3,API!$C$4,API!$C$5,$C14,X$6,X$7,"","","","","")/1000</f>
        <v>#NAME?</v>
      </c>
      <c r="Y14" s="43" t="e">
        <f ca="1">AbraTurnover(API!$C$3,API!$C$4,API!$C$5,$C14,Y$6,Y$7,"","","","","")/1000</f>
        <v>#NAME?</v>
      </c>
      <c r="Z14" s="43" t="e">
        <f ca="1">AbraTurnover(API!$C$3,API!$C$4,API!$C$5,$C14,Z$6,Z$7,"","","","","")/1000</f>
        <v>#NAME?</v>
      </c>
      <c r="AA14" s="44" t="e">
        <f ca="1">AbraTurnover(API!$C$3,API!$C$4,API!$C$5,$C14,AA$6,AA$7,"","","","","")/1000</f>
        <v>#NAME?</v>
      </c>
      <c r="AB14" s="76" t="e">
        <f t="shared" ca="1" si="9"/>
        <v>#NAME?</v>
      </c>
      <c r="AC14" s="81" t="e">
        <f t="shared" ca="1" si="6"/>
        <v>#NAME?</v>
      </c>
      <c r="AD14" s="81" t="e">
        <f t="shared" ca="1" si="7"/>
        <v>#NAME?</v>
      </c>
      <c r="AE14" s="81">
        <v>-0.5</v>
      </c>
      <c r="AF14" s="81">
        <v>0.5</v>
      </c>
      <c r="AG14" s="81">
        <v>-1</v>
      </c>
      <c r="AH14" s="83">
        <f t="shared" si="8"/>
        <v>-1</v>
      </c>
      <c r="AI14" s="49" t="e">
        <f t="shared" ca="1" si="10"/>
        <v>#NAME?</v>
      </c>
      <c r="AJ14" s="43" t="e">
        <f t="shared" ca="1" si="10"/>
        <v>#NAME?</v>
      </c>
      <c r="AK14" s="43" t="e">
        <f t="shared" ca="1" si="10"/>
        <v>#NAME?</v>
      </c>
      <c r="AL14" s="43" t="e">
        <f t="shared" ca="1" si="10"/>
        <v>#NAME?</v>
      </c>
      <c r="AM14" s="43" t="e">
        <f t="shared" ca="1" si="10"/>
        <v>#NAME?</v>
      </c>
      <c r="AN14" s="43" t="e">
        <f t="shared" ca="1" si="10"/>
        <v>#NAME?</v>
      </c>
      <c r="AO14" s="43" t="e">
        <f t="shared" ca="1" si="10"/>
        <v>#NAME?</v>
      </c>
      <c r="AP14" s="43" t="e">
        <f t="shared" ca="1" si="10"/>
        <v>#NAME?</v>
      </c>
      <c r="AQ14" s="43" t="e">
        <f t="shared" ca="1" si="11"/>
        <v>#NAME?</v>
      </c>
      <c r="AR14" s="43" t="e">
        <f t="shared" ca="1" si="11"/>
        <v>#NAME?</v>
      </c>
      <c r="AS14" s="43" t="e">
        <f t="shared" ca="1" si="11"/>
        <v>#NAME?</v>
      </c>
      <c r="AT14" s="43" t="e">
        <f t="shared" ca="1" si="11"/>
        <v>#NAME?</v>
      </c>
      <c r="AU14" s="78" t="e">
        <f t="shared" ca="1" si="12"/>
        <v>#NAME?</v>
      </c>
    </row>
    <row r="15" spans="1:50" ht="15" customHeight="1" x14ac:dyDescent="0.2">
      <c r="B15" s="41" t="s">
        <v>15</v>
      </c>
      <c r="C15" s="42" t="s">
        <v>19</v>
      </c>
      <c r="D15" s="43" t="e">
        <f ca="1">AbraTurnover(API!$C$3,API!$C$4,API!$C$5,$C15,D$6,D$7,"","","","","")/1000</f>
        <v>#NAME?</v>
      </c>
      <c r="E15" s="43" t="e">
        <f ca="1">AbraTurnover(API!$C$3,API!$C$4,API!$C$5,$C15,E$6,E$7,"","","","","")/1000</f>
        <v>#NAME?</v>
      </c>
      <c r="F15" s="43" t="e">
        <f ca="1">AbraTurnover(API!$C$3,API!$C$4,API!$C$5,$C15,F$6,F$7,"","","","","")/1000</f>
        <v>#NAME?</v>
      </c>
      <c r="G15" s="43" t="e">
        <f ca="1">AbraTurnover(API!$C$3,API!$C$4,API!$C$5,$C15,G$6,G$7,"","","","","")/1000</f>
        <v>#NAME?</v>
      </c>
      <c r="H15" s="43" t="e">
        <f ca="1">AbraTurnover(API!$C$3,API!$C$4,API!$C$5,$C15,H$6,H$7,"","","","","")/1000</f>
        <v>#NAME?</v>
      </c>
      <c r="I15" s="43" t="e">
        <f ca="1">AbraTurnover(API!$C$3,API!$C$4,API!$C$5,$C15,I$6,I$7,"","","","","")/1000</f>
        <v>#NAME?</v>
      </c>
      <c r="J15" s="43" t="e">
        <f ca="1">AbraTurnover(API!$C$3,API!$C$4,API!$C$5,$C15,J$6,J$7,"","","","","")/1000</f>
        <v>#NAME?</v>
      </c>
      <c r="K15" s="43" t="e">
        <f ca="1">AbraTurnover(API!$C$3,API!$C$4,API!$C$5,$C15,K$6,K$7,"","","","","")/1000</f>
        <v>#NAME?</v>
      </c>
      <c r="L15" s="43" t="e">
        <f ca="1">AbraTurnover(API!$C$3,API!$C$4,API!$C$5,$C15,L$6,L$7,"","","","","")/1000</f>
        <v>#NAME?</v>
      </c>
      <c r="M15" s="43" t="e">
        <f ca="1">AbraTurnover(API!$C$3,API!$C$4,API!$C$5,$C15,M$6,M$7,"","","","","")/1000</f>
        <v>#NAME?</v>
      </c>
      <c r="N15" s="43" t="e">
        <f ca="1">AbraTurnover(API!$C$3,API!$C$4,API!$C$5,$C15,N$6,N$7,"","","","","")/1000</f>
        <v>#NAME?</v>
      </c>
      <c r="O15" s="43" t="e">
        <f ca="1">AbraTurnover(API!$C$3,API!$C$4,API!$C$5,$C15,O$6,O$7,"","","","","")/1000</f>
        <v>#NAME?</v>
      </c>
      <c r="P15" s="43" t="e">
        <f ca="1">AbraTurnover(API!$C$3,API!$C$4,API!$C$5,$C15,P$6,P$7,"","","","","")/1000</f>
        <v>#NAME?</v>
      </c>
      <c r="Q15" s="43" t="e">
        <f ca="1">AbraTurnover(API!$C$3,API!$C$4,API!$C$5,$C15,Q$6,Q$7,"","","","","")/1000</f>
        <v>#NAME?</v>
      </c>
      <c r="R15" s="43" t="e">
        <f ca="1">AbraTurnover(API!$C$3,API!$C$4,API!$C$5,$C15,R$6,R$7,"","","","","")/1000</f>
        <v>#NAME?</v>
      </c>
      <c r="S15" s="43" t="e">
        <f ca="1">AbraTurnover(API!$C$3,API!$C$4,API!$C$5,$C15,S$6,S$7,"","","","","")/1000</f>
        <v>#NAME?</v>
      </c>
      <c r="T15" s="43" t="e">
        <f ca="1">AbraTurnover(API!$C$3,API!$C$4,API!$C$5,$C15,T$6,T$7,"","","","","")/1000</f>
        <v>#NAME?</v>
      </c>
      <c r="U15" s="43" t="e">
        <f ca="1">AbraTurnover(API!$C$3,API!$C$4,API!$C$5,$C15,U$6,U$7,"","","","","")/1000</f>
        <v>#NAME?</v>
      </c>
      <c r="V15" s="43" t="e">
        <f ca="1">AbraTurnover(API!$C$3,API!$C$4,API!$C$5,$C15,V$6,V$7,"","","","","")/1000</f>
        <v>#NAME?</v>
      </c>
      <c r="W15" s="43" t="e">
        <f ca="1">AbraTurnover(API!$C$3,API!$C$4,API!$C$5,$C15,W$6,W$7,"","","","","")/1000</f>
        <v>#NAME?</v>
      </c>
      <c r="X15" s="43" t="e">
        <f ca="1">AbraTurnover(API!$C$3,API!$C$4,API!$C$5,$C15,X$6,X$7,"","","","","")/1000</f>
        <v>#NAME?</v>
      </c>
      <c r="Y15" s="43" t="e">
        <f ca="1">AbraTurnover(API!$C$3,API!$C$4,API!$C$5,$C15,Y$6,Y$7,"","","","","")/1000</f>
        <v>#NAME?</v>
      </c>
      <c r="Z15" s="43" t="e">
        <f ca="1">AbraTurnover(API!$C$3,API!$C$4,API!$C$5,$C15,Z$6,Z$7,"","","","","")/1000</f>
        <v>#NAME?</v>
      </c>
      <c r="AA15" s="44" t="e">
        <f ca="1">AbraTurnover(API!$C$3,API!$C$4,API!$C$5,$C15,AA$6,AA$7,"","","","","")/1000</f>
        <v>#NAME?</v>
      </c>
      <c r="AB15" s="76" t="e">
        <f t="shared" ca="1" si="9"/>
        <v>#NAME?</v>
      </c>
      <c r="AC15" s="81" t="e">
        <f t="shared" ca="1" si="6"/>
        <v>#NAME?</v>
      </c>
      <c r="AD15" s="81" t="e">
        <f t="shared" ca="1" si="7"/>
        <v>#NAME?</v>
      </c>
      <c r="AE15" s="81">
        <v>-0.5</v>
      </c>
      <c r="AF15" s="81">
        <v>0.5</v>
      </c>
      <c r="AG15" s="81">
        <v>0</v>
      </c>
      <c r="AH15" s="83">
        <f t="shared" si="8"/>
        <v>0</v>
      </c>
      <c r="AI15" s="49" t="e">
        <f t="shared" ca="1" si="10"/>
        <v>#NAME?</v>
      </c>
      <c r="AJ15" s="43" t="e">
        <f t="shared" ca="1" si="10"/>
        <v>#NAME?</v>
      </c>
      <c r="AK15" s="43" t="e">
        <f t="shared" ca="1" si="10"/>
        <v>#NAME?</v>
      </c>
      <c r="AL15" s="43" t="e">
        <f t="shared" ca="1" si="10"/>
        <v>#NAME?</v>
      </c>
      <c r="AM15" s="43" t="e">
        <f t="shared" ca="1" si="10"/>
        <v>#NAME?</v>
      </c>
      <c r="AN15" s="43" t="e">
        <f t="shared" ca="1" si="10"/>
        <v>#NAME?</v>
      </c>
      <c r="AO15" s="43" t="e">
        <f t="shared" ca="1" si="10"/>
        <v>#NAME?</v>
      </c>
      <c r="AP15" s="43" t="e">
        <f t="shared" ca="1" si="10"/>
        <v>#NAME?</v>
      </c>
      <c r="AQ15" s="43" t="e">
        <f t="shared" ca="1" si="11"/>
        <v>#NAME?</v>
      </c>
      <c r="AR15" s="43" t="e">
        <f t="shared" ca="1" si="11"/>
        <v>#NAME?</v>
      </c>
      <c r="AS15" s="43" t="e">
        <f t="shared" ca="1" si="11"/>
        <v>#NAME?</v>
      </c>
      <c r="AT15" s="43" t="e">
        <f t="shared" ca="1" si="11"/>
        <v>#NAME?</v>
      </c>
      <c r="AU15" s="78" t="e">
        <f t="shared" ca="1" si="12"/>
        <v>#NAME?</v>
      </c>
    </row>
    <row r="16" spans="1:50" ht="15" customHeight="1" x14ac:dyDescent="0.2">
      <c r="B16" s="41" t="s">
        <v>16</v>
      </c>
      <c r="C16" s="42" t="s">
        <v>20</v>
      </c>
      <c r="D16" s="43" t="e">
        <f ca="1">AbraTurnover(API!$C$3,API!$C$4,API!$C$5,$C16,D$6,D$7,"","","","","")/1000</f>
        <v>#NAME?</v>
      </c>
      <c r="E16" s="43" t="e">
        <f ca="1">AbraTurnover(API!$C$3,API!$C$4,API!$C$5,$C16,E$6,E$7,"","","","","")/1000</f>
        <v>#NAME?</v>
      </c>
      <c r="F16" s="43" t="e">
        <f ca="1">AbraTurnover(API!$C$3,API!$C$4,API!$C$5,$C16,F$6,F$7,"","","","","")/1000</f>
        <v>#NAME?</v>
      </c>
      <c r="G16" s="43" t="e">
        <f ca="1">AbraTurnover(API!$C$3,API!$C$4,API!$C$5,$C16,G$6,G$7,"","","","","")/1000</f>
        <v>#NAME?</v>
      </c>
      <c r="H16" s="43" t="e">
        <f ca="1">AbraTurnover(API!$C$3,API!$C$4,API!$C$5,$C16,H$6,H$7,"","","","","")/1000</f>
        <v>#NAME?</v>
      </c>
      <c r="I16" s="43" t="e">
        <f ca="1">AbraTurnover(API!$C$3,API!$C$4,API!$C$5,$C16,I$6,I$7,"","","","","")/1000</f>
        <v>#NAME?</v>
      </c>
      <c r="J16" s="43" t="e">
        <f ca="1">AbraTurnover(API!$C$3,API!$C$4,API!$C$5,$C16,J$6,J$7,"","","","","")/1000</f>
        <v>#NAME?</v>
      </c>
      <c r="K16" s="43" t="e">
        <f ca="1">AbraTurnover(API!$C$3,API!$C$4,API!$C$5,$C16,K$6,K$7,"","","","","")/1000</f>
        <v>#NAME?</v>
      </c>
      <c r="L16" s="43" t="e">
        <f ca="1">AbraTurnover(API!$C$3,API!$C$4,API!$C$5,$C16,L$6,L$7,"","","","","")/1000</f>
        <v>#NAME?</v>
      </c>
      <c r="M16" s="43" t="e">
        <f ca="1">AbraTurnover(API!$C$3,API!$C$4,API!$C$5,$C16,M$6,M$7,"","","","","")/1000</f>
        <v>#NAME?</v>
      </c>
      <c r="N16" s="43" t="e">
        <f ca="1">AbraTurnover(API!$C$3,API!$C$4,API!$C$5,$C16,N$6,N$7,"","","","","")/1000</f>
        <v>#NAME?</v>
      </c>
      <c r="O16" s="43" t="e">
        <f ca="1">AbraTurnover(API!$C$3,API!$C$4,API!$C$5,$C16,O$6,O$7,"","","","","")/1000</f>
        <v>#NAME?</v>
      </c>
      <c r="P16" s="43" t="e">
        <f ca="1">AbraTurnover(API!$C$3,API!$C$4,API!$C$5,$C16,P$6,P$7,"","","","","")/1000</f>
        <v>#NAME?</v>
      </c>
      <c r="Q16" s="43" t="e">
        <f ca="1">AbraTurnover(API!$C$3,API!$C$4,API!$C$5,$C16,Q$6,Q$7,"","","","","")/1000</f>
        <v>#NAME?</v>
      </c>
      <c r="R16" s="43" t="e">
        <f ca="1">AbraTurnover(API!$C$3,API!$C$4,API!$C$5,$C16,R$6,R$7,"","","","","")/1000</f>
        <v>#NAME?</v>
      </c>
      <c r="S16" s="43" t="e">
        <f ca="1">AbraTurnover(API!$C$3,API!$C$4,API!$C$5,$C16,S$6,S$7,"","","","","")/1000</f>
        <v>#NAME?</v>
      </c>
      <c r="T16" s="43" t="e">
        <f ca="1">AbraTurnover(API!$C$3,API!$C$4,API!$C$5,$C16,T$6,T$7,"","","","","")/1000</f>
        <v>#NAME?</v>
      </c>
      <c r="U16" s="43" t="e">
        <f ca="1">AbraTurnover(API!$C$3,API!$C$4,API!$C$5,$C16,U$6,U$7,"","","","","")/1000</f>
        <v>#NAME?</v>
      </c>
      <c r="V16" s="43" t="e">
        <f ca="1">AbraTurnover(API!$C$3,API!$C$4,API!$C$5,$C16,V$6,V$7,"","","","","")/1000</f>
        <v>#NAME?</v>
      </c>
      <c r="W16" s="43" t="e">
        <f ca="1">AbraTurnover(API!$C$3,API!$C$4,API!$C$5,$C16,W$6,W$7,"","","","","")/1000</f>
        <v>#NAME?</v>
      </c>
      <c r="X16" s="43" t="e">
        <f ca="1">AbraTurnover(API!$C$3,API!$C$4,API!$C$5,$C16,X$6,X$7,"","","","","")/1000</f>
        <v>#NAME?</v>
      </c>
      <c r="Y16" s="43" t="e">
        <f ca="1">AbraTurnover(API!$C$3,API!$C$4,API!$C$5,$C16,Y$6,Y$7,"","","","","")/1000</f>
        <v>#NAME?</v>
      </c>
      <c r="Z16" s="43" t="e">
        <f ca="1">AbraTurnover(API!$C$3,API!$C$4,API!$C$5,$C16,Z$6,Z$7,"","","","","")/1000</f>
        <v>#NAME?</v>
      </c>
      <c r="AA16" s="44" t="e">
        <f ca="1">AbraTurnover(API!$C$3,API!$C$4,API!$C$5,$C16,AA$6,AA$7,"","","","","")/1000</f>
        <v>#NAME?</v>
      </c>
      <c r="AB16" s="76" t="e">
        <f t="shared" ca="1" si="9"/>
        <v>#NAME?</v>
      </c>
      <c r="AC16" s="81" t="e">
        <f t="shared" ca="1" si="6"/>
        <v>#NAME?</v>
      </c>
      <c r="AD16" s="81" t="e">
        <f t="shared" ca="1" si="7"/>
        <v>#NAME?</v>
      </c>
      <c r="AE16" s="81">
        <v>-0.5</v>
      </c>
      <c r="AF16" s="81">
        <v>0.5</v>
      </c>
      <c r="AG16" s="81">
        <v>0</v>
      </c>
      <c r="AH16" s="83">
        <f t="shared" si="8"/>
        <v>0</v>
      </c>
      <c r="AI16" s="49" t="e">
        <f t="shared" ca="1" si="10"/>
        <v>#NAME?</v>
      </c>
      <c r="AJ16" s="43" t="e">
        <f t="shared" ca="1" si="10"/>
        <v>#NAME?</v>
      </c>
      <c r="AK16" s="43" t="e">
        <f t="shared" ca="1" si="10"/>
        <v>#NAME?</v>
      </c>
      <c r="AL16" s="43" t="e">
        <f t="shared" ca="1" si="10"/>
        <v>#NAME?</v>
      </c>
      <c r="AM16" s="43" t="e">
        <f t="shared" ca="1" si="10"/>
        <v>#NAME?</v>
      </c>
      <c r="AN16" s="43" t="e">
        <f t="shared" ca="1" si="10"/>
        <v>#NAME?</v>
      </c>
      <c r="AO16" s="43" t="e">
        <f t="shared" ca="1" si="10"/>
        <v>#NAME?</v>
      </c>
      <c r="AP16" s="43" t="e">
        <f t="shared" ca="1" si="10"/>
        <v>#NAME?</v>
      </c>
      <c r="AQ16" s="43" t="e">
        <f t="shared" ca="1" si="11"/>
        <v>#NAME?</v>
      </c>
      <c r="AR16" s="43" t="e">
        <f t="shared" ca="1" si="11"/>
        <v>#NAME?</v>
      </c>
      <c r="AS16" s="43" t="e">
        <f t="shared" ca="1" si="11"/>
        <v>#NAME?</v>
      </c>
      <c r="AT16" s="43" t="e">
        <f t="shared" ca="1" si="11"/>
        <v>#NAME?</v>
      </c>
      <c r="AU16" s="78" t="e">
        <f t="shared" ca="1" si="12"/>
        <v>#NAME?</v>
      </c>
    </row>
    <row r="17" spans="1:211" ht="15" customHeight="1" x14ac:dyDescent="0.2">
      <c r="B17" s="41" t="s">
        <v>21</v>
      </c>
      <c r="C17" s="42" t="s">
        <v>29</v>
      </c>
      <c r="D17" s="43" t="e">
        <f ca="1">AbraTurnover(API!$C$3,API!$C$4,API!$C$5,$C17,D$6,D$7,"","","","","")/1000</f>
        <v>#NAME?</v>
      </c>
      <c r="E17" s="43" t="e">
        <f ca="1">AbraTurnover(API!$C$3,API!$C$4,API!$C$5,$C17,E$6,E$7,"","","","","")/1000</f>
        <v>#NAME?</v>
      </c>
      <c r="F17" s="43" t="e">
        <f ca="1">AbraTurnover(API!$C$3,API!$C$4,API!$C$5,$C17,F$6,F$7,"","","","","")/1000</f>
        <v>#NAME?</v>
      </c>
      <c r="G17" s="43" t="e">
        <f ca="1">AbraTurnover(API!$C$3,API!$C$4,API!$C$5,$C17,G$6,G$7,"","","","","")/1000</f>
        <v>#NAME?</v>
      </c>
      <c r="H17" s="43" t="e">
        <f ca="1">AbraTurnover(API!$C$3,API!$C$4,API!$C$5,$C17,H$6,H$7,"","","","","")/1000</f>
        <v>#NAME?</v>
      </c>
      <c r="I17" s="43" t="e">
        <f ca="1">AbraTurnover(API!$C$3,API!$C$4,API!$C$5,$C17,I$6,I$7,"","","","","")/1000</f>
        <v>#NAME?</v>
      </c>
      <c r="J17" s="43" t="e">
        <f ca="1">AbraTurnover(API!$C$3,API!$C$4,API!$C$5,$C17,J$6,J$7,"","","","","")/1000</f>
        <v>#NAME?</v>
      </c>
      <c r="K17" s="43" t="e">
        <f ca="1">AbraTurnover(API!$C$3,API!$C$4,API!$C$5,$C17,K$6,K$7,"","","","","")/1000</f>
        <v>#NAME?</v>
      </c>
      <c r="L17" s="43" t="e">
        <f ca="1">AbraTurnover(API!$C$3,API!$C$4,API!$C$5,$C17,L$6,L$7,"","","","","")/1000</f>
        <v>#NAME?</v>
      </c>
      <c r="M17" s="43" t="e">
        <f ca="1">AbraTurnover(API!$C$3,API!$C$4,API!$C$5,$C17,M$6,M$7,"","","","","")/1000</f>
        <v>#NAME?</v>
      </c>
      <c r="N17" s="43" t="e">
        <f ca="1">AbraTurnover(API!$C$3,API!$C$4,API!$C$5,$C17,N$6,N$7,"","","","","")/1000</f>
        <v>#NAME?</v>
      </c>
      <c r="O17" s="43" t="e">
        <f ca="1">AbraTurnover(API!$C$3,API!$C$4,API!$C$5,$C17,O$6,O$7,"","","","","")/1000</f>
        <v>#NAME?</v>
      </c>
      <c r="P17" s="43" t="e">
        <f ca="1">AbraTurnover(API!$C$3,API!$C$4,API!$C$5,$C17,P$6,P$7,"","","","","")/1000</f>
        <v>#NAME?</v>
      </c>
      <c r="Q17" s="43" t="e">
        <f ca="1">AbraTurnover(API!$C$3,API!$C$4,API!$C$5,$C17,Q$6,Q$7,"","","","","")/1000</f>
        <v>#NAME?</v>
      </c>
      <c r="R17" s="43" t="e">
        <f ca="1">AbraTurnover(API!$C$3,API!$C$4,API!$C$5,$C17,R$6,R$7,"","","","","")/1000</f>
        <v>#NAME?</v>
      </c>
      <c r="S17" s="43" t="e">
        <f ca="1">AbraTurnover(API!$C$3,API!$C$4,API!$C$5,$C17,S$6,S$7,"","","","","")/1000</f>
        <v>#NAME?</v>
      </c>
      <c r="T17" s="43" t="e">
        <f ca="1">AbraTurnover(API!$C$3,API!$C$4,API!$C$5,$C17,T$6,T$7,"","","","","")/1000</f>
        <v>#NAME?</v>
      </c>
      <c r="U17" s="43" t="e">
        <f ca="1">AbraTurnover(API!$C$3,API!$C$4,API!$C$5,$C17,U$6,U$7,"","","","","")/1000</f>
        <v>#NAME?</v>
      </c>
      <c r="V17" s="43" t="e">
        <f ca="1">AbraTurnover(API!$C$3,API!$C$4,API!$C$5,$C17,V$6,V$7,"","","","","")/1000</f>
        <v>#NAME?</v>
      </c>
      <c r="W17" s="43" t="e">
        <f ca="1">AbraTurnover(API!$C$3,API!$C$4,API!$C$5,$C17,W$6,W$7,"","","","","")/1000</f>
        <v>#NAME?</v>
      </c>
      <c r="X17" s="43" t="e">
        <f ca="1">AbraTurnover(API!$C$3,API!$C$4,API!$C$5,$C17,X$6,X$7,"","","","","")/1000</f>
        <v>#NAME?</v>
      </c>
      <c r="Y17" s="43" t="e">
        <f ca="1">AbraTurnover(API!$C$3,API!$C$4,API!$C$5,$C17,Y$6,Y$7,"","","","","")/1000</f>
        <v>#NAME?</v>
      </c>
      <c r="Z17" s="43" t="e">
        <f ca="1">AbraTurnover(API!$C$3,API!$C$4,API!$C$5,$C17,Z$6,Z$7,"","","","","")/1000</f>
        <v>#NAME?</v>
      </c>
      <c r="AA17" s="44" t="e">
        <f ca="1">AbraTurnover(API!$C$3,API!$C$4,API!$C$5,$C17,AA$6,AA$7,"","","","","")/1000</f>
        <v>#NAME?</v>
      </c>
      <c r="AB17" s="76" t="e">
        <f t="shared" ca="1" si="9"/>
        <v>#NAME?</v>
      </c>
      <c r="AC17" s="81" t="e">
        <f t="shared" ca="1" si="6"/>
        <v>#NAME?</v>
      </c>
      <c r="AD17" s="81" t="e">
        <f t="shared" ca="1" si="7"/>
        <v>#NAME?</v>
      </c>
      <c r="AE17" s="81">
        <v>-0.5</v>
      </c>
      <c r="AF17" s="81">
        <v>0.5</v>
      </c>
      <c r="AG17" s="81">
        <v>-1</v>
      </c>
      <c r="AH17" s="83">
        <f t="shared" si="8"/>
        <v>-1</v>
      </c>
      <c r="AI17" s="49" t="e">
        <f t="shared" ca="1" si="10"/>
        <v>#NAME?</v>
      </c>
      <c r="AJ17" s="43" t="e">
        <f t="shared" ca="1" si="10"/>
        <v>#NAME?</v>
      </c>
      <c r="AK17" s="43" t="e">
        <f t="shared" ca="1" si="10"/>
        <v>#NAME?</v>
      </c>
      <c r="AL17" s="43" t="e">
        <f t="shared" ca="1" si="10"/>
        <v>#NAME?</v>
      </c>
      <c r="AM17" s="43" t="e">
        <f t="shared" ca="1" si="10"/>
        <v>#NAME?</v>
      </c>
      <c r="AN17" s="43" t="e">
        <f t="shared" ca="1" si="10"/>
        <v>#NAME?</v>
      </c>
      <c r="AO17" s="43" t="e">
        <f t="shared" ca="1" si="10"/>
        <v>#NAME?</v>
      </c>
      <c r="AP17" s="43" t="e">
        <f t="shared" ca="1" si="10"/>
        <v>#NAME?</v>
      </c>
      <c r="AQ17" s="43" t="e">
        <f t="shared" ca="1" si="11"/>
        <v>#NAME?</v>
      </c>
      <c r="AR17" s="43" t="e">
        <f t="shared" ca="1" si="11"/>
        <v>#NAME?</v>
      </c>
      <c r="AS17" s="43" t="e">
        <f t="shared" ca="1" si="11"/>
        <v>#NAME?</v>
      </c>
      <c r="AT17" s="43" t="e">
        <f t="shared" ca="1" si="11"/>
        <v>#NAME?</v>
      </c>
      <c r="AU17" s="78" t="e">
        <f t="shared" ca="1" si="12"/>
        <v>#NAME?</v>
      </c>
    </row>
    <row r="18" spans="1:211" ht="15" customHeight="1" x14ac:dyDescent="0.2">
      <c r="B18" s="41" t="s">
        <v>22</v>
      </c>
      <c r="C18" s="42" t="s">
        <v>30</v>
      </c>
      <c r="D18" s="43" t="e">
        <f ca="1">AbraTurnover(API!$C$3,API!$C$4,API!$C$5,$C18,D$6,D$7,"","","","","")/1000</f>
        <v>#NAME?</v>
      </c>
      <c r="E18" s="43" t="e">
        <f ca="1">AbraTurnover(API!$C$3,API!$C$4,API!$C$5,$C18,E$6,E$7,"","","","","")/1000</f>
        <v>#NAME?</v>
      </c>
      <c r="F18" s="43" t="e">
        <f ca="1">AbraTurnover(API!$C$3,API!$C$4,API!$C$5,$C18,F$6,F$7,"","","","","")/1000</f>
        <v>#NAME?</v>
      </c>
      <c r="G18" s="43" t="e">
        <f ca="1">AbraTurnover(API!$C$3,API!$C$4,API!$C$5,$C18,G$6,G$7,"","","","","")/1000</f>
        <v>#NAME?</v>
      </c>
      <c r="H18" s="43" t="e">
        <f ca="1">AbraTurnover(API!$C$3,API!$C$4,API!$C$5,$C18,H$6,H$7,"","","","","")/1000</f>
        <v>#NAME?</v>
      </c>
      <c r="I18" s="43" t="e">
        <f ca="1">AbraTurnover(API!$C$3,API!$C$4,API!$C$5,$C18,I$6,I$7,"","","","","")/1000</f>
        <v>#NAME?</v>
      </c>
      <c r="J18" s="43" t="e">
        <f ca="1">AbraTurnover(API!$C$3,API!$C$4,API!$C$5,$C18,J$6,J$7,"","","","","")/1000</f>
        <v>#NAME?</v>
      </c>
      <c r="K18" s="43" t="e">
        <f ca="1">AbraTurnover(API!$C$3,API!$C$4,API!$C$5,$C18,K$6,K$7,"","","","","")/1000</f>
        <v>#NAME?</v>
      </c>
      <c r="L18" s="43" t="e">
        <f ca="1">AbraTurnover(API!$C$3,API!$C$4,API!$C$5,$C18,L$6,L$7,"","","","","")/1000</f>
        <v>#NAME?</v>
      </c>
      <c r="M18" s="43" t="e">
        <f ca="1">AbraTurnover(API!$C$3,API!$C$4,API!$C$5,$C18,M$6,M$7,"","","","","")/1000</f>
        <v>#NAME?</v>
      </c>
      <c r="N18" s="43" t="e">
        <f ca="1">AbraTurnover(API!$C$3,API!$C$4,API!$C$5,$C18,N$6,N$7,"","","","","")/1000</f>
        <v>#NAME?</v>
      </c>
      <c r="O18" s="43" t="e">
        <f ca="1">AbraTurnover(API!$C$3,API!$C$4,API!$C$5,$C18,O$6,O$7,"","","","","")/1000</f>
        <v>#NAME?</v>
      </c>
      <c r="P18" s="43" t="e">
        <f ca="1">AbraTurnover(API!$C$3,API!$C$4,API!$C$5,$C18,P$6,P$7,"","","","","")/1000</f>
        <v>#NAME?</v>
      </c>
      <c r="Q18" s="43" t="e">
        <f ca="1">AbraTurnover(API!$C$3,API!$C$4,API!$C$5,$C18,Q$6,Q$7,"","","","","")/1000</f>
        <v>#NAME?</v>
      </c>
      <c r="R18" s="43" t="e">
        <f ca="1">AbraTurnover(API!$C$3,API!$C$4,API!$C$5,$C18,R$6,R$7,"","","","","")/1000</f>
        <v>#NAME?</v>
      </c>
      <c r="S18" s="43" t="e">
        <f ca="1">AbraTurnover(API!$C$3,API!$C$4,API!$C$5,$C18,S$6,S$7,"","","","","")/1000</f>
        <v>#NAME?</v>
      </c>
      <c r="T18" s="43" t="e">
        <f ca="1">AbraTurnover(API!$C$3,API!$C$4,API!$C$5,$C18,T$6,T$7,"","","","","")/1000</f>
        <v>#NAME?</v>
      </c>
      <c r="U18" s="43" t="e">
        <f ca="1">AbraTurnover(API!$C$3,API!$C$4,API!$C$5,$C18,U$6,U$7,"","","","","")/1000</f>
        <v>#NAME?</v>
      </c>
      <c r="V18" s="43" t="e">
        <f ca="1">AbraTurnover(API!$C$3,API!$C$4,API!$C$5,$C18,V$6,V$7,"","","","","")/1000</f>
        <v>#NAME?</v>
      </c>
      <c r="W18" s="43" t="e">
        <f ca="1">AbraTurnover(API!$C$3,API!$C$4,API!$C$5,$C18,W$6,W$7,"","","","","")/1000</f>
        <v>#NAME?</v>
      </c>
      <c r="X18" s="43" t="e">
        <f ca="1">AbraTurnover(API!$C$3,API!$C$4,API!$C$5,$C18,X$6,X$7,"","","","","")/1000</f>
        <v>#NAME?</v>
      </c>
      <c r="Y18" s="43" t="e">
        <f ca="1">AbraTurnover(API!$C$3,API!$C$4,API!$C$5,$C18,Y$6,Y$7,"","","","","")/1000</f>
        <v>#NAME?</v>
      </c>
      <c r="Z18" s="43" t="e">
        <f ca="1">AbraTurnover(API!$C$3,API!$C$4,API!$C$5,$C18,Z$6,Z$7,"","","","","")/1000</f>
        <v>#NAME?</v>
      </c>
      <c r="AA18" s="44" t="e">
        <f ca="1">AbraTurnover(API!$C$3,API!$C$4,API!$C$5,$C18,AA$6,AA$7,"","","","","")/1000</f>
        <v>#NAME?</v>
      </c>
      <c r="AB18" s="76" t="e">
        <f t="shared" ca="1" si="9"/>
        <v>#NAME?</v>
      </c>
      <c r="AC18" s="81" t="e">
        <f t="shared" ca="1" si="6"/>
        <v>#NAME?</v>
      </c>
      <c r="AD18" s="81" t="e">
        <f t="shared" ca="1" si="7"/>
        <v>#NAME?</v>
      </c>
      <c r="AE18" s="81">
        <v>-0.5</v>
      </c>
      <c r="AF18" s="81">
        <v>0.5</v>
      </c>
      <c r="AG18" s="81">
        <v>0</v>
      </c>
      <c r="AH18" s="83">
        <f t="shared" si="8"/>
        <v>0</v>
      </c>
      <c r="AI18" s="49" t="e">
        <f t="shared" ca="1" si="10"/>
        <v>#NAME?</v>
      </c>
      <c r="AJ18" s="43" t="e">
        <f t="shared" ca="1" si="10"/>
        <v>#NAME?</v>
      </c>
      <c r="AK18" s="43" t="e">
        <f t="shared" ca="1" si="10"/>
        <v>#NAME?</v>
      </c>
      <c r="AL18" s="43" t="e">
        <f t="shared" ca="1" si="10"/>
        <v>#NAME?</v>
      </c>
      <c r="AM18" s="43" t="e">
        <f t="shared" ca="1" si="10"/>
        <v>#NAME?</v>
      </c>
      <c r="AN18" s="43" t="e">
        <f t="shared" ca="1" si="10"/>
        <v>#NAME?</v>
      </c>
      <c r="AO18" s="43" t="e">
        <f t="shared" ca="1" si="10"/>
        <v>#NAME?</v>
      </c>
      <c r="AP18" s="43" t="e">
        <f t="shared" ca="1" si="10"/>
        <v>#NAME?</v>
      </c>
      <c r="AQ18" s="43" t="e">
        <f t="shared" ca="1" si="11"/>
        <v>#NAME?</v>
      </c>
      <c r="AR18" s="43" t="e">
        <f t="shared" ca="1" si="11"/>
        <v>#NAME?</v>
      </c>
      <c r="AS18" s="43" t="e">
        <f t="shared" ca="1" si="11"/>
        <v>#NAME?</v>
      </c>
      <c r="AT18" s="43" t="e">
        <f t="shared" ca="1" si="11"/>
        <v>#NAME?</v>
      </c>
      <c r="AU18" s="78" t="e">
        <f t="shared" ca="1" si="12"/>
        <v>#NAME?</v>
      </c>
    </row>
    <row r="19" spans="1:211" ht="15" customHeight="1" x14ac:dyDescent="0.2">
      <c r="B19" s="41" t="s">
        <v>23</v>
      </c>
      <c r="C19" s="42" t="s">
        <v>31</v>
      </c>
      <c r="D19" s="43" t="e">
        <f ca="1">AbraTurnover(API!$C$3,API!$C$4,API!$C$5,$C19,D$6,D$7,"","","","","")/1000</f>
        <v>#NAME?</v>
      </c>
      <c r="E19" s="43" t="e">
        <f ca="1">AbraTurnover(API!$C$3,API!$C$4,API!$C$5,$C19,E$6,E$7,"","","","","")/1000</f>
        <v>#NAME?</v>
      </c>
      <c r="F19" s="43" t="e">
        <f ca="1">AbraTurnover(API!$C$3,API!$C$4,API!$C$5,$C19,F$6,F$7,"","","","","")/1000</f>
        <v>#NAME?</v>
      </c>
      <c r="G19" s="43" t="e">
        <f ca="1">AbraTurnover(API!$C$3,API!$C$4,API!$C$5,$C19,G$6,G$7,"","","","","")/1000</f>
        <v>#NAME?</v>
      </c>
      <c r="H19" s="43" t="e">
        <f ca="1">AbraTurnover(API!$C$3,API!$C$4,API!$C$5,$C19,H$6,H$7,"","","","","")/1000</f>
        <v>#NAME?</v>
      </c>
      <c r="I19" s="43" t="e">
        <f ca="1">AbraTurnover(API!$C$3,API!$C$4,API!$C$5,$C19,I$6,I$7,"","","","","")/1000</f>
        <v>#NAME?</v>
      </c>
      <c r="J19" s="43" t="e">
        <f ca="1">AbraTurnover(API!$C$3,API!$C$4,API!$C$5,$C19,J$6,J$7,"","","","","")/1000</f>
        <v>#NAME?</v>
      </c>
      <c r="K19" s="43" t="e">
        <f ca="1">AbraTurnover(API!$C$3,API!$C$4,API!$C$5,$C19,K$6,K$7,"","","","","")/1000</f>
        <v>#NAME?</v>
      </c>
      <c r="L19" s="43" t="e">
        <f ca="1">AbraTurnover(API!$C$3,API!$C$4,API!$C$5,$C19,L$6,L$7,"","","","","")/1000</f>
        <v>#NAME?</v>
      </c>
      <c r="M19" s="43" t="e">
        <f ca="1">AbraTurnover(API!$C$3,API!$C$4,API!$C$5,$C19,M$6,M$7,"","","","","")/1000</f>
        <v>#NAME?</v>
      </c>
      <c r="N19" s="43" t="e">
        <f ca="1">AbraTurnover(API!$C$3,API!$C$4,API!$C$5,$C19,N$6,N$7,"","","","","")/1000</f>
        <v>#NAME?</v>
      </c>
      <c r="O19" s="43" t="e">
        <f ca="1">AbraTurnover(API!$C$3,API!$C$4,API!$C$5,$C19,O$6,O$7,"","","","","")/1000</f>
        <v>#NAME?</v>
      </c>
      <c r="P19" s="43" t="e">
        <f ca="1">AbraTurnover(API!$C$3,API!$C$4,API!$C$5,$C19,P$6,P$7,"","","","","")/1000</f>
        <v>#NAME?</v>
      </c>
      <c r="Q19" s="43" t="e">
        <f ca="1">AbraTurnover(API!$C$3,API!$C$4,API!$C$5,$C19,Q$6,Q$7,"","","","","")/1000</f>
        <v>#NAME?</v>
      </c>
      <c r="R19" s="43" t="e">
        <f ca="1">AbraTurnover(API!$C$3,API!$C$4,API!$C$5,$C19,R$6,R$7,"","","","","")/1000</f>
        <v>#NAME?</v>
      </c>
      <c r="S19" s="43" t="e">
        <f ca="1">AbraTurnover(API!$C$3,API!$C$4,API!$C$5,$C19,S$6,S$7,"","","","","")/1000</f>
        <v>#NAME?</v>
      </c>
      <c r="T19" s="43" t="e">
        <f ca="1">AbraTurnover(API!$C$3,API!$C$4,API!$C$5,$C19,T$6,T$7,"","","","","")/1000</f>
        <v>#NAME?</v>
      </c>
      <c r="U19" s="43" t="e">
        <f ca="1">AbraTurnover(API!$C$3,API!$C$4,API!$C$5,$C19,U$6,U$7,"","","","","")/1000</f>
        <v>#NAME?</v>
      </c>
      <c r="V19" s="43" t="e">
        <f ca="1">AbraTurnover(API!$C$3,API!$C$4,API!$C$5,$C19,V$6,V$7,"","","","","")/1000</f>
        <v>#NAME?</v>
      </c>
      <c r="W19" s="43" t="e">
        <f ca="1">AbraTurnover(API!$C$3,API!$C$4,API!$C$5,$C19,W$6,W$7,"","","","","")/1000</f>
        <v>#NAME?</v>
      </c>
      <c r="X19" s="43" t="e">
        <f ca="1">AbraTurnover(API!$C$3,API!$C$4,API!$C$5,$C19,X$6,X$7,"","","","","")/1000</f>
        <v>#NAME?</v>
      </c>
      <c r="Y19" s="43" t="e">
        <f ca="1">AbraTurnover(API!$C$3,API!$C$4,API!$C$5,$C19,Y$6,Y$7,"","","","","")/1000</f>
        <v>#NAME?</v>
      </c>
      <c r="Z19" s="43" t="e">
        <f ca="1">AbraTurnover(API!$C$3,API!$C$4,API!$C$5,$C19,Z$6,Z$7,"","","","","")/1000</f>
        <v>#NAME?</v>
      </c>
      <c r="AA19" s="44" t="e">
        <f ca="1">AbraTurnover(API!$C$3,API!$C$4,API!$C$5,$C19,AA$6,AA$7,"","","","","")/1000</f>
        <v>#NAME?</v>
      </c>
      <c r="AB19" s="76" t="e">
        <f ca="1">SUM(P19:AA19)</f>
        <v>#NAME?</v>
      </c>
      <c r="AC19" s="81" t="e">
        <f t="shared" ca="1" si="6"/>
        <v>#NAME?</v>
      </c>
      <c r="AD19" s="81" t="e">
        <f t="shared" ca="1" si="7"/>
        <v>#NAME?</v>
      </c>
      <c r="AE19" s="81">
        <v>-0.5</v>
      </c>
      <c r="AF19" s="81">
        <v>0.5</v>
      </c>
      <c r="AG19" s="81">
        <v>0</v>
      </c>
      <c r="AH19" s="83">
        <f t="shared" si="8"/>
        <v>0</v>
      </c>
      <c r="AI19" s="49" t="e">
        <f t="shared" ca="1" si="10"/>
        <v>#NAME?</v>
      </c>
      <c r="AJ19" s="43" t="e">
        <f t="shared" ca="1" si="10"/>
        <v>#NAME?</v>
      </c>
      <c r="AK19" s="43" t="e">
        <f t="shared" ca="1" si="10"/>
        <v>#NAME?</v>
      </c>
      <c r="AL19" s="43" t="e">
        <f t="shared" ca="1" si="10"/>
        <v>#NAME?</v>
      </c>
      <c r="AM19" s="43" t="e">
        <f t="shared" ca="1" si="10"/>
        <v>#NAME?</v>
      </c>
      <c r="AN19" s="43" t="e">
        <f t="shared" ca="1" si="10"/>
        <v>#NAME?</v>
      </c>
      <c r="AO19" s="43" t="e">
        <f t="shared" ca="1" si="10"/>
        <v>#NAME?</v>
      </c>
      <c r="AP19" s="43" t="e">
        <f t="shared" ca="1" si="10"/>
        <v>#NAME?</v>
      </c>
      <c r="AQ19" s="43" t="e">
        <f t="shared" ca="1" si="11"/>
        <v>#NAME?</v>
      </c>
      <c r="AR19" s="43" t="e">
        <f t="shared" ca="1" si="11"/>
        <v>#NAME?</v>
      </c>
      <c r="AS19" s="43" t="e">
        <f t="shared" ca="1" si="11"/>
        <v>#NAME?</v>
      </c>
      <c r="AT19" s="43" t="e">
        <f t="shared" ca="1" si="11"/>
        <v>#NAME?</v>
      </c>
      <c r="AU19" s="78" t="e">
        <f t="shared" ca="1" si="12"/>
        <v>#NAME?</v>
      </c>
    </row>
    <row r="20" spans="1:211" ht="15" customHeight="1" x14ac:dyDescent="0.2">
      <c r="B20" s="41" t="s">
        <v>24</v>
      </c>
      <c r="C20" s="42" t="s">
        <v>32</v>
      </c>
      <c r="D20" s="43" t="e">
        <f ca="1">AbraTurnover(API!$C$3,API!$C$4,API!$C$5,$C20,D$6,D$7,"","","","","")/1000</f>
        <v>#NAME?</v>
      </c>
      <c r="E20" s="43" t="e">
        <f ca="1">AbraTurnover(API!$C$3,API!$C$4,API!$C$5,$C20,E$6,E$7,"","","","","")/1000</f>
        <v>#NAME?</v>
      </c>
      <c r="F20" s="43" t="e">
        <f ca="1">AbraTurnover(API!$C$3,API!$C$4,API!$C$5,$C20,F$6,F$7,"","","","","")/1000</f>
        <v>#NAME?</v>
      </c>
      <c r="G20" s="43" t="e">
        <f ca="1">AbraTurnover(API!$C$3,API!$C$4,API!$C$5,$C20,G$6,G$7,"","","","","")/1000</f>
        <v>#NAME?</v>
      </c>
      <c r="H20" s="43" t="e">
        <f ca="1">AbraTurnover(API!$C$3,API!$C$4,API!$C$5,$C20,H$6,H$7,"","","","","")/1000</f>
        <v>#NAME?</v>
      </c>
      <c r="I20" s="43" t="e">
        <f ca="1">AbraTurnover(API!$C$3,API!$C$4,API!$C$5,$C20,I$6,I$7,"","","","","")/1000</f>
        <v>#NAME?</v>
      </c>
      <c r="J20" s="43" t="e">
        <f ca="1">AbraTurnover(API!$C$3,API!$C$4,API!$C$5,$C20,J$6,J$7,"","","","","")/1000</f>
        <v>#NAME?</v>
      </c>
      <c r="K20" s="43" t="e">
        <f ca="1">AbraTurnover(API!$C$3,API!$C$4,API!$C$5,$C20,K$6,K$7,"","","","","")/1000</f>
        <v>#NAME?</v>
      </c>
      <c r="L20" s="43" t="e">
        <f ca="1">AbraTurnover(API!$C$3,API!$C$4,API!$C$5,$C20,L$6,L$7,"","","","","")/1000</f>
        <v>#NAME?</v>
      </c>
      <c r="M20" s="43" t="e">
        <f ca="1">AbraTurnover(API!$C$3,API!$C$4,API!$C$5,$C20,M$6,M$7,"","","","","")/1000</f>
        <v>#NAME?</v>
      </c>
      <c r="N20" s="43" t="e">
        <f ca="1">AbraTurnover(API!$C$3,API!$C$4,API!$C$5,$C20,N$6,N$7,"","","","","")/1000</f>
        <v>#NAME?</v>
      </c>
      <c r="O20" s="43" t="e">
        <f ca="1">AbraTurnover(API!$C$3,API!$C$4,API!$C$5,$C20,O$6,O$7,"","","","","")/1000</f>
        <v>#NAME?</v>
      </c>
      <c r="P20" s="43" t="e">
        <f ca="1">AbraTurnover(API!$C$3,API!$C$4,API!$C$5,$C20,P$6,P$7,"","","","","")/1000</f>
        <v>#NAME?</v>
      </c>
      <c r="Q20" s="43" t="e">
        <f ca="1">AbraTurnover(API!$C$3,API!$C$4,API!$C$5,$C20,Q$6,Q$7,"","","","","")/1000</f>
        <v>#NAME?</v>
      </c>
      <c r="R20" s="43" t="e">
        <f ca="1">AbraTurnover(API!$C$3,API!$C$4,API!$C$5,$C20,R$6,R$7,"","","","","")/1000</f>
        <v>#NAME?</v>
      </c>
      <c r="S20" s="43" t="e">
        <f ca="1">AbraTurnover(API!$C$3,API!$C$4,API!$C$5,$C20,S$6,S$7,"","","","","")/1000</f>
        <v>#NAME?</v>
      </c>
      <c r="T20" s="43" t="e">
        <f ca="1">AbraTurnover(API!$C$3,API!$C$4,API!$C$5,$C20,T$6,T$7,"","","","","")/1000</f>
        <v>#NAME?</v>
      </c>
      <c r="U20" s="43" t="e">
        <f ca="1">AbraTurnover(API!$C$3,API!$C$4,API!$C$5,$C20,U$6,U$7,"","","","","")/1000</f>
        <v>#NAME?</v>
      </c>
      <c r="V20" s="43" t="e">
        <f ca="1">AbraTurnover(API!$C$3,API!$C$4,API!$C$5,$C20,V$6,V$7,"","","","","")/1000</f>
        <v>#NAME?</v>
      </c>
      <c r="W20" s="43" t="e">
        <f ca="1">AbraTurnover(API!$C$3,API!$C$4,API!$C$5,$C20,W$6,W$7,"","","","","")/1000</f>
        <v>#NAME?</v>
      </c>
      <c r="X20" s="43" t="e">
        <f ca="1">AbraTurnover(API!$C$3,API!$C$4,API!$C$5,$C20,X$6,X$7,"","","","","")/1000</f>
        <v>#NAME?</v>
      </c>
      <c r="Y20" s="43" t="e">
        <f ca="1">AbraTurnover(API!$C$3,API!$C$4,API!$C$5,$C20,Y$6,Y$7,"","","","","")/1000</f>
        <v>#NAME?</v>
      </c>
      <c r="Z20" s="43" t="e">
        <f ca="1">AbraTurnover(API!$C$3,API!$C$4,API!$C$5,$C20,Z$6,Z$7,"","","","","")/1000</f>
        <v>#NAME?</v>
      </c>
      <c r="AA20" s="44" t="e">
        <f ca="1">AbraTurnover(API!$C$3,API!$C$4,API!$C$5,$C20,AA$6,AA$7,"","","","","")/1000</f>
        <v>#NAME?</v>
      </c>
      <c r="AB20" s="76" t="e">
        <f t="shared" ca="1" si="9"/>
        <v>#NAME?</v>
      </c>
      <c r="AC20" s="81" t="e">
        <f t="shared" ca="1" si="6"/>
        <v>#NAME?</v>
      </c>
      <c r="AD20" s="81" t="e">
        <f t="shared" ca="1" si="7"/>
        <v>#NAME?</v>
      </c>
      <c r="AE20" s="81">
        <v>-0.5</v>
      </c>
      <c r="AF20" s="81">
        <v>0.5</v>
      </c>
      <c r="AG20" s="81">
        <v>0</v>
      </c>
      <c r="AH20" s="83">
        <f t="shared" si="8"/>
        <v>0</v>
      </c>
      <c r="AI20" s="49" t="e">
        <f t="shared" ca="1" si="10"/>
        <v>#NAME?</v>
      </c>
      <c r="AJ20" s="43" t="e">
        <f t="shared" ca="1" si="10"/>
        <v>#NAME?</v>
      </c>
      <c r="AK20" s="43" t="e">
        <f t="shared" ca="1" si="10"/>
        <v>#NAME?</v>
      </c>
      <c r="AL20" s="43" t="e">
        <f t="shared" ca="1" si="10"/>
        <v>#NAME?</v>
      </c>
      <c r="AM20" s="43" t="e">
        <f t="shared" ca="1" si="10"/>
        <v>#NAME?</v>
      </c>
      <c r="AN20" s="43" t="e">
        <f t="shared" ca="1" si="10"/>
        <v>#NAME?</v>
      </c>
      <c r="AO20" s="43" t="e">
        <f t="shared" ca="1" si="10"/>
        <v>#NAME?</v>
      </c>
      <c r="AP20" s="43" t="e">
        <f t="shared" ca="1" si="10"/>
        <v>#NAME?</v>
      </c>
      <c r="AQ20" s="43" t="e">
        <f t="shared" ca="1" si="11"/>
        <v>#NAME?</v>
      </c>
      <c r="AR20" s="43" t="e">
        <f t="shared" ca="1" si="11"/>
        <v>#NAME?</v>
      </c>
      <c r="AS20" s="43" t="e">
        <f t="shared" ca="1" si="11"/>
        <v>#NAME?</v>
      </c>
      <c r="AT20" s="43" t="e">
        <f t="shared" ca="1" si="11"/>
        <v>#NAME?</v>
      </c>
      <c r="AU20" s="78" t="e">
        <f t="shared" ca="1" si="12"/>
        <v>#NAME?</v>
      </c>
    </row>
    <row r="21" spans="1:211" ht="15" customHeight="1" x14ac:dyDescent="0.2">
      <c r="B21" s="41" t="s">
        <v>25</v>
      </c>
      <c r="C21" s="42" t="s">
        <v>33</v>
      </c>
      <c r="D21" s="43" t="e">
        <f ca="1">AbraTurnover(API!$C$3,API!$C$4,API!$C$5,$C21,D$6,D$7,"","","","","")/1000</f>
        <v>#NAME?</v>
      </c>
      <c r="E21" s="43" t="e">
        <f ca="1">AbraTurnover(API!$C$3,API!$C$4,API!$C$5,$C21,E$6,E$7,"","","","","")/1000</f>
        <v>#NAME?</v>
      </c>
      <c r="F21" s="43" t="e">
        <f ca="1">AbraTurnover(API!$C$3,API!$C$4,API!$C$5,$C21,F$6,F$7,"","","","","")/1000</f>
        <v>#NAME?</v>
      </c>
      <c r="G21" s="43" t="e">
        <f ca="1">AbraTurnover(API!$C$3,API!$C$4,API!$C$5,$C21,G$6,G$7,"","","","","")/1000</f>
        <v>#NAME?</v>
      </c>
      <c r="H21" s="43" t="e">
        <f ca="1">AbraTurnover(API!$C$3,API!$C$4,API!$C$5,$C21,H$6,H$7,"","","","","")/1000</f>
        <v>#NAME?</v>
      </c>
      <c r="I21" s="43" t="e">
        <f ca="1">AbraTurnover(API!$C$3,API!$C$4,API!$C$5,$C21,I$6,I$7,"","","","","")/1000</f>
        <v>#NAME?</v>
      </c>
      <c r="J21" s="43" t="e">
        <f ca="1">AbraTurnover(API!$C$3,API!$C$4,API!$C$5,$C21,J$6,J$7,"","","","","")/1000</f>
        <v>#NAME?</v>
      </c>
      <c r="K21" s="43" t="e">
        <f ca="1">AbraTurnover(API!$C$3,API!$C$4,API!$C$5,$C21,K$6,K$7,"","","","","")/1000</f>
        <v>#NAME?</v>
      </c>
      <c r="L21" s="43" t="e">
        <f ca="1">AbraTurnover(API!$C$3,API!$C$4,API!$C$5,$C21,L$6,L$7,"","","","","")/1000</f>
        <v>#NAME?</v>
      </c>
      <c r="M21" s="43" t="e">
        <f ca="1">AbraTurnover(API!$C$3,API!$C$4,API!$C$5,$C21,M$6,M$7,"","","","","")/1000</f>
        <v>#NAME?</v>
      </c>
      <c r="N21" s="43" t="e">
        <f ca="1">AbraTurnover(API!$C$3,API!$C$4,API!$C$5,$C21,N$6,N$7,"","","","","")/1000</f>
        <v>#NAME?</v>
      </c>
      <c r="O21" s="43" t="e">
        <f ca="1">AbraTurnover(API!$C$3,API!$C$4,API!$C$5,$C21,O$6,O$7,"","","","","")/1000</f>
        <v>#NAME?</v>
      </c>
      <c r="P21" s="43" t="e">
        <f ca="1">AbraTurnover(API!$C$3,API!$C$4,API!$C$5,$C21,P$6,P$7,"","","","","")/1000</f>
        <v>#NAME?</v>
      </c>
      <c r="Q21" s="43" t="e">
        <f ca="1">AbraTurnover(API!$C$3,API!$C$4,API!$C$5,$C21,Q$6,Q$7,"","","","","")/1000</f>
        <v>#NAME?</v>
      </c>
      <c r="R21" s="43" t="e">
        <f ca="1">AbraTurnover(API!$C$3,API!$C$4,API!$C$5,$C21,R$6,R$7,"","","","","")/1000</f>
        <v>#NAME?</v>
      </c>
      <c r="S21" s="43" t="e">
        <f ca="1">AbraTurnover(API!$C$3,API!$C$4,API!$C$5,$C21,S$6,S$7,"","","","","")/1000</f>
        <v>#NAME?</v>
      </c>
      <c r="T21" s="43" t="e">
        <f ca="1">AbraTurnover(API!$C$3,API!$C$4,API!$C$5,$C21,T$6,T$7,"","","","","")/1000</f>
        <v>#NAME?</v>
      </c>
      <c r="U21" s="43" t="e">
        <f ca="1">AbraTurnover(API!$C$3,API!$C$4,API!$C$5,$C21,U$6,U$7,"","","","","")/1000</f>
        <v>#NAME?</v>
      </c>
      <c r="V21" s="43" t="e">
        <f ca="1">AbraTurnover(API!$C$3,API!$C$4,API!$C$5,$C21,V$6,V$7,"","","","","")/1000</f>
        <v>#NAME?</v>
      </c>
      <c r="W21" s="43" t="e">
        <f ca="1">AbraTurnover(API!$C$3,API!$C$4,API!$C$5,$C21,W$6,W$7,"","","","","")/1000</f>
        <v>#NAME?</v>
      </c>
      <c r="X21" s="43" t="e">
        <f ca="1">AbraTurnover(API!$C$3,API!$C$4,API!$C$5,$C21,X$6,X$7,"","","","","")/1000</f>
        <v>#NAME?</v>
      </c>
      <c r="Y21" s="43" t="e">
        <f ca="1">AbraTurnover(API!$C$3,API!$C$4,API!$C$5,$C21,Y$6,Y$7,"","","","","")/1000</f>
        <v>#NAME?</v>
      </c>
      <c r="Z21" s="43" t="e">
        <f ca="1">AbraTurnover(API!$C$3,API!$C$4,API!$C$5,$C21,Z$6,Z$7,"","","","","")/1000</f>
        <v>#NAME?</v>
      </c>
      <c r="AA21" s="44" t="e">
        <f ca="1">AbraTurnover(API!$C$3,API!$C$4,API!$C$5,$C21,AA$6,AA$7,"","","","","")/1000</f>
        <v>#NAME?</v>
      </c>
      <c r="AB21" s="76" t="e">
        <f t="shared" ca="1" si="9"/>
        <v>#NAME?</v>
      </c>
      <c r="AC21" s="81" t="e">
        <f t="shared" ca="1" si="6"/>
        <v>#NAME?</v>
      </c>
      <c r="AD21" s="81" t="e">
        <f t="shared" ca="1" si="7"/>
        <v>#NAME?</v>
      </c>
      <c r="AE21" s="81">
        <v>-0.5</v>
      </c>
      <c r="AF21" s="81">
        <v>0.5</v>
      </c>
      <c r="AG21" s="81">
        <v>0</v>
      </c>
      <c r="AH21" s="83">
        <f t="shared" si="8"/>
        <v>0</v>
      </c>
      <c r="AI21" s="49" t="e">
        <f t="shared" ca="1" si="10"/>
        <v>#NAME?</v>
      </c>
      <c r="AJ21" s="43" t="e">
        <f t="shared" ca="1" si="10"/>
        <v>#NAME?</v>
      </c>
      <c r="AK21" s="43" t="e">
        <f t="shared" ca="1" si="10"/>
        <v>#NAME?</v>
      </c>
      <c r="AL21" s="43" t="e">
        <f t="shared" ca="1" si="10"/>
        <v>#NAME?</v>
      </c>
      <c r="AM21" s="43" t="e">
        <f t="shared" ca="1" si="10"/>
        <v>#NAME?</v>
      </c>
      <c r="AN21" s="43" t="e">
        <f t="shared" ca="1" si="10"/>
        <v>#NAME?</v>
      </c>
      <c r="AO21" s="43" t="e">
        <f t="shared" ca="1" si="10"/>
        <v>#NAME?</v>
      </c>
      <c r="AP21" s="43" t="e">
        <f t="shared" ca="1" si="10"/>
        <v>#NAME?</v>
      </c>
      <c r="AQ21" s="43" t="e">
        <f t="shared" ca="1" si="11"/>
        <v>#NAME?</v>
      </c>
      <c r="AR21" s="43" t="e">
        <f t="shared" ca="1" si="11"/>
        <v>#NAME?</v>
      </c>
      <c r="AS21" s="43" t="e">
        <f t="shared" ca="1" si="11"/>
        <v>#NAME?</v>
      </c>
      <c r="AT21" s="43" t="e">
        <f t="shared" ca="1" si="11"/>
        <v>#NAME?</v>
      </c>
      <c r="AU21" s="78" t="e">
        <f t="shared" ca="1" si="12"/>
        <v>#NAME?</v>
      </c>
    </row>
    <row r="22" spans="1:211" ht="15" customHeight="1" x14ac:dyDescent="0.2">
      <c r="B22" s="41" t="s">
        <v>26</v>
      </c>
      <c r="C22" s="42" t="s">
        <v>34</v>
      </c>
      <c r="D22" s="43" t="e">
        <f ca="1">AbraTurnover(API!$C$3,API!$C$4,API!$C$5,$C22,D$6,D$7,"","","","","")/1000</f>
        <v>#NAME?</v>
      </c>
      <c r="E22" s="43" t="e">
        <f ca="1">AbraTurnover(API!$C$3,API!$C$4,API!$C$5,$C22,E$6,E$7,"","","","","")/1000</f>
        <v>#NAME?</v>
      </c>
      <c r="F22" s="43" t="e">
        <f ca="1">AbraTurnover(API!$C$3,API!$C$4,API!$C$5,$C22,F$6,F$7,"","","","","")/1000</f>
        <v>#NAME?</v>
      </c>
      <c r="G22" s="43" t="e">
        <f ca="1">AbraTurnover(API!$C$3,API!$C$4,API!$C$5,$C22,G$6,G$7,"","","","","")/1000</f>
        <v>#NAME?</v>
      </c>
      <c r="H22" s="43" t="e">
        <f ca="1">AbraTurnover(API!$C$3,API!$C$4,API!$C$5,$C22,H$6,H$7,"","","","","")/1000</f>
        <v>#NAME?</v>
      </c>
      <c r="I22" s="43" t="e">
        <f ca="1">AbraTurnover(API!$C$3,API!$C$4,API!$C$5,$C22,I$6,I$7,"","","","","")/1000</f>
        <v>#NAME?</v>
      </c>
      <c r="J22" s="43" t="e">
        <f ca="1">AbraTurnover(API!$C$3,API!$C$4,API!$C$5,$C22,J$6,J$7,"","","","","")/1000</f>
        <v>#NAME?</v>
      </c>
      <c r="K22" s="43" t="e">
        <f ca="1">AbraTurnover(API!$C$3,API!$C$4,API!$C$5,$C22,K$6,K$7,"","","","","")/1000</f>
        <v>#NAME?</v>
      </c>
      <c r="L22" s="43" t="e">
        <f ca="1">AbraTurnover(API!$C$3,API!$C$4,API!$C$5,$C22,L$6,L$7,"","","","","")/1000</f>
        <v>#NAME?</v>
      </c>
      <c r="M22" s="43" t="e">
        <f ca="1">AbraTurnover(API!$C$3,API!$C$4,API!$C$5,$C22,M$6,M$7,"","","","","")/1000</f>
        <v>#NAME?</v>
      </c>
      <c r="N22" s="43" t="e">
        <f ca="1">AbraTurnover(API!$C$3,API!$C$4,API!$C$5,$C22,N$6,N$7,"","","","","")/1000</f>
        <v>#NAME?</v>
      </c>
      <c r="O22" s="43" t="e">
        <f ca="1">AbraTurnover(API!$C$3,API!$C$4,API!$C$5,$C22,O$6,O$7,"","","","","")/1000</f>
        <v>#NAME?</v>
      </c>
      <c r="P22" s="43" t="e">
        <f ca="1">AbraTurnover(API!$C$3,API!$C$4,API!$C$5,$C22,P$6,P$7,"","","","","")/1000</f>
        <v>#NAME?</v>
      </c>
      <c r="Q22" s="43" t="e">
        <f ca="1">AbraTurnover(API!$C$3,API!$C$4,API!$C$5,$C22,Q$6,Q$7,"","","","","")/1000</f>
        <v>#NAME?</v>
      </c>
      <c r="R22" s="43" t="e">
        <f ca="1">AbraTurnover(API!$C$3,API!$C$4,API!$C$5,$C22,R$6,R$7,"","","","","")/1000</f>
        <v>#NAME?</v>
      </c>
      <c r="S22" s="43" t="e">
        <f ca="1">AbraTurnover(API!$C$3,API!$C$4,API!$C$5,$C22,S$6,S$7,"","","","","")/1000</f>
        <v>#NAME?</v>
      </c>
      <c r="T22" s="43" t="e">
        <f ca="1">AbraTurnover(API!$C$3,API!$C$4,API!$C$5,$C22,T$6,T$7,"","","","","")/1000</f>
        <v>#NAME?</v>
      </c>
      <c r="U22" s="43" t="e">
        <f ca="1">AbraTurnover(API!$C$3,API!$C$4,API!$C$5,$C22,U$6,U$7,"","","","","")/1000</f>
        <v>#NAME?</v>
      </c>
      <c r="V22" s="43" t="e">
        <f ca="1">AbraTurnover(API!$C$3,API!$C$4,API!$C$5,$C22,V$6,V$7,"","","","","")/1000</f>
        <v>#NAME?</v>
      </c>
      <c r="W22" s="43" t="e">
        <f ca="1">AbraTurnover(API!$C$3,API!$C$4,API!$C$5,$C22,W$6,W$7,"","","","","")/1000</f>
        <v>#NAME?</v>
      </c>
      <c r="X22" s="43" t="e">
        <f ca="1">AbraTurnover(API!$C$3,API!$C$4,API!$C$5,$C22,X$6,X$7,"","","","","")/1000</f>
        <v>#NAME?</v>
      </c>
      <c r="Y22" s="43" t="e">
        <f ca="1">AbraTurnover(API!$C$3,API!$C$4,API!$C$5,$C22,Y$6,Y$7,"","","","","")/1000</f>
        <v>#NAME?</v>
      </c>
      <c r="Z22" s="43" t="e">
        <f ca="1">AbraTurnover(API!$C$3,API!$C$4,API!$C$5,$C22,Z$6,Z$7,"","","","","")/1000</f>
        <v>#NAME?</v>
      </c>
      <c r="AA22" s="44" t="e">
        <f ca="1">AbraTurnover(API!$C$3,API!$C$4,API!$C$5,$C22,AA$6,AA$7,"","","","","")/1000</f>
        <v>#NAME?</v>
      </c>
      <c r="AB22" s="76" t="e">
        <f t="shared" ca="1" si="9"/>
        <v>#NAME?</v>
      </c>
      <c r="AC22" s="81" t="e">
        <f t="shared" ca="1" si="6"/>
        <v>#NAME?</v>
      </c>
      <c r="AD22" s="81" t="e">
        <f t="shared" ca="1" si="7"/>
        <v>#NAME?</v>
      </c>
      <c r="AE22" s="81">
        <v>-0.5</v>
      </c>
      <c r="AF22" s="81">
        <v>0.5</v>
      </c>
      <c r="AG22" s="81">
        <v>0</v>
      </c>
      <c r="AH22" s="83">
        <f t="shared" si="8"/>
        <v>0</v>
      </c>
      <c r="AI22" s="49" t="e">
        <f t="shared" ca="1" si="10"/>
        <v>#NAME?</v>
      </c>
      <c r="AJ22" s="43" t="e">
        <f t="shared" ca="1" si="10"/>
        <v>#NAME?</v>
      </c>
      <c r="AK22" s="43" t="e">
        <f t="shared" ca="1" si="10"/>
        <v>#NAME?</v>
      </c>
      <c r="AL22" s="43" t="e">
        <f t="shared" ca="1" si="10"/>
        <v>#NAME?</v>
      </c>
      <c r="AM22" s="43" t="e">
        <f t="shared" ca="1" si="10"/>
        <v>#NAME?</v>
      </c>
      <c r="AN22" s="43" t="e">
        <f t="shared" ca="1" si="10"/>
        <v>#NAME?</v>
      </c>
      <c r="AO22" s="43" t="e">
        <f t="shared" ca="1" si="10"/>
        <v>#NAME?</v>
      </c>
      <c r="AP22" s="43" t="e">
        <f t="shared" ca="1" si="10"/>
        <v>#NAME?</v>
      </c>
      <c r="AQ22" s="43" t="e">
        <f t="shared" ca="1" si="11"/>
        <v>#NAME?</v>
      </c>
      <c r="AR22" s="43" t="e">
        <f t="shared" ca="1" si="11"/>
        <v>#NAME?</v>
      </c>
      <c r="AS22" s="43" t="e">
        <f t="shared" ca="1" si="11"/>
        <v>#NAME?</v>
      </c>
      <c r="AT22" s="43" t="e">
        <f t="shared" ca="1" si="11"/>
        <v>#NAME?</v>
      </c>
      <c r="AU22" s="78" t="e">
        <f t="shared" ca="1" si="12"/>
        <v>#NAME?</v>
      </c>
    </row>
    <row r="23" spans="1:211" ht="15" customHeight="1" x14ac:dyDescent="0.2">
      <c r="B23" s="41" t="s">
        <v>27</v>
      </c>
      <c r="C23" s="42" t="s">
        <v>35</v>
      </c>
      <c r="D23" s="43" t="e">
        <f ca="1">AbraTurnover(API!$C$3,API!$C$4,API!$C$5,$C23,D$6,D$7,"","","","","")/1000</f>
        <v>#NAME?</v>
      </c>
      <c r="E23" s="43" t="e">
        <f ca="1">AbraTurnover(API!$C$3,API!$C$4,API!$C$5,$C23,E$6,E$7,"","","","","")/1000</f>
        <v>#NAME?</v>
      </c>
      <c r="F23" s="43" t="e">
        <f ca="1">AbraTurnover(API!$C$3,API!$C$4,API!$C$5,$C23,F$6,F$7,"","","","","")/1000</f>
        <v>#NAME?</v>
      </c>
      <c r="G23" s="43" t="e">
        <f ca="1">AbraTurnover(API!$C$3,API!$C$4,API!$C$5,$C23,G$6,G$7,"","","","","")/1000</f>
        <v>#NAME?</v>
      </c>
      <c r="H23" s="43" t="e">
        <f ca="1">AbraTurnover(API!$C$3,API!$C$4,API!$C$5,$C23,H$6,H$7,"","","","","")/1000</f>
        <v>#NAME?</v>
      </c>
      <c r="I23" s="43" t="e">
        <f ca="1">AbraTurnover(API!$C$3,API!$C$4,API!$C$5,$C23,I$6,I$7,"","","","","")/1000</f>
        <v>#NAME?</v>
      </c>
      <c r="J23" s="43" t="e">
        <f ca="1">AbraTurnover(API!$C$3,API!$C$4,API!$C$5,$C23,J$6,J$7,"","","","","")/1000</f>
        <v>#NAME?</v>
      </c>
      <c r="K23" s="43" t="e">
        <f ca="1">AbraTurnover(API!$C$3,API!$C$4,API!$C$5,$C23,K$6,K$7,"","","","","")/1000</f>
        <v>#NAME?</v>
      </c>
      <c r="L23" s="43" t="e">
        <f ca="1">AbraTurnover(API!$C$3,API!$C$4,API!$C$5,$C23,L$6,L$7,"","","","","")/1000</f>
        <v>#NAME?</v>
      </c>
      <c r="M23" s="43" t="e">
        <f ca="1">AbraTurnover(API!$C$3,API!$C$4,API!$C$5,$C23,M$6,M$7,"","","","","")/1000</f>
        <v>#NAME?</v>
      </c>
      <c r="N23" s="43" t="e">
        <f ca="1">AbraTurnover(API!$C$3,API!$C$4,API!$C$5,$C23,N$6,N$7,"","","","","")/1000</f>
        <v>#NAME?</v>
      </c>
      <c r="O23" s="43" t="e">
        <f ca="1">AbraTurnover(API!$C$3,API!$C$4,API!$C$5,$C23,O$6,O$7,"","","","","")/1000</f>
        <v>#NAME?</v>
      </c>
      <c r="P23" s="43" t="e">
        <f ca="1">AbraTurnover(API!$C$3,API!$C$4,API!$C$5,$C23,P$6,P$7,"","","","","")/1000</f>
        <v>#NAME?</v>
      </c>
      <c r="Q23" s="43" t="e">
        <f ca="1">AbraTurnover(API!$C$3,API!$C$4,API!$C$5,$C23,Q$6,Q$7,"","","","","")/1000</f>
        <v>#NAME?</v>
      </c>
      <c r="R23" s="43" t="e">
        <f ca="1">AbraTurnover(API!$C$3,API!$C$4,API!$C$5,$C23,R$6,R$7,"","","","","")/1000</f>
        <v>#NAME?</v>
      </c>
      <c r="S23" s="43" t="e">
        <f ca="1">AbraTurnover(API!$C$3,API!$C$4,API!$C$5,$C23,S$6,S$7,"","","","","")/1000</f>
        <v>#NAME?</v>
      </c>
      <c r="T23" s="43" t="e">
        <f ca="1">AbraTurnover(API!$C$3,API!$C$4,API!$C$5,$C23,T$6,T$7,"","","","","")/1000</f>
        <v>#NAME?</v>
      </c>
      <c r="U23" s="43" t="e">
        <f ca="1">AbraTurnover(API!$C$3,API!$C$4,API!$C$5,$C23,U$6,U$7,"","","","","")/1000</f>
        <v>#NAME?</v>
      </c>
      <c r="V23" s="43" t="e">
        <f ca="1">AbraTurnover(API!$C$3,API!$C$4,API!$C$5,$C23,V$6,V$7,"","","","","")/1000</f>
        <v>#NAME?</v>
      </c>
      <c r="W23" s="43" t="e">
        <f ca="1">AbraTurnover(API!$C$3,API!$C$4,API!$C$5,$C23,W$6,W$7,"","","","","")/1000</f>
        <v>#NAME?</v>
      </c>
      <c r="X23" s="43" t="e">
        <f ca="1">AbraTurnover(API!$C$3,API!$C$4,API!$C$5,$C23,X$6,X$7,"","","","","")/1000</f>
        <v>#NAME?</v>
      </c>
      <c r="Y23" s="43" t="e">
        <f ca="1">AbraTurnover(API!$C$3,API!$C$4,API!$C$5,$C23,Y$6,Y$7,"","","","","")/1000</f>
        <v>#NAME?</v>
      </c>
      <c r="Z23" s="43" t="e">
        <f ca="1">AbraTurnover(API!$C$3,API!$C$4,API!$C$5,$C23,Z$6,Z$7,"","","","","")/1000</f>
        <v>#NAME?</v>
      </c>
      <c r="AA23" s="44" t="e">
        <f ca="1">AbraTurnover(API!$C$3,API!$C$4,API!$C$5,$C23,AA$6,AA$7,"","","","","")/1000</f>
        <v>#NAME?</v>
      </c>
      <c r="AB23" s="76" t="e">
        <f t="shared" ca="1" si="9"/>
        <v>#NAME?</v>
      </c>
      <c r="AC23" s="81" t="e">
        <f t="shared" ca="1" si="6"/>
        <v>#NAME?</v>
      </c>
      <c r="AD23" s="81" t="e">
        <f t="shared" ca="1" si="7"/>
        <v>#NAME?</v>
      </c>
      <c r="AE23" s="81">
        <v>-0.5</v>
      </c>
      <c r="AF23" s="81">
        <v>0.5</v>
      </c>
      <c r="AG23" s="81">
        <v>0</v>
      </c>
      <c r="AH23" s="83">
        <f t="shared" si="8"/>
        <v>0</v>
      </c>
      <c r="AI23" s="49" t="e">
        <f t="shared" ca="1" si="10"/>
        <v>#NAME?</v>
      </c>
      <c r="AJ23" s="43" t="e">
        <f t="shared" ca="1" si="10"/>
        <v>#NAME?</v>
      </c>
      <c r="AK23" s="43" t="e">
        <f t="shared" ca="1" si="10"/>
        <v>#NAME?</v>
      </c>
      <c r="AL23" s="43" t="e">
        <f t="shared" ca="1" si="10"/>
        <v>#NAME?</v>
      </c>
      <c r="AM23" s="43" t="e">
        <f t="shared" ca="1" si="10"/>
        <v>#NAME?</v>
      </c>
      <c r="AN23" s="43" t="e">
        <f t="shared" ca="1" si="10"/>
        <v>#NAME?</v>
      </c>
      <c r="AO23" s="43" t="e">
        <f t="shared" ca="1" si="10"/>
        <v>#NAME?</v>
      </c>
      <c r="AP23" s="43" t="e">
        <f t="shared" ca="1" si="10"/>
        <v>#NAME?</v>
      </c>
      <c r="AQ23" s="43" t="e">
        <f t="shared" ca="1" si="11"/>
        <v>#NAME?</v>
      </c>
      <c r="AR23" s="43" t="e">
        <f t="shared" ca="1" si="11"/>
        <v>#NAME?</v>
      </c>
      <c r="AS23" s="43" t="e">
        <f t="shared" ca="1" si="11"/>
        <v>#NAME?</v>
      </c>
      <c r="AT23" s="43" t="e">
        <f t="shared" ca="1" si="11"/>
        <v>#NAME?</v>
      </c>
      <c r="AU23" s="78" t="e">
        <f t="shared" ca="1" si="12"/>
        <v>#NAME?</v>
      </c>
    </row>
    <row r="24" spans="1:211" ht="15" customHeight="1" x14ac:dyDescent="0.2">
      <c r="B24" s="41" t="s">
        <v>28</v>
      </c>
      <c r="C24" s="42" t="s">
        <v>36</v>
      </c>
      <c r="D24" s="43" t="e">
        <f ca="1">AbraTurnover(API!$C$3,API!$C$4,API!$C$5,$C24,D$6,D$7,"","","","","")/1000</f>
        <v>#NAME?</v>
      </c>
      <c r="E24" s="43" t="e">
        <f ca="1">AbraTurnover(API!$C$3,API!$C$4,API!$C$5,$C24,E$6,E$7,"","","","","")/1000</f>
        <v>#NAME?</v>
      </c>
      <c r="F24" s="43" t="e">
        <f ca="1">AbraTurnover(API!$C$3,API!$C$4,API!$C$5,$C24,F$6,F$7,"","","","","")/1000</f>
        <v>#NAME?</v>
      </c>
      <c r="G24" s="43" t="e">
        <f ca="1">AbraTurnover(API!$C$3,API!$C$4,API!$C$5,$C24,G$6,G$7,"","","","","")/1000</f>
        <v>#NAME?</v>
      </c>
      <c r="H24" s="43" t="e">
        <f ca="1">AbraTurnover(API!$C$3,API!$C$4,API!$C$5,$C24,H$6,H$7,"","","","","")/1000</f>
        <v>#NAME?</v>
      </c>
      <c r="I24" s="43" t="e">
        <f ca="1">AbraTurnover(API!$C$3,API!$C$4,API!$C$5,$C24,I$6,I$7,"","","","","")/1000</f>
        <v>#NAME?</v>
      </c>
      <c r="J24" s="43" t="e">
        <f ca="1">AbraTurnover(API!$C$3,API!$C$4,API!$C$5,$C24,J$6,J$7,"","","","","")/1000</f>
        <v>#NAME?</v>
      </c>
      <c r="K24" s="43" t="e">
        <f ca="1">AbraTurnover(API!$C$3,API!$C$4,API!$C$5,$C24,K$6,K$7,"","","","","")/1000</f>
        <v>#NAME?</v>
      </c>
      <c r="L24" s="43" t="e">
        <f ca="1">AbraTurnover(API!$C$3,API!$C$4,API!$C$5,$C24,L$6,L$7,"","","","","")/1000</f>
        <v>#NAME?</v>
      </c>
      <c r="M24" s="43" t="e">
        <f ca="1">AbraTurnover(API!$C$3,API!$C$4,API!$C$5,$C24,M$6,M$7,"","","","","")/1000</f>
        <v>#NAME?</v>
      </c>
      <c r="N24" s="43" t="e">
        <f ca="1">AbraTurnover(API!$C$3,API!$C$4,API!$C$5,$C24,N$6,N$7,"","","","","")/1000</f>
        <v>#NAME?</v>
      </c>
      <c r="O24" s="43" t="e">
        <f ca="1">AbraTurnover(API!$C$3,API!$C$4,API!$C$5,$C24,O$6,O$7,"","","","","")/1000</f>
        <v>#NAME?</v>
      </c>
      <c r="P24" s="43" t="e">
        <f ca="1">AbraTurnover(API!$C$3,API!$C$4,API!$C$5,$C24,P$6,P$7,"","","","","")/1000</f>
        <v>#NAME?</v>
      </c>
      <c r="Q24" s="43" t="e">
        <f ca="1">AbraTurnover(API!$C$3,API!$C$4,API!$C$5,$C24,Q$6,Q$7,"","","","","")/1000</f>
        <v>#NAME?</v>
      </c>
      <c r="R24" s="43" t="e">
        <f ca="1">AbraTurnover(API!$C$3,API!$C$4,API!$C$5,$C24,R$6,R$7,"","","","","")/1000</f>
        <v>#NAME?</v>
      </c>
      <c r="S24" s="43" t="e">
        <f ca="1">AbraTurnover(API!$C$3,API!$C$4,API!$C$5,$C24,S$6,S$7,"","","","","")/1000</f>
        <v>#NAME?</v>
      </c>
      <c r="T24" s="43" t="e">
        <f ca="1">AbraTurnover(API!$C$3,API!$C$4,API!$C$5,$C24,T$6,T$7,"","","","","")/1000</f>
        <v>#NAME?</v>
      </c>
      <c r="U24" s="43" t="e">
        <f ca="1">AbraTurnover(API!$C$3,API!$C$4,API!$C$5,$C24,U$6,U$7,"","","","","")/1000</f>
        <v>#NAME?</v>
      </c>
      <c r="V24" s="43" t="e">
        <f ca="1">AbraTurnover(API!$C$3,API!$C$4,API!$C$5,$C24,V$6,V$7,"","","","","")/1000</f>
        <v>#NAME?</v>
      </c>
      <c r="W24" s="43" t="e">
        <f ca="1">AbraTurnover(API!$C$3,API!$C$4,API!$C$5,$C24,W$6,W$7,"","","","","")/1000</f>
        <v>#NAME?</v>
      </c>
      <c r="X24" s="43" t="e">
        <f ca="1">AbraTurnover(API!$C$3,API!$C$4,API!$C$5,$C24,X$6,X$7,"","","","","")/1000</f>
        <v>#NAME?</v>
      </c>
      <c r="Y24" s="43" t="e">
        <f ca="1">AbraTurnover(API!$C$3,API!$C$4,API!$C$5,$C24,Y$6,Y$7,"","","","","")/1000</f>
        <v>#NAME?</v>
      </c>
      <c r="Z24" s="43" t="e">
        <f ca="1">AbraTurnover(API!$C$3,API!$C$4,API!$C$5,$C24,Z$6,Z$7,"","","","","")/1000</f>
        <v>#NAME?</v>
      </c>
      <c r="AA24" s="44" t="e">
        <f ca="1">AbraTurnover(API!$C$3,API!$C$4,API!$C$5,$C24,AA$6,AA$7,"","","","","")/1000</f>
        <v>#NAME?</v>
      </c>
      <c r="AB24" s="76" t="e">
        <f t="shared" ca="1" si="9"/>
        <v>#NAME?</v>
      </c>
      <c r="AC24" s="81" t="e">
        <f t="shared" ca="1" si="6"/>
        <v>#NAME?</v>
      </c>
      <c r="AD24" s="81" t="e">
        <f t="shared" ca="1" si="7"/>
        <v>#NAME?</v>
      </c>
      <c r="AE24" s="81">
        <v>-0.5</v>
      </c>
      <c r="AF24" s="81">
        <v>0.5</v>
      </c>
      <c r="AG24" s="81">
        <v>-1</v>
      </c>
      <c r="AH24" s="83">
        <f t="shared" si="8"/>
        <v>-1</v>
      </c>
      <c r="AI24" s="49" t="e">
        <f t="shared" ca="1" si="10"/>
        <v>#NAME?</v>
      </c>
      <c r="AJ24" s="43" t="e">
        <f t="shared" ca="1" si="10"/>
        <v>#NAME?</v>
      </c>
      <c r="AK24" s="43" t="e">
        <f t="shared" ca="1" si="10"/>
        <v>#NAME?</v>
      </c>
      <c r="AL24" s="43" t="e">
        <f t="shared" ca="1" si="10"/>
        <v>#NAME?</v>
      </c>
      <c r="AM24" s="43" t="e">
        <f t="shared" ca="1" si="10"/>
        <v>#NAME?</v>
      </c>
      <c r="AN24" s="43" t="e">
        <f t="shared" ca="1" si="10"/>
        <v>#NAME?</v>
      </c>
      <c r="AO24" s="43" t="e">
        <f t="shared" ca="1" si="10"/>
        <v>#NAME?</v>
      </c>
      <c r="AP24" s="43" t="e">
        <f t="shared" ca="1" si="10"/>
        <v>#NAME?</v>
      </c>
      <c r="AQ24" s="43" t="e">
        <f t="shared" ca="1" si="11"/>
        <v>#NAME?</v>
      </c>
      <c r="AR24" s="43" t="e">
        <f t="shared" ca="1" si="11"/>
        <v>#NAME?</v>
      </c>
      <c r="AS24" s="43" t="e">
        <f t="shared" ca="1" si="11"/>
        <v>#NAME?</v>
      </c>
      <c r="AT24" s="43" t="e">
        <f t="shared" ca="1" si="11"/>
        <v>#NAME?</v>
      </c>
      <c r="AU24" s="78" t="e">
        <f t="shared" ca="1" si="12"/>
        <v>#NAME?</v>
      </c>
    </row>
    <row r="25" spans="1:211" ht="15" customHeight="1" thickBot="1" x14ac:dyDescent="0.25">
      <c r="B25" s="45" t="s">
        <v>37</v>
      </c>
      <c r="C25" s="46" t="s">
        <v>38</v>
      </c>
      <c r="D25" s="47" t="e">
        <f ca="1">AbraTurnover(API!$C$3,API!$C$4,API!$C$5,$C25,D$6,D$7,"","","","","")/1000</f>
        <v>#NAME?</v>
      </c>
      <c r="E25" s="47" t="e">
        <f ca="1">AbraTurnover(API!$C$3,API!$C$4,API!$C$5,$C25,E$6,E$7,"","","","","")/1000</f>
        <v>#NAME?</v>
      </c>
      <c r="F25" s="47" t="e">
        <f ca="1">AbraTurnover(API!$C$3,API!$C$4,API!$C$5,$C25,F$6,F$7,"","","","","")/1000</f>
        <v>#NAME?</v>
      </c>
      <c r="G25" s="47" t="e">
        <f ca="1">AbraTurnover(API!$C$3,API!$C$4,API!$C$5,$C25,G$6,G$7,"","","","","")/1000</f>
        <v>#NAME?</v>
      </c>
      <c r="H25" s="47" t="e">
        <f ca="1">AbraTurnover(API!$C$3,API!$C$4,API!$C$5,$C25,H$6,H$7,"","","","","")/1000</f>
        <v>#NAME?</v>
      </c>
      <c r="I25" s="47" t="e">
        <f ca="1">AbraTurnover(API!$C$3,API!$C$4,API!$C$5,$C25,I$6,I$7,"","","","","")/1000</f>
        <v>#NAME?</v>
      </c>
      <c r="J25" s="47" t="e">
        <f ca="1">AbraTurnover(API!$C$3,API!$C$4,API!$C$5,$C25,J$6,J$7,"","","","","")/1000</f>
        <v>#NAME?</v>
      </c>
      <c r="K25" s="47" t="e">
        <f ca="1">AbraTurnover(API!$C$3,API!$C$4,API!$C$5,$C25,K$6,K$7,"","","","","")/1000</f>
        <v>#NAME?</v>
      </c>
      <c r="L25" s="47" t="e">
        <f ca="1">AbraTurnover(API!$C$3,API!$C$4,API!$C$5,$C25,L$6,L$7,"","","","","")/1000</f>
        <v>#NAME?</v>
      </c>
      <c r="M25" s="47" t="e">
        <f ca="1">AbraTurnover(API!$C$3,API!$C$4,API!$C$5,$C25,M$6,M$7,"","","","","")/1000</f>
        <v>#NAME?</v>
      </c>
      <c r="N25" s="47" t="e">
        <f ca="1">AbraTurnover(API!$C$3,API!$C$4,API!$C$5,$C25,N$6,N$7,"","","","","")/1000</f>
        <v>#NAME?</v>
      </c>
      <c r="O25" s="47" t="e">
        <f ca="1">AbraTurnover(API!$C$3,API!$C$4,API!$C$5,$C25,O$6,O$7,"","","","","")/1000</f>
        <v>#NAME?</v>
      </c>
      <c r="P25" s="47" t="e">
        <f ca="1">AbraTurnover(API!$C$3,API!$C$4,API!$C$5,$C25,P$6,P$7,"","","","","")/1000</f>
        <v>#NAME?</v>
      </c>
      <c r="Q25" s="47" t="e">
        <f ca="1">AbraTurnover(API!$C$3,API!$C$4,API!$C$5,$C25,Q$6,Q$7,"","","","","")/1000</f>
        <v>#NAME?</v>
      </c>
      <c r="R25" s="47" t="e">
        <f ca="1">AbraTurnover(API!$C$3,API!$C$4,API!$C$5,$C25,R$6,R$7,"","","","","")/1000</f>
        <v>#NAME?</v>
      </c>
      <c r="S25" s="47" t="e">
        <f ca="1">AbraTurnover(API!$C$3,API!$C$4,API!$C$5,$C25,S$6,S$7,"","","","","")/1000</f>
        <v>#NAME?</v>
      </c>
      <c r="T25" s="47" t="e">
        <f ca="1">AbraTurnover(API!$C$3,API!$C$4,API!$C$5,$C25,T$6,T$7,"","","","","")/1000</f>
        <v>#NAME?</v>
      </c>
      <c r="U25" s="47" t="e">
        <f ca="1">AbraTurnover(API!$C$3,API!$C$4,API!$C$5,$C25,U$6,U$7,"","","","","")/1000</f>
        <v>#NAME?</v>
      </c>
      <c r="V25" s="47" t="e">
        <f ca="1">AbraTurnover(API!$C$3,API!$C$4,API!$C$5,$C25,V$6,V$7,"","","","","")/1000</f>
        <v>#NAME?</v>
      </c>
      <c r="W25" s="47" t="e">
        <f ca="1">AbraTurnover(API!$C$3,API!$C$4,API!$C$5,$C25,W$6,W$7,"","","","","")/1000</f>
        <v>#NAME?</v>
      </c>
      <c r="X25" s="47" t="e">
        <f ca="1">AbraTurnover(API!$C$3,API!$C$4,API!$C$5,$C25,X$6,X$7,"","","","","")/1000</f>
        <v>#NAME?</v>
      </c>
      <c r="Y25" s="47" t="e">
        <f ca="1">AbraTurnover(API!$C$3,API!$C$4,API!$C$5,$C25,Y$6,Y$7,"","","","","")/1000</f>
        <v>#NAME?</v>
      </c>
      <c r="Z25" s="47" t="e">
        <f ca="1">AbraTurnover(API!$C$3,API!$C$4,API!$C$5,$C25,Z$6,Z$7,"","","","","")/1000</f>
        <v>#NAME?</v>
      </c>
      <c r="AA25" s="48" t="e">
        <f ca="1">AbraTurnover(API!$C$3,API!$C$4,API!$C$5,$C25,AA$6,AA$7,"","","","","")/1000</f>
        <v>#NAME?</v>
      </c>
      <c r="AB25" s="77" t="e">
        <f t="shared" ca="1" si="9"/>
        <v>#NAME?</v>
      </c>
      <c r="AC25" s="81" t="e">
        <f t="shared" ca="1" si="6"/>
        <v>#NAME?</v>
      </c>
      <c r="AD25" s="81" t="e">
        <f t="shared" ca="1" si="7"/>
        <v>#NAME?</v>
      </c>
      <c r="AE25" s="81">
        <v>-0.5</v>
      </c>
      <c r="AF25" s="81">
        <v>0.5</v>
      </c>
      <c r="AG25" s="81">
        <v>0</v>
      </c>
      <c r="AH25" s="83">
        <f t="shared" si="8"/>
        <v>0</v>
      </c>
      <c r="AI25" s="50" t="e">
        <f t="shared" ca="1" si="10"/>
        <v>#NAME?</v>
      </c>
      <c r="AJ25" s="47" t="e">
        <f t="shared" ca="1" si="10"/>
        <v>#NAME?</v>
      </c>
      <c r="AK25" s="47" t="e">
        <f t="shared" ca="1" si="10"/>
        <v>#NAME?</v>
      </c>
      <c r="AL25" s="47" t="e">
        <f t="shared" ca="1" si="10"/>
        <v>#NAME?</v>
      </c>
      <c r="AM25" s="47" t="e">
        <f t="shared" ca="1" si="10"/>
        <v>#NAME?</v>
      </c>
      <c r="AN25" s="47" t="e">
        <f t="shared" ca="1" si="10"/>
        <v>#NAME?</v>
      </c>
      <c r="AO25" s="47" t="e">
        <f t="shared" ca="1" si="10"/>
        <v>#NAME?</v>
      </c>
      <c r="AP25" s="47" t="e">
        <f t="shared" ca="1" si="10"/>
        <v>#NAME?</v>
      </c>
      <c r="AQ25" s="47" t="e">
        <f t="shared" ref="AQ25:AT25" ca="1" si="13">$AB25*(1+$AH25)/12</f>
        <v>#NAME?</v>
      </c>
      <c r="AR25" s="47" t="e">
        <f t="shared" ca="1" si="13"/>
        <v>#NAME?</v>
      </c>
      <c r="AS25" s="47" t="e">
        <f t="shared" ca="1" si="13"/>
        <v>#NAME?</v>
      </c>
      <c r="AT25" s="47" t="e">
        <f t="shared" ca="1" si="13"/>
        <v>#NAME?</v>
      </c>
      <c r="AU25" s="79" t="e">
        <f t="shared" ca="1" si="12"/>
        <v>#NAME?</v>
      </c>
    </row>
    <row r="26" spans="1:211" s="72" customFormat="1" ht="15" customHeight="1" thickBot="1" x14ac:dyDescent="0.25">
      <c r="A26" s="71"/>
      <c r="B26" s="136" t="s">
        <v>5</v>
      </c>
      <c r="C26" s="137"/>
      <c r="D26" s="18" t="e">
        <f ca="1">SUM(D9:D25)</f>
        <v>#NAME?</v>
      </c>
      <c r="E26" s="19" t="e">
        <f t="shared" ref="E26:AA26" ca="1" si="14">SUM(E9:E25)</f>
        <v>#NAME?</v>
      </c>
      <c r="F26" s="19" t="e">
        <f t="shared" ca="1" si="14"/>
        <v>#NAME?</v>
      </c>
      <c r="G26" s="19" t="e">
        <f t="shared" ca="1" si="14"/>
        <v>#NAME?</v>
      </c>
      <c r="H26" s="19" t="e">
        <f t="shared" ca="1" si="14"/>
        <v>#NAME?</v>
      </c>
      <c r="I26" s="19" t="e">
        <f t="shared" ca="1" si="14"/>
        <v>#NAME?</v>
      </c>
      <c r="J26" s="19" t="e">
        <f t="shared" ca="1" si="14"/>
        <v>#NAME?</v>
      </c>
      <c r="K26" s="19" t="e">
        <f t="shared" ca="1" si="14"/>
        <v>#NAME?</v>
      </c>
      <c r="L26" s="19" t="e">
        <f t="shared" ca="1" si="14"/>
        <v>#NAME?</v>
      </c>
      <c r="M26" s="19" t="e">
        <f t="shared" ca="1" si="14"/>
        <v>#NAME?</v>
      </c>
      <c r="N26" s="19" t="e">
        <f t="shared" ca="1" si="14"/>
        <v>#NAME?</v>
      </c>
      <c r="O26" s="19" t="e">
        <f t="shared" ca="1" si="14"/>
        <v>#NAME?</v>
      </c>
      <c r="P26" s="19" t="e">
        <f t="shared" ca="1" si="14"/>
        <v>#NAME?</v>
      </c>
      <c r="Q26" s="19" t="e">
        <f t="shared" ca="1" si="14"/>
        <v>#NAME?</v>
      </c>
      <c r="R26" s="19" t="e">
        <f t="shared" ca="1" si="14"/>
        <v>#NAME?</v>
      </c>
      <c r="S26" s="19" t="e">
        <f t="shared" ca="1" si="14"/>
        <v>#NAME?</v>
      </c>
      <c r="T26" s="19" t="e">
        <f t="shared" ca="1" si="14"/>
        <v>#NAME?</v>
      </c>
      <c r="U26" s="19" t="e">
        <f t="shared" ca="1" si="14"/>
        <v>#NAME?</v>
      </c>
      <c r="V26" s="19" t="e">
        <f t="shared" ca="1" si="14"/>
        <v>#NAME?</v>
      </c>
      <c r="W26" s="19" t="e">
        <f t="shared" ca="1" si="14"/>
        <v>#NAME?</v>
      </c>
      <c r="X26" s="19" t="e">
        <f t="shared" ca="1" si="14"/>
        <v>#NAME?</v>
      </c>
      <c r="Y26" s="19" t="e">
        <f t="shared" ca="1" si="14"/>
        <v>#NAME?</v>
      </c>
      <c r="Z26" s="19" t="e">
        <f t="shared" ca="1" si="14"/>
        <v>#NAME?</v>
      </c>
      <c r="AA26" s="19" t="e">
        <f t="shared" ca="1" si="14"/>
        <v>#NAME?</v>
      </c>
      <c r="AB26" s="20" t="e">
        <f ca="1">SUM(AB9:AB25)</f>
        <v>#NAME?</v>
      </c>
      <c r="AC26" s="53" t="e">
        <f ca="1">IF(SUM(J26:O26)+SUM(V26:AA26)&lt;0.001,0,IF(SUM(J26:O26)&lt;0.001,1,IF(SUM(V26:AA26)&lt;0.001,-1,SUM(V26:AA26)/(SUM(J26:O26))-1)))</f>
        <v>#NAME?</v>
      </c>
      <c r="AD26" s="54" t="e">
        <f ca="1">IF(SUM(D26:O26)+SUM(P26:AA26)&lt;0.001,0,IF(SUM(D26:O26)&lt;0.001,1,IF(SUM(P26:AA26)&lt;0.001,-1,SUM(P26:AA26)/(SUM(D26:O26))-1)))</f>
        <v>#NAME?</v>
      </c>
      <c r="AE26" s="54">
        <f>AVERAGE(AE9:AE25)</f>
        <v>-0.44117647058823528</v>
      </c>
      <c r="AF26" s="54">
        <f>AVERAGE(AF9:AF25)</f>
        <v>0.5</v>
      </c>
      <c r="AG26" s="55" t="s">
        <v>51</v>
      </c>
      <c r="AH26" s="56" t="e">
        <f ca="1">IF(AB26&lt;&gt;0,AU26/AB26-1,0)</f>
        <v>#NAME?</v>
      </c>
      <c r="AI26" s="21" t="e">
        <f t="shared" ref="AI26:AP26" ca="1" si="15">SUM(AI9:AI25)</f>
        <v>#NAME?</v>
      </c>
      <c r="AJ26" s="21" t="e">
        <f t="shared" ca="1" si="15"/>
        <v>#NAME?</v>
      </c>
      <c r="AK26" s="21" t="e">
        <f t="shared" ca="1" si="15"/>
        <v>#NAME?</v>
      </c>
      <c r="AL26" s="21" t="e">
        <f t="shared" ca="1" si="15"/>
        <v>#NAME?</v>
      </c>
      <c r="AM26" s="21" t="e">
        <f t="shared" ca="1" si="15"/>
        <v>#NAME?</v>
      </c>
      <c r="AN26" s="21" t="e">
        <f t="shared" ca="1" si="15"/>
        <v>#NAME?</v>
      </c>
      <c r="AO26" s="21" t="e">
        <f t="shared" ca="1" si="15"/>
        <v>#NAME?</v>
      </c>
      <c r="AP26" s="21" t="e">
        <f t="shared" ca="1" si="15"/>
        <v>#NAME?</v>
      </c>
      <c r="AQ26" s="21" t="e">
        <f t="shared" ref="AQ26:AT26" ca="1" si="16">SUM(AQ9:AQ25)</f>
        <v>#NAME?</v>
      </c>
      <c r="AR26" s="21" t="e">
        <f t="shared" ca="1" si="16"/>
        <v>#NAME?</v>
      </c>
      <c r="AS26" s="21" t="e">
        <f t="shared" ca="1" si="16"/>
        <v>#NAME?</v>
      </c>
      <c r="AT26" s="21" t="e">
        <f t="shared" ca="1" si="16"/>
        <v>#NAME?</v>
      </c>
      <c r="AU26" s="21" t="e">
        <f ca="1">SUM(AU9:AU25)</f>
        <v>#NAME?</v>
      </c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2"/>
      <c r="CB26" s="62"/>
      <c r="CC26" s="62"/>
      <c r="CD26" s="62"/>
      <c r="CE26" s="62"/>
      <c r="CF26" s="62"/>
      <c r="CG26" s="62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  <c r="EA26" s="62"/>
      <c r="EB26" s="62"/>
      <c r="EC26" s="62"/>
      <c r="ED26" s="62"/>
      <c r="EE26" s="62"/>
      <c r="EF26" s="62"/>
      <c r="EG26" s="62"/>
      <c r="EH26" s="62"/>
      <c r="EI26" s="62"/>
      <c r="EJ26" s="62"/>
      <c r="EK26" s="62"/>
      <c r="EL26" s="62"/>
      <c r="EM26" s="62"/>
      <c r="EN26" s="62"/>
      <c r="EO26" s="62"/>
      <c r="EP26" s="62"/>
      <c r="EQ26" s="62"/>
      <c r="ER26" s="62"/>
      <c r="ES26" s="62"/>
      <c r="ET26" s="62"/>
      <c r="EU26" s="62"/>
      <c r="EV26" s="62"/>
      <c r="EW26" s="62"/>
      <c r="EX26" s="62"/>
      <c r="EY26" s="62"/>
      <c r="EZ26" s="62"/>
      <c r="FA26" s="62"/>
      <c r="FB26" s="62"/>
      <c r="FC26" s="62"/>
      <c r="FD26" s="62"/>
      <c r="FE26" s="62"/>
      <c r="FF26" s="62"/>
      <c r="FG26" s="62"/>
      <c r="FH26" s="62"/>
      <c r="FI26" s="62"/>
      <c r="FJ26" s="62"/>
      <c r="FK26" s="62"/>
      <c r="FL26" s="62"/>
      <c r="FM26" s="62"/>
      <c r="FN26" s="62"/>
      <c r="FO26" s="62"/>
      <c r="FP26" s="62"/>
      <c r="FQ26" s="62"/>
      <c r="FR26" s="62"/>
      <c r="FS26" s="62"/>
      <c r="FT26" s="62"/>
      <c r="FU26" s="62"/>
      <c r="FV26" s="62"/>
      <c r="FW26" s="62"/>
      <c r="FX26" s="62"/>
      <c r="FY26" s="62"/>
      <c r="FZ26" s="62"/>
      <c r="GA26" s="62"/>
      <c r="GB26" s="62"/>
      <c r="GC26" s="62"/>
      <c r="GD26" s="62"/>
      <c r="GE26" s="62"/>
      <c r="GF26" s="62"/>
      <c r="GG26" s="62"/>
      <c r="GH26" s="62"/>
      <c r="GI26" s="62"/>
      <c r="GJ26" s="62"/>
      <c r="GK26" s="62"/>
      <c r="GL26" s="62"/>
      <c r="GM26" s="62"/>
      <c r="GN26" s="62"/>
      <c r="GO26" s="62"/>
      <c r="GP26" s="62"/>
      <c r="GQ26" s="62"/>
      <c r="GR26" s="62"/>
      <c r="GS26" s="62"/>
      <c r="GT26" s="62"/>
      <c r="GU26" s="62"/>
      <c r="GV26" s="62"/>
      <c r="GW26" s="62"/>
      <c r="GX26" s="62"/>
      <c r="GY26" s="62"/>
      <c r="GZ26" s="62"/>
      <c r="HA26" s="62"/>
      <c r="HB26" s="62"/>
      <c r="HC26" s="62"/>
    </row>
    <row r="27" spans="1:211" ht="15" customHeight="1" x14ac:dyDescent="0.2"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 t="s">
        <v>58</v>
      </c>
      <c r="Z27" s="73" t="s">
        <v>59</v>
      </c>
      <c r="AA27" s="73"/>
    </row>
    <row r="28" spans="1:211" ht="15" customHeight="1" thickBot="1" x14ac:dyDescent="0.25">
      <c r="D28" s="74"/>
      <c r="Y28" s="47" t="e">
        <f ca="1">AbraBalance(API!$C$3,API!$C$4,API!$C$5,211,Y$7)</f>
        <v>#NAME?</v>
      </c>
      <c r="Z28" s="106" t="s">
        <v>57</v>
      </c>
      <c r="AH28" s="47"/>
    </row>
    <row r="29" spans="1:211" ht="15" customHeight="1" thickBot="1" x14ac:dyDescent="0.25">
      <c r="Z29" s="47" t="e">
        <f ca="1">AbraSale(API!$C$3,API!$C$4,API!$C$5,Z28,0,Z$7,"","","01")</f>
        <v>#NAME?</v>
      </c>
      <c r="AB29" s="47"/>
    </row>
  </sheetData>
  <mergeCells count="5">
    <mergeCell ref="AU6:AU7"/>
    <mergeCell ref="B26:C26"/>
    <mergeCell ref="AB6:AB7"/>
    <mergeCell ref="AH6:AH7"/>
    <mergeCell ref="B6:C7"/>
  </mergeCells>
  <phoneticPr fontId="2" type="noConversion"/>
  <conditionalFormatting sqref="AC9:AH26">
    <cfRule type="cellIs" dxfId="5" priority="7" operator="greaterThan">
      <formula>0.5</formula>
    </cfRule>
    <cfRule type="cellIs" dxfId="4" priority="8" operator="lessThan">
      <formula>-0.5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ignoredErrors>
    <ignoredError sqref="C9 C10:C25" numberStoredAsText="1"/>
    <ignoredError sqref="AI10:AU1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8">
              <controlPr defaultSize="0" print="0" autoFill="0" autoPict="0" macro="[0]!Recalculate_2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HC12"/>
  <sheetViews>
    <sheetView topLeftCell="B1" workbookViewId="0">
      <selection activeCell="C4" sqref="C4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customWidth="1" outlineLevel="1"/>
    <col min="5" max="5" width="10.140625" style="59" customWidth="1" outlineLevel="1"/>
    <col min="6" max="9" width="9.28515625" style="59" customWidth="1" outlineLevel="1"/>
    <col min="10" max="10" width="10.140625" style="59" bestFit="1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9.85546875" style="59" bestFit="1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140625" style="66" bestFit="1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9.85546875" style="59" bestFit="1" customWidth="1" outlineLevel="1"/>
    <col min="28" max="28" width="9.28515625" style="59" customWidth="1"/>
    <col min="29" max="33" width="9.28515625" style="67" hidden="1" customWidth="1" outlineLevel="1"/>
    <col min="34" max="34" width="9.28515625" style="67" customWidth="1" collapsed="1"/>
    <col min="35" max="35" width="9.28515625" style="59" hidden="1" customWidth="1" outlineLevel="1"/>
    <col min="36" max="36" width="10.140625" style="59" hidden="1" customWidth="1" outlineLevel="1"/>
    <col min="37" max="42" width="9.28515625" style="59" hidden="1" customWidth="1" outlineLevel="1"/>
    <col min="43" max="43" width="10.28515625" style="59" hidden="1" customWidth="1" outlineLevel="1"/>
    <col min="44" max="46" width="9.28515625" style="59" hidden="1" customWidth="1" outlineLevel="1"/>
    <col min="47" max="47" width="9.28515625" style="59" customWidth="1" collapsed="1"/>
    <col min="48" max="211" width="9.140625" style="59"/>
    <col min="212" max="16384" width="9.140625" style="68"/>
  </cols>
  <sheetData>
    <row r="1" spans="1:211" ht="10.35" customHeight="1" thickBot="1" x14ac:dyDescent="0.25"/>
    <row r="2" spans="1:211" ht="15" customHeight="1" x14ac:dyDescent="0.2">
      <c r="B2" s="8" t="s">
        <v>66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7"/>
      <c r="AC2" s="9"/>
      <c r="AD2" s="10"/>
      <c r="AE2" s="10"/>
      <c r="AF2" s="10"/>
      <c r="AG2" s="10"/>
      <c r="AH2" s="11" t="s">
        <v>43</v>
      </c>
      <c r="AI2" s="12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13" t="s">
        <v>41</v>
      </c>
    </row>
    <row r="3" spans="1:211" ht="15" customHeight="1" x14ac:dyDescent="0.25">
      <c r="B3" s="14" t="s">
        <v>56</v>
      </c>
      <c r="C3" s="6">
        <v>43281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5"/>
      <c r="AC3" s="1"/>
      <c r="AD3" s="2"/>
      <c r="AE3" s="2"/>
      <c r="AF3" s="2"/>
      <c r="AG3" s="2"/>
      <c r="AH3" s="7"/>
      <c r="AI3" s="4"/>
      <c r="AJ3" s="3"/>
      <c r="AK3" s="1"/>
      <c r="AL3" s="1"/>
      <c r="AM3" s="1"/>
      <c r="AN3" s="1"/>
      <c r="AO3" s="1"/>
      <c r="AP3" s="1"/>
      <c r="AQ3" s="1"/>
      <c r="AR3" s="1"/>
      <c r="AS3" s="1"/>
      <c r="AT3" s="1"/>
      <c r="AU3" s="15"/>
    </row>
    <row r="4" spans="1:211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5"/>
      <c r="AC4" s="1"/>
      <c r="AD4" s="2"/>
      <c r="AE4" s="2"/>
      <c r="AF4" s="2"/>
      <c r="AG4" s="2"/>
      <c r="AH4" s="7"/>
      <c r="AI4" s="3"/>
      <c r="AJ4" s="3"/>
      <c r="AK4" s="1"/>
      <c r="AL4" s="1"/>
      <c r="AM4" s="1"/>
      <c r="AN4" s="1"/>
      <c r="AO4" s="1"/>
      <c r="AP4" s="1"/>
      <c r="AQ4" s="1"/>
      <c r="AR4" s="1"/>
      <c r="AS4" s="1"/>
      <c r="AT4" s="1"/>
      <c r="AU4" s="15"/>
    </row>
    <row r="5" spans="1:211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8"/>
      <c r="AC5" s="1"/>
      <c r="AD5" s="2"/>
      <c r="AE5" s="2"/>
      <c r="AF5" s="2"/>
      <c r="AG5" s="2"/>
      <c r="AH5" s="7"/>
      <c r="AI5" s="5"/>
      <c r="AJ5" s="5"/>
      <c r="AK5" s="1"/>
      <c r="AL5" s="1"/>
      <c r="AM5" s="1"/>
      <c r="AN5" s="1"/>
      <c r="AO5" s="1"/>
      <c r="AP5" s="1"/>
      <c r="AQ5" s="1"/>
      <c r="AR5" s="1"/>
      <c r="AS5" s="1"/>
      <c r="AT5" s="1"/>
      <c r="AU5" s="15"/>
    </row>
    <row r="6" spans="1:211" s="60" customFormat="1" ht="12" customHeight="1" x14ac:dyDescent="0.2">
      <c r="A6" s="69"/>
      <c r="B6" s="142"/>
      <c r="C6" s="143"/>
      <c r="D6" s="22">
        <f>D7-IF(MONTH(D7)=2,IF(OR(YEAR(D7)=2008,YEAR(D7)=2012,YEAR(D7)=2016),29,28),IF(OR(MONTH(D7)=4,MONTH(D7)=6,MONTH(D7)=9,MONTH(D7)=11),30,31))+1</f>
        <v>42552</v>
      </c>
      <c r="E6" s="23">
        <f t="shared" ref="E6:AA6" si="0">E7-IF(MONTH(E7)=2,IF(OR(YEAR(E7)=2008,YEAR(E7)=2012,YEAR(E7)=2016),29,28),IF(OR(MONTH(E7)=4,MONTH(E7)=6,MONTH(E7)=9,MONTH(E7)=11),30,31))+1</f>
        <v>42583</v>
      </c>
      <c r="F6" s="23">
        <f t="shared" si="0"/>
        <v>42614</v>
      </c>
      <c r="G6" s="23">
        <f t="shared" si="0"/>
        <v>42644</v>
      </c>
      <c r="H6" s="23">
        <f t="shared" si="0"/>
        <v>42675</v>
      </c>
      <c r="I6" s="23">
        <f t="shared" si="0"/>
        <v>42705</v>
      </c>
      <c r="J6" s="23">
        <f t="shared" si="0"/>
        <v>42736</v>
      </c>
      <c r="K6" s="23">
        <f t="shared" si="0"/>
        <v>42767</v>
      </c>
      <c r="L6" s="23">
        <f t="shared" si="0"/>
        <v>42795</v>
      </c>
      <c r="M6" s="23">
        <f t="shared" si="0"/>
        <v>42826</v>
      </c>
      <c r="N6" s="23">
        <f t="shared" si="0"/>
        <v>42856</v>
      </c>
      <c r="O6" s="23">
        <f t="shared" si="0"/>
        <v>42887</v>
      </c>
      <c r="P6" s="23">
        <f t="shared" si="0"/>
        <v>42917</v>
      </c>
      <c r="Q6" s="23">
        <f t="shared" si="0"/>
        <v>42948</v>
      </c>
      <c r="R6" s="23">
        <f t="shared" si="0"/>
        <v>42979</v>
      </c>
      <c r="S6" s="23">
        <f t="shared" si="0"/>
        <v>43009</v>
      </c>
      <c r="T6" s="23">
        <f t="shared" si="0"/>
        <v>43040</v>
      </c>
      <c r="U6" s="23">
        <f t="shared" si="0"/>
        <v>43070</v>
      </c>
      <c r="V6" s="23">
        <f t="shared" si="0"/>
        <v>43101</v>
      </c>
      <c r="W6" s="23">
        <f t="shared" si="0"/>
        <v>43132</v>
      </c>
      <c r="X6" s="23">
        <f t="shared" si="0"/>
        <v>43160</v>
      </c>
      <c r="Y6" s="23">
        <f t="shared" si="0"/>
        <v>43191</v>
      </c>
      <c r="Z6" s="23">
        <f t="shared" si="0"/>
        <v>43221</v>
      </c>
      <c r="AA6" s="23">
        <f t="shared" si="0"/>
        <v>43252</v>
      </c>
      <c r="AB6" s="138"/>
      <c r="AC6" s="10"/>
      <c r="AD6" s="10"/>
      <c r="AE6" s="10"/>
      <c r="AF6" s="10"/>
      <c r="AG6" s="10"/>
      <c r="AH6" s="140"/>
      <c r="AI6" s="22">
        <f>AA7+1</f>
        <v>43282</v>
      </c>
      <c r="AJ6" s="23">
        <f>AI7+1</f>
        <v>43313</v>
      </c>
      <c r="AK6" s="23">
        <f>AJ7+1</f>
        <v>43344</v>
      </c>
      <c r="AL6" s="23">
        <f>AK7+1</f>
        <v>43374</v>
      </c>
      <c r="AM6" s="23">
        <f>AL7+1</f>
        <v>43405</v>
      </c>
      <c r="AN6" s="23">
        <f t="shared" ref="AN6:AT6" si="1">AM7+1</f>
        <v>43435</v>
      </c>
      <c r="AO6" s="23">
        <f t="shared" si="1"/>
        <v>43466</v>
      </c>
      <c r="AP6" s="23">
        <f t="shared" si="1"/>
        <v>43497</v>
      </c>
      <c r="AQ6" s="23">
        <f t="shared" si="1"/>
        <v>43525</v>
      </c>
      <c r="AR6" s="23">
        <f t="shared" si="1"/>
        <v>43556</v>
      </c>
      <c r="AS6" s="23">
        <f t="shared" si="1"/>
        <v>43586</v>
      </c>
      <c r="AT6" s="24">
        <f t="shared" si="1"/>
        <v>43617</v>
      </c>
      <c r="AU6" s="134"/>
    </row>
    <row r="7" spans="1:211" s="60" customFormat="1" ht="12" customHeight="1" thickBot="1" x14ac:dyDescent="0.25">
      <c r="A7" s="69"/>
      <c r="B7" s="144"/>
      <c r="C7" s="145"/>
      <c r="D7" s="26">
        <f t="shared" ref="D7:Z7" si="2">E6-1</f>
        <v>42582</v>
      </c>
      <c r="E7" s="27">
        <f t="shared" si="2"/>
        <v>42613</v>
      </c>
      <c r="F7" s="27">
        <f t="shared" si="2"/>
        <v>42643</v>
      </c>
      <c r="G7" s="27">
        <f t="shared" si="2"/>
        <v>42674</v>
      </c>
      <c r="H7" s="27">
        <f t="shared" si="2"/>
        <v>42704</v>
      </c>
      <c r="I7" s="27">
        <f t="shared" si="2"/>
        <v>42735</v>
      </c>
      <c r="J7" s="27">
        <f t="shared" si="2"/>
        <v>42766</v>
      </c>
      <c r="K7" s="27">
        <f t="shared" si="2"/>
        <v>42794</v>
      </c>
      <c r="L7" s="27">
        <f t="shared" si="2"/>
        <v>42825</v>
      </c>
      <c r="M7" s="27">
        <f t="shared" si="2"/>
        <v>42855</v>
      </c>
      <c r="N7" s="27">
        <f t="shared" si="2"/>
        <v>42886</v>
      </c>
      <c r="O7" s="27">
        <f t="shared" si="2"/>
        <v>42916</v>
      </c>
      <c r="P7" s="27">
        <f t="shared" si="2"/>
        <v>42947</v>
      </c>
      <c r="Q7" s="27">
        <f t="shared" si="2"/>
        <v>42978</v>
      </c>
      <c r="R7" s="27">
        <f t="shared" si="2"/>
        <v>43008</v>
      </c>
      <c r="S7" s="27">
        <f t="shared" si="2"/>
        <v>43039</v>
      </c>
      <c r="T7" s="27">
        <f t="shared" si="2"/>
        <v>43069</v>
      </c>
      <c r="U7" s="27">
        <f t="shared" si="2"/>
        <v>43100</v>
      </c>
      <c r="V7" s="27">
        <f t="shared" si="2"/>
        <v>43131</v>
      </c>
      <c r="W7" s="27">
        <f t="shared" si="2"/>
        <v>43159</v>
      </c>
      <c r="X7" s="27">
        <f t="shared" si="2"/>
        <v>43190</v>
      </c>
      <c r="Y7" s="27">
        <f t="shared" si="2"/>
        <v>43220</v>
      </c>
      <c r="Z7" s="27">
        <f t="shared" si="2"/>
        <v>43251</v>
      </c>
      <c r="AA7" s="27">
        <f>C3</f>
        <v>43281</v>
      </c>
      <c r="AB7" s="139"/>
      <c r="AC7" s="25"/>
      <c r="AD7" s="25"/>
      <c r="AE7" s="25"/>
      <c r="AF7" s="25"/>
      <c r="AG7" s="25"/>
      <c r="AH7" s="141"/>
      <c r="AI7" s="26">
        <f>AI6+IF(MONTH(AI6)=2,IF(OR(YEAR(AI6)=2008,YEAR(AI6)=2012,YEAR(AI6)=2016),29,28),IF(OR(MONTH(AI6)=4,MONTH(AI6)=6,MONTH(AI6)=9,MONTH(AI6)=11),30,31))-1</f>
        <v>43312</v>
      </c>
      <c r="AJ7" s="27">
        <f>AJ6+IF(MONTH(AJ6)=2,IF(OR(YEAR(AJ6)=2008,YEAR(AJ6)=2012,YEAR(AJ6)=2016),29,28),IF(OR(MONTH(AJ6)=4,MONTH(AJ6)=6,MONTH(AJ6)=9,MONTH(AJ6)=11),30,31))-1</f>
        <v>43343</v>
      </c>
      <c r="AK7" s="27">
        <f>AK6+IF(MONTH(AK6)=2,IF(OR(YEAR(AK6)=2008,YEAR(AK6)=2012,YEAR(AK6)=2016),29,28),IF(OR(MONTH(AK6)=4,MONTH(AK6)=6,MONTH(AK6)=9,MONTH(AK6)=11),30,31))-1</f>
        <v>43373</v>
      </c>
      <c r="AL7" s="27">
        <f>AL6+IF(MONTH(AL6)=2,IF(OR(YEAR(AL6)=2008,YEAR(AL6)=2012,YEAR(AL6)=2016),29,28),IF(OR(MONTH(AL6)=4,MONTH(AL6)=6,MONTH(AL6)=9,MONTH(AL6)=11),30,31))-1</f>
        <v>43404</v>
      </c>
      <c r="AM7" s="27">
        <f>AM6+IF(MONTH(AM6)=2,IF(OR(YEAR(AM6)=2008,YEAR(AM6)=2012,YEAR(AM6)=2016),29,28),IF(OR(MONTH(AM6)=4,MONTH(AM6)=6,MONTH(AM6)=9,MONTH(AM6)=11),30,31))-1</f>
        <v>43434</v>
      </c>
      <c r="AN7" s="27">
        <f t="shared" ref="AN7:AT7" si="3">AN6+IF(MONTH(AN6)=2,IF(OR(YEAR(AN6)=2008,YEAR(AN6)=2012,YEAR(AN6)=2016),29,28),IF(OR(MONTH(AN6)=4,MONTH(AN6)=6,MONTH(AN6)=9,MONTH(AN6)=11),30,31))-1</f>
        <v>43465</v>
      </c>
      <c r="AO7" s="27">
        <f t="shared" si="3"/>
        <v>43496</v>
      </c>
      <c r="AP7" s="27">
        <f t="shared" si="3"/>
        <v>43524</v>
      </c>
      <c r="AQ7" s="27">
        <f t="shared" si="3"/>
        <v>43555</v>
      </c>
      <c r="AR7" s="27">
        <f t="shared" si="3"/>
        <v>43585</v>
      </c>
      <c r="AS7" s="27">
        <f t="shared" si="3"/>
        <v>43616</v>
      </c>
      <c r="AT7" s="28">
        <f t="shared" si="3"/>
        <v>43646</v>
      </c>
      <c r="AU7" s="135"/>
    </row>
    <row r="8" spans="1:211" s="61" customFormat="1" ht="12" customHeight="1" thickBot="1" x14ac:dyDescent="0.25">
      <c r="A8" s="70"/>
      <c r="B8" s="29" t="s">
        <v>1</v>
      </c>
      <c r="C8" s="30" t="s">
        <v>49</v>
      </c>
      <c r="D8" s="31">
        <f t="shared" ref="D8:AA8" si="4">D6</f>
        <v>42552</v>
      </c>
      <c r="E8" s="32">
        <f t="shared" si="4"/>
        <v>42583</v>
      </c>
      <c r="F8" s="32">
        <f t="shared" si="4"/>
        <v>42614</v>
      </c>
      <c r="G8" s="33">
        <f t="shared" si="4"/>
        <v>42644</v>
      </c>
      <c r="H8" s="33">
        <f t="shared" si="4"/>
        <v>42675</v>
      </c>
      <c r="I8" s="33">
        <f t="shared" si="4"/>
        <v>42705</v>
      </c>
      <c r="J8" s="33">
        <f t="shared" si="4"/>
        <v>42736</v>
      </c>
      <c r="K8" s="33">
        <f t="shared" si="4"/>
        <v>42767</v>
      </c>
      <c r="L8" s="33">
        <f t="shared" si="4"/>
        <v>42795</v>
      </c>
      <c r="M8" s="33">
        <f t="shared" si="4"/>
        <v>42826</v>
      </c>
      <c r="N8" s="33">
        <f t="shared" si="4"/>
        <v>42856</v>
      </c>
      <c r="O8" s="33">
        <f t="shared" si="4"/>
        <v>42887</v>
      </c>
      <c r="P8" s="33">
        <f t="shared" si="4"/>
        <v>42917</v>
      </c>
      <c r="Q8" s="33">
        <f t="shared" si="4"/>
        <v>42948</v>
      </c>
      <c r="R8" s="33">
        <f t="shared" si="4"/>
        <v>42979</v>
      </c>
      <c r="S8" s="33">
        <f t="shared" si="4"/>
        <v>43009</v>
      </c>
      <c r="T8" s="33">
        <f t="shared" si="4"/>
        <v>43040</v>
      </c>
      <c r="U8" s="33">
        <f t="shared" si="4"/>
        <v>43070</v>
      </c>
      <c r="V8" s="33">
        <f t="shared" si="4"/>
        <v>43101</v>
      </c>
      <c r="W8" s="33">
        <f t="shared" si="4"/>
        <v>43132</v>
      </c>
      <c r="X8" s="33">
        <f t="shared" si="4"/>
        <v>43160</v>
      </c>
      <c r="Y8" s="33">
        <f t="shared" si="4"/>
        <v>43191</v>
      </c>
      <c r="Z8" s="33">
        <f t="shared" si="4"/>
        <v>43221</v>
      </c>
      <c r="AA8" s="33">
        <f t="shared" si="4"/>
        <v>43252</v>
      </c>
      <c r="AB8" s="51" t="s">
        <v>39</v>
      </c>
      <c r="AC8" s="52" t="s">
        <v>45</v>
      </c>
      <c r="AD8" s="34" t="s">
        <v>46</v>
      </c>
      <c r="AE8" s="34" t="s">
        <v>47</v>
      </c>
      <c r="AF8" s="34" t="s">
        <v>48</v>
      </c>
      <c r="AG8" s="34" t="s">
        <v>42</v>
      </c>
      <c r="AH8" s="51" t="s">
        <v>44</v>
      </c>
      <c r="AI8" s="35">
        <f t="shared" ref="AI8:AT8" si="5">AI6</f>
        <v>43282</v>
      </c>
      <c r="AJ8" s="35">
        <f t="shared" si="5"/>
        <v>43313</v>
      </c>
      <c r="AK8" s="35">
        <f t="shared" si="5"/>
        <v>43344</v>
      </c>
      <c r="AL8" s="35">
        <f t="shared" si="5"/>
        <v>43374</v>
      </c>
      <c r="AM8" s="35">
        <f t="shared" si="5"/>
        <v>43405</v>
      </c>
      <c r="AN8" s="35">
        <f t="shared" si="5"/>
        <v>43435</v>
      </c>
      <c r="AO8" s="35">
        <f t="shared" si="5"/>
        <v>43466</v>
      </c>
      <c r="AP8" s="35">
        <f t="shared" si="5"/>
        <v>43497</v>
      </c>
      <c r="AQ8" s="35">
        <f t="shared" si="5"/>
        <v>43525</v>
      </c>
      <c r="AR8" s="35">
        <f t="shared" si="5"/>
        <v>43556</v>
      </c>
      <c r="AS8" s="35">
        <f t="shared" si="5"/>
        <v>43586</v>
      </c>
      <c r="AT8" s="35">
        <f t="shared" si="5"/>
        <v>43617</v>
      </c>
      <c r="AU8" s="36" t="s">
        <v>40</v>
      </c>
    </row>
    <row r="9" spans="1:211" ht="15" customHeight="1" thickBot="1" x14ac:dyDescent="0.25">
      <c r="B9" s="37" t="s">
        <v>64</v>
      </c>
      <c r="C9" s="38" t="s">
        <v>61</v>
      </c>
      <c r="D9" s="39" t="e">
        <f ca="1">AbraBalance(API!$C$3,API!$C$4,API!$C$5,$C9,(D$6-1))/1000+AbraTurnover(API!$C$3,API!$C$4,API!$C$5,$C9,D$6,D$7,"","","","","")/1000</f>
        <v>#NAME?</v>
      </c>
      <c r="E9" s="39" t="e">
        <f ca="1">D9+AbraTurnover(API!$C$3,API!$C$4,API!$C$5,$C9,E$6,E$7,"","","","","")/1000</f>
        <v>#NAME?</v>
      </c>
      <c r="F9" s="39" t="e">
        <f ca="1">E9+AbraTurnover(API!$C$3,API!$C$4,API!$C$5,$C9,F$6,F$7,"","","","","")/1000</f>
        <v>#NAME?</v>
      </c>
      <c r="G9" s="39" t="e">
        <f ca="1">F9+AbraTurnover(API!$C$3,API!$C$4,API!$C$5,$C9,G$6,G$7,"","","","","")/1000</f>
        <v>#NAME?</v>
      </c>
      <c r="H9" s="39" t="e">
        <f ca="1">G9+AbraTurnover(API!$C$3,API!$C$4,API!$C$5,$C9,H$6,H$7,"","","","","")/1000</f>
        <v>#NAME?</v>
      </c>
      <c r="I9" s="39" t="e">
        <f ca="1">H9+AbraTurnover(API!$C$3,API!$C$4,API!$C$5,$C9,I$6,I$7,"","","","","")/1000</f>
        <v>#NAME?</v>
      </c>
      <c r="J9" s="39" t="e">
        <f ca="1">I9+AbraTurnover(API!$C$3,API!$C$4,API!$C$5,$C9,J$6,J$7,"","","","","")/1000</f>
        <v>#NAME?</v>
      </c>
      <c r="K9" s="39" t="e">
        <f ca="1">J9+AbraTurnover(API!$C$3,API!$C$4,API!$C$5,$C9,K$6,K$7,"","","","","")/1000</f>
        <v>#NAME?</v>
      </c>
      <c r="L9" s="39" t="e">
        <f ca="1">K9+AbraTurnover(API!$C$3,API!$C$4,API!$C$5,$C9,L$6,L$7,"","","","","")/1000</f>
        <v>#NAME?</v>
      </c>
      <c r="M9" s="39" t="e">
        <f ca="1">L9+AbraTurnover(API!$C$3,API!$C$4,API!$C$5,$C9,M$6,M$7,"","","","","")/1000</f>
        <v>#NAME?</v>
      </c>
      <c r="N9" s="39" t="e">
        <f ca="1">M9+AbraTurnover(API!$C$3,API!$C$4,API!$C$5,$C9,N$6,N$7,"","","","","")/1000</f>
        <v>#NAME?</v>
      </c>
      <c r="O9" s="39" t="e">
        <f ca="1">N9+AbraTurnover(API!$C$3,API!$C$4,API!$C$5,$C9,O$6,O$7,"","","","","")/1000</f>
        <v>#NAME?</v>
      </c>
      <c r="P9" s="39" t="e">
        <f ca="1">O9+AbraTurnover(API!$C$3,API!$C$4,API!$C$5,$C9,P$6,P$7,"","","","","")/1000</f>
        <v>#NAME?</v>
      </c>
      <c r="Q9" s="39" t="e">
        <f ca="1">P9+AbraTurnover(API!$C$3,API!$C$4,API!$C$5,$C9,Q$6,Q$7,"","","","","")/1000</f>
        <v>#NAME?</v>
      </c>
      <c r="R9" s="39" t="e">
        <f ca="1">Q9+AbraTurnover(API!$C$3,API!$C$4,API!$C$5,$C9,R$6,R$7,"","","","","")/1000</f>
        <v>#NAME?</v>
      </c>
      <c r="S9" s="39" t="e">
        <f ca="1">R9+AbraTurnover(API!$C$3,API!$C$4,API!$C$5,$C9,S$6,S$7,"","","","","")/1000</f>
        <v>#NAME?</v>
      </c>
      <c r="T9" s="39" t="e">
        <f ca="1">S9+AbraTurnover(API!$C$3,API!$C$4,API!$C$5,$C9,T$6,T$7,"","","","","")/1000</f>
        <v>#NAME?</v>
      </c>
      <c r="U9" s="39" t="e">
        <f ca="1">T9+AbraTurnover(API!$C$3,API!$C$4,API!$C$5,$C9,U$6,U$7,"","","","","")/1000</f>
        <v>#NAME?</v>
      </c>
      <c r="V9" s="39" t="e">
        <f ca="1">U9+AbraTurnover(API!$C$3,API!$C$4,API!$C$5,$C9,V$6,V$7,"","","","","")/1000</f>
        <v>#NAME?</v>
      </c>
      <c r="W9" s="39" t="e">
        <f ca="1">V9+AbraTurnover(API!$C$3,API!$C$4,API!$C$5,$C9,W$6,W$7,"","","","","")/1000</f>
        <v>#NAME?</v>
      </c>
      <c r="X9" s="39" t="e">
        <f ca="1">W9+AbraTurnover(API!$C$3,API!$C$4,API!$C$5,$C9,X$6,X$7,"","","","","")/1000</f>
        <v>#NAME?</v>
      </c>
      <c r="Y9" s="39" t="e">
        <f ca="1">X9+AbraTurnover(API!$C$3,API!$C$4,API!$C$5,$C9,Y$6,Y$7,"","","","","")/1000</f>
        <v>#NAME?</v>
      </c>
      <c r="Z9" s="39" t="e">
        <f ca="1">Y9+AbraTurnover(API!$C$3,API!$C$4,API!$C$5,$C9,Z$6,Z$7,"","","","","")/1000</f>
        <v>#NAME?</v>
      </c>
      <c r="AA9" s="39" t="e">
        <f ca="1">Z9+AbraTurnover(API!$C$3,API!$C$4,API!$C$5,$C9,AA$6,AA$7,"","","","","")/1000</f>
        <v>#NAME?</v>
      </c>
      <c r="AB9" s="75" t="e">
        <f ca="1">Prodej!AB9=SUM(P9:AA9)</f>
        <v>#NAME?</v>
      </c>
      <c r="AC9" s="80" t="e">
        <f t="shared" ref="AC9:AC10" ca="1" si="6">IF(SUM(J9:O9)+SUM(V9:AA9)&lt;0.001,0,IF(SUM(J9:O9)&lt;0.001,1,IF(SUM(V9:AA9)&lt;0.001,-1,SUM(V9:AA9)/(SUM(J9:O9))-1)))</f>
        <v>#NAME?</v>
      </c>
      <c r="AD9" s="80" t="e">
        <f t="shared" ref="AD9:AD10" ca="1" si="7">IF(SUM(D9:O9)+SUM(P9:AA9)&lt;0.001,0,IF(SUM(D9:O9)&lt;0.001,1,IF(SUM(P9:AA9)&lt;0.001,-1,SUM(P9:AA9)/(SUM(D9:O9))-1)))</f>
        <v>#NAME?</v>
      </c>
      <c r="AE9" s="80">
        <v>-0.5</v>
      </c>
      <c r="AF9" s="80">
        <v>0.5</v>
      </c>
      <c r="AG9" s="80" t="s">
        <v>51</v>
      </c>
      <c r="AH9" s="82" t="e">
        <f t="shared" ref="AH9:AH10" ca="1" si="8">IF($AG9&lt;&gt;"-",$AG9,IF($AC9&lt;$AE9,$AE9,IF($AC9&gt;$AF9,$AF9,$AC9)))</f>
        <v>#NAME?</v>
      </c>
      <c r="AI9" s="49" t="e">
        <f ca="1">$AB9*(1+$AH9)*VLOOKUP(MONTH(AI$8),Sezona!$B$4:$C$15,2)</f>
        <v>#NAME?</v>
      </c>
      <c r="AJ9" s="43" t="e">
        <f ca="1">$AB9*(1+$AH9)*VLOOKUP(MONTH(AJ$8),Sezona!$B$4:$C$15,2)</f>
        <v>#NAME?</v>
      </c>
      <c r="AK9" s="43" t="e">
        <f ca="1">$AB9*(1+$AH9)*VLOOKUP(MONTH(AK$8),Sezona!$B$4:$C$15,2)</f>
        <v>#NAME?</v>
      </c>
      <c r="AL9" s="43" t="e">
        <f ca="1">$AB9*(1+$AH9)*VLOOKUP(MONTH(AL$8),Sezona!$B$4:$C$15,2)</f>
        <v>#NAME?</v>
      </c>
      <c r="AM9" s="43" t="e">
        <f ca="1">$AB9*(1+$AH9)*VLOOKUP(MONTH(AM$8),Sezona!$B$4:$C$15,2)</f>
        <v>#NAME?</v>
      </c>
      <c r="AN9" s="43" t="e">
        <f ca="1">$AB9*(1+$AH9)*VLOOKUP(MONTH(AN$8),Sezona!$B$4:$C$15,2)</f>
        <v>#NAME?</v>
      </c>
      <c r="AO9" s="43" t="e">
        <f ca="1">$AB9*(1+$AH9)*VLOOKUP(MONTH(AO$8),Sezona!$B$4:$C$15,2)</f>
        <v>#NAME?</v>
      </c>
      <c r="AP9" s="43" t="e">
        <f ca="1">$AB9*(1+$AH9)*VLOOKUP(MONTH(AP$8),Sezona!$B$4:$C$15,2)</f>
        <v>#NAME?</v>
      </c>
      <c r="AQ9" s="43" t="e">
        <f ca="1">$AB9*(1+$AH9)*VLOOKUP(MONTH(AQ$8),Sezona!$B$4:$C$15,2)</f>
        <v>#NAME?</v>
      </c>
      <c r="AR9" s="43" t="e">
        <f ca="1">$AB9*(1+$AH9)*VLOOKUP(MONTH(AR$8),Sezona!$B$4:$C$15,2)</f>
        <v>#NAME?</v>
      </c>
      <c r="AS9" s="43" t="e">
        <f ca="1">$AB9*(1+$AH9)*VLOOKUP(MONTH(AS$8),Sezona!$B$4:$C$15,2)</f>
        <v>#NAME?</v>
      </c>
      <c r="AT9" s="43" t="e">
        <f ca="1">$AB9*(1+$AH9)*VLOOKUP(MONTH(AT$8),Sezona!$B$4:$C$15,2)</f>
        <v>#NAME?</v>
      </c>
      <c r="AU9" s="78" t="e">
        <f ca="1">SUM(AI9:AT9)</f>
        <v>#NAME?</v>
      </c>
      <c r="AW9" s="61"/>
      <c r="AX9" s="61"/>
    </row>
    <row r="10" spans="1:211" ht="15" customHeight="1" thickBot="1" x14ac:dyDescent="0.25">
      <c r="B10" s="41" t="s">
        <v>63</v>
      </c>
      <c r="C10" s="42" t="s">
        <v>62</v>
      </c>
      <c r="D10" s="39" t="e">
        <f ca="1">AbraBalance(API!$C$3,API!$C$4,API!$C$5,$C10,(D$6-1))/1000+AbraTurnover(API!$C$3,API!$C$4,API!$C$5,$C10,D$6,D$7,"","","","","")/1000</f>
        <v>#NAME?</v>
      </c>
      <c r="E10" s="39" t="e">
        <f ca="1">D10+AbraTurnover(API!$C$3,API!$C$4,API!$C$5,$C10,E$6,E$7,"","","","","")/1000</f>
        <v>#NAME?</v>
      </c>
      <c r="F10" s="39" t="e">
        <f ca="1">E10+AbraTurnover(API!$C$3,API!$C$4,API!$C$5,$C10,F$6,F$7,"","","","","")/1000</f>
        <v>#NAME?</v>
      </c>
      <c r="G10" s="39" t="e">
        <f ca="1">F10+AbraTurnover(API!$C$3,API!$C$4,API!$C$5,$C10,G$6,G$7,"","","","","")/1000</f>
        <v>#NAME?</v>
      </c>
      <c r="H10" s="39" t="e">
        <f ca="1">G10+AbraTurnover(API!$C$3,API!$C$4,API!$C$5,$C10,H$6,H$7,"","","","","")/1000</f>
        <v>#NAME?</v>
      </c>
      <c r="I10" s="39" t="e">
        <f ca="1">H10+AbraTurnover(API!$C$3,API!$C$4,API!$C$5,$C10,I$6,I$7,"","","","","")/1000</f>
        <v>#NAME?</v>
      </c>
      <c r="J10" s="39" t="e">
        <f ca="1">I10+AbraTurnover(API!$C$3,API!$C$4,API!$C$5,$C10,J$6,J$7,"","","","","")/1000</f>
        <v>#NAME?</v>
      </c>
      <c r="K10" s="39" t="e">
        <f ca="1">J10+AbraTurnover(API!$C$3,API!$C$4,API!$C$5,$C10,K$6,K$7,"","","","","")/1000</f>
        <v>#NAME?</v>
      </c>
      <c r="L10" s="39" t="e">
        <f ca="1">K10+AbraTurnover(API!$C$3,API!$C$4,API!$C$5,$C10,L$6,L$7,"","","","","")/1000</f>
        <v>#NAME?</v>
      </c>
      <c r="M10" s="39" t="e">
        <f ca="1">L10+AbraTurnover(API!$C$3,API!$C$4,API!$C$5,$C10,M$6,M$7,"","","","","")/1000</f>
        <v>#NAME?</v>
      </c>
      <c r="N10" s="39" t="e">
        <f ca="1">M10+AbraTurnover(API!$C$3,API!$C$4,API!$C$5,$C10,N$6,N$7,"","","","","")/1000</f>
        <v>#NAME?</v>
      </c>
      <c r="O10" s="39" t="e">
        <f ca="1">N10+AbraTurnover(API!$C$3,API!$C$4,API!$C$5,$C10,O$6,O$7,"","","","","")/1000</f>
        <v>#NAME?</v>
      </c>
      <c r="P10" s="39" t="e">
        <f ca="1">O10+AbraTurnover(API!$C$3,API!$C$4,API!$C$5,$C10,P$6,P$7,"","","","","")/1000</f>
        <v>#NAME?</v>
      </c>
      <c r="Q10" s="39" t="e">
        <f ca="1">P10+AbraTurnover(API!$C$3,API!$C$4,API!$C$5,$C10,Q$6,Q$7,"","","","","")/1000</f>
        <v>#NAME?</v>
      </c>
      <c r="R10" s="39" t="e">
        <f ca="1">Q10+AbraTurnover(API!$C$3,API!$C$4,API!$C$5,$C10,R$6,R$7,"","","","","")/1000</f>
        <v>#NAME?</v>
      </c>
      <c r="S10" s="39" t="e">
        <f ca="1">R10+AbraTurnover(API!$C$3,API!$C$4,API!$C$5,$C10,S$6,S$7,"","","","","")/1000</f>
        <v>#NAME?</v>
      </c>
      <c r="T10" s="39" t="e">
        <f ca="1">S10+AbraTurnover(API!$C$3,API!$C$4,API!$C$5,$C10,T$6,T$7,"","","","","")/1000</f>
        <v>#NAME?</v>
      </c>
      <c r="U10" s="39" t="e">
        <f ca="1">T10+AbraTurnover(API!$C$3,API!$C$4,API!$C$5,$C10,U$6,U$7,"","","","","")/1000</f>
        <v>#NAME?</v>
      </c>
      <c r="V10" s="39" t="e">
        <f ca="1">U10+AbraTurnover(API!$C$3,API!$C$4,API!$C$5,$C10,V$6,V$7,"","","","","")/1000</f>
        <v>#NAME?</v>
      </c>
      <c r="W10" s="39" t="e">
        <f ca="1">V10+AbraTurnover(API!$C$3,API!$C$4,API!$C$5,$C10,W$6,W$7,"","","","","")/1000</f>
        <v>#NAME?</v>
      </c>
      <c r="X10" s="39" t="e">
        <f ca="1">W10+AbraTurnover(API!$C$3,API!$C$4,API!$C$5,$C10,X$6,X$7,"","","","","")/1000</f>
        <v>#NAME?</v>
      </c>
      <c r="Y10" s="39" t="e">
        <f ca="1">X10+AbraTurnover(API!$C$3,API!$C$4,API!$C$5,$C10,Y$6,Y$7,"","","","","")/1000</f>
        <v>#NAME?</v>
      </c>
      <c r="Z10" s="39" t="e">
        <f ca="1">Y10+AbraTurnover(API!$C$3,API!$C$4,API!$C$5,$C10,Z$6,Z$7,"","","","","")/1000</f>
        <v>#NAME?</v>
      </c>
      <c r="AA10" s="39" t="e">
        <f ca="1">Z10+AbraTurnover(API!$C$3,API!$C$4,API!$C$5,$C10,AA$6,AA$7,"","","","","")/1000</f>
        <v>#NAME?</v>
      </c>
      <c r="AB10" s="76" t="e">
        <f ca="1">SUM(P10:AA10)</f>
        <v>#NAME?</v>
      </c>
      <c r="AC10" s="81" t="e">
        <f t="shared" ca="1" si="6"/>
        <v>#NAME?</v>
      </c>
      <c r="AD10" s="81" t="e">
        <f t="shared" ca="1" si="7"/>
        <v>#NAME?</v>
      </c>
      <c r="AE10" s="81">
        <v>-0.5</v>
      </c>
      <c r="AF10" s="81">
        <v>0.5</v>
      </c>
      <c r="AG10" s="81" t="s">
        <v>51</v>
      </c>
      <c r="AH10" s="83" t="e">
        <f t="shared" ca="1" si="8"/>
        <v>#NAME?</v>
      </c>
      <c r="AI10" s="49" t="e">
        <f ca="1">$AB10*(1+$AH10)*VLOOKUP(MONTH(AI$8),Sezona!$E$4:$F$15,2)</f>
        <v>#NAME?</v>
      </c>
      <c r="AJ10" s="49" t="e">
        <f ca="1">$AB10*(1+$AH10)*VLOOKUP(MONTH(AJ$8),Sezona!$E$4:$F$15,2)</f>
        <v>#NAME?</v>
      </c>
      <c r="AK10" s="49" t="e">
        <f ca="1">$AB10*(1+$AH10)*VLOOKUP(MONTH(AK$8),Sezona!$E$4:$F$15,2)</f>
        <v>#NAME?</v>
      </c>
      <c r="AL10" s="49" t="e">
        <f ca="1">$AB10*(1+$AH10)*VLOOKUP(MONTH(AL$8),Sezona!$E$4:$F$15,2)</f>
        <v>#NAME?</v>
      </c>
      <c r="AM10" s="49" t="e">
        <f ca="1">$AB10*(1+$AH10)*VLOOKUP(MONTH(AM$8),Sezona!$E$4:$F$15,2)</f>
        <v>#NAME?</v>
      </c>
      <c r="AN10" s="49" t="e">
        <f ca="1">$AB10*(1+$AH10)*VLOOKUP(MONTH(AN$8),Sezona!$E$4:$F$15,2)</f>
        <v>#NAME?</v>
      </c>
      <c r="AO10" s="49" t="e">
        <f ca="1">$AB10*(1+$AH10)*VLOOKUP(MONTH(AO$8),Sezona!$E$4:$F$15,2)</f>
        <v>#NAME?</v>
      </c>
      <c r="AP10" s="49" t="e">
        <f ca="1">$AB10*(1+$AH10)*VLOOKUP(MONTH(AP$8),Sezona!$E$4:$F$15,2)</f>
        <v>#NAME?</v>
      </c>
      <c r="AQ10" s="49" t="e">
        <f ca="1">$AB10*(1+$AH10)*VLOOKUP(MONTH(AQ$8),Sezona!$E$4:$F$15,2)</f>
        <v>#NAME?</v>
      </c>
      <c r="AR10" s="49" t="e">
        <f ca="1">$AB10*(1+$AH10)*VLOOKUP(MONTH(AR$8),Sezona!$E$4:$F$15,2)</f>
        <v>#NAME?</v>
      </c>
      <c r="AS10" s="49" t="e">
        <f ca="1">$AB10*(1+$AH10)*VLOOKUP(MONTH(AS$8),Sezona!$E$4:$F$15,2)</f>
        <v>#NAME?</v>
      </c>
      <c r="AT10" s="49" t="e">
        <f ca="1">$AB10*(1+$AH10)*VLOOKUP(MONTH(AT$8),Sezona!$E$4:$F$15,2)</f>
        <v>#NAME?</v>
      </c>
      <c r="AU10" s="78" t="e">
        <f ca="1">SUM(AI10:AT10)</f>
        <v>#NAME?</v>
      </c>
    </row>
    <row r="11" spans="1:211" s="72" customFormat="1" ht="15" customHeight="1" thickBot="1" x14ac:dyDescent="0.25">
      <c r="A11" s="71"/>
      <c r="B11" s="136" t="s">
        <v>65</v>
      </c>
      <c r="C11" s="137"/>
      <c r="D11" s="18" t="e">
        <f t="shared" ref="D11:AB11" ca="1" si="9">SUM(D9:D10)</f>
        <v>#NAME?</v>
      </c>
      <c r="E11" s="19" t="e">
        <f t="shared" ca="1" si="9"/>
        <v>#NAME?</v>
      </c>
      <c r="F11" s="19" t="e">
        <f t="shared" ca="1" si="9"/>
        <v>#NAME?</v>
      </c>
      <c r="G11" s="19" t="e">
        <f t="shared" ca="1" si="9"/>
        <v>#NAME?</v>
      </c>
      <c r="H11" s="19" t="e">
        <f t="shared" ca="1" si="9"/>
        <v>#NAME?</v>
      </c>
      <c r="I11" s="19" t="e">
        <f t="shared" ca="1" si="9"/>
        <v>#NAME?</v>
      </c>
      <c r="J11" s="19" t="e">
        <f t="shared" ca="1" si="9"/>
        <v>#NAME?</v>
      </c>
      <c r="K11" s="19" t="e">
        <f t="shared" ca="1" si="9"/>
        <v>#NAME?</v>
      </c>
      <c r="L11" s="19" t="e">
        <f t="shared" ca="1" si="9"/>
        <v>#NAME?</v>
      </c>
      <c r="M11" s="19" t="e">
        <f t="shared" ca="1" si="9"/>
        <v>#NAME?</v>
      </c>
      <c r="N11" s="19" t="e">
        <f t="shared" ca="1" si="9"/>
        <v>#NAME?</v>
      </c>
      <c r="O11" s="19" t="e">
        <f t="shared" ca="1" si="9"/>
        <v>#NAME?</v>
      </c>
      <c r="P11" s="19" t="e">
        <f t="shared" ca="1" si="9"/>
        <v>#NAME?</v>
      </c>
      <c r="Q11" s="19" t="e">
        <f t="shared" ca="1" si="9"/>
        <v>#NAME?</v>
      </c>
      <c r="R11" s="19" t="e">
        <f t="shared" ca="1" si="9"/>
        <v>#NAME?</v>
      </c>
      <c r="S11" s="19" t="e">
        <f t="shared" ca="1" si="9"/>
        <v>#NAME?</v>
      </c>
      <c r="T11" s="19" t="e">
        <f t="shared" ca="1" si="9"/>
        <v>#NAME?</v>
      </c>
      <c r="U11" s="19" t="e">
        <f t="shared" ca="1" si="9"/>
        <v>#NAME?</v>
      </c>
      <c r="V11" s="19" t="e">
        <f t="shared" ca="1" si="9"/>
        <v>#NAME?</v>
      </c>
      <c r="W11" s="19" t="e">
        <f t="shared" ca="1" si="9"/>
        <v>#NAME?</v>
      </c>
      <c r="X11" s="19" t="e">
        <f t="shared" ca="1" si="9"/>
        <v>#NAME?</v>
      </c>
      <c r="Y11" s="19" t="e">
        <f t="shared" ca="1" si="9"/>
        <v>#NAME?</v>
      </c>
      <c r="Z11" s="19" t="e">
        <f t="shared" ca="1" si="9"/>
        <v>#NAME?</v>
      </c>
      <c r="AA11" s="19" t="e">
        <f t="shared" ca="1" si="9"/>
        <v>#NAME?</v>
      </c>
      <c r="AB11" s="20" t="e">
        <f t="shared" ca="1" si="9"/>
        <v>#NAME?</v>
      </c>
      <c r="AC11" s="53" t="e">
        <f ca="1">IF(SUM(J11:O11)+SUM(V11:AA11)&lt;0.001,0,IF(SUM(J11:O11)&lt;0.001,1,IF(SUM(V11:AA11)&lt;0.001,-1,SUM(V11:AA11)/(SUM(J11:O11))-1)))</f>
        <v>#NAME?</v>
      </c>
      <c r="AD11" s="54" t="e">
        <f ca="1">IF(SUM(D11:O11)+SUM(P11:AA11)&lt;0.001,0,IF(SUM(D11:O11)&lt;0.001,1,IF(SUM(P11:AA11)&lt;0.001,-1,SUM(P11:AA11)/(SUM(D11:O11))-1)))</f>
        <v>#NAME?</v>
      </c>
      <c r="AE11" s="54">
        <f>AVERAGE(AE9:AE10)</f>
        <v>-0.5</v>
      </c>
      <c r="AF11" s="54">
        <f>AVERAGE(AF9:AF10)</f>
        <v>0.5</v>
      </c>
      <c r="AG11" s="55" t="s">
        <v>51</v>
      </c>
      <c r="AH11" s="56" t="e">
        <f ca="1">IF(AB11&lt;&gt;0,AU11/AB11-1,0)</f>
        <v>#NAME?</v>
      </c>
      <c r="AI11" s="21" t="e">
        <f t="shared" ref="AI11:AU11" ca="1" si="10">SUM(AI9:AI10)</f>
        <v>#NAME?</v>
      </c>
      <c r="AJ11" s="21" t="e">
        <f t="shared" ca="1" si="10"/>
        <v>#NAME?</v>
      </c>
      <c r="AK11" s="21" t="e">
        <f t="shared" ca="1" si="10"/>
        <v>#NAME?</v>
      </c>
      <c r="AL11" s="21" t="e">
        <f t="shared" ca="1" si="10"/>
        <v>#NAME?</v>
      </c>
      <c r="AM11" s="21" t="e">
        <f t="shared" ca="1" si="10"/>
        <v>#NAME?</v>
      </c>
      <c r="AN11" s="21" t="e">
        <f t="shared" ca="1" si="10"/>
        <v>#NAME?</v>
      </c>
      <c r="AO11" s="21" t="e">
        <f t="shared" ca="1" si="10"/>
        <v>#NAME?</v>
      </c>
      <c r="AP11" s="21" t="e">
        <f t="shared" ca="1" si="10"/>
        <v>#NAME?</v>
      </c>
      <c r="AQ11" s="21" t="e">
        <f t="shared" ca="1" si="10"/>
        <v>#NAME?</v>
      </c>
      <c r="AR11" s="21" t="e">
        <f t="shared" ca="1" si="10"/>
        <v>#NAME?</v>
      </c>
      <c r="AS11" s="21" t="e">
        <f t="shared" ca="1" si="10"/>
        <v>#NAME?</v>
      </c>
      <c r="AT11" s="21" t="e">
        <f t="shared" ca="1" si="10"/>
        <v>#NAME?</v>
      </c>
      <c r="AU11" s="21" t="e">
        <f t="shared" ca="1" si="10"/>
        <v>#NAME?</v>
      </c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  <c r="GI11" s="62"/>
      <c r="GJ11" s="62"/>
      <c r="GK11" s="62"/>
      <c r="GL11" s="62"/>
      <c r="GM11" s="62"/>
      <c r="GN11" s="62"/>
      <c r="GO11" s="62"/>
      <c r="GP11" s="62"/>
      <c r="GQ11" s="62"/>
      <c r="GR11" s="62"/>
      <c r="GS11" s="62"/>
      <c r="GT11" s="62"/>
      <c r="GU11" s="62"/>
      <c r="GV11" s="62"/>
      <c r="GW11" s="62"/>
      <c r="GX11" s="62"/>
      <c r="GY11" s="62"/>
      <c r="GZ11" s="62"/>
      <c r="HA11" s="62"/>
      <c r="HB11" s="62"/>
      <c r="HC11" s="62"/>
    </row>
    <row r="12" spans="1:211" ht="15" customHeight="1" x14ac:dyDescent="0.2"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59" t="s">
        <v>60</v>
      </c>
    </row>
  </sheetData>
  <mergeCells count="5">
    <mergeCell ref="B6:C7"/>
    <mergeCell ref="AB6:AB7"/>
    <mergeCell ref="AH6:AH7"/>
    <mergeCell ref="AU6:AU7"/>
    <mergeCell ref="B11:C11"/>
  </mergeCells>
  <conditionalFormatting sqref="AC9:AH11">
    <cfRule type="cellIs" dxfId="3" priority="1" operator="greaterThan">
      <formula>0.5</formula>
    </cfRule>
    <cfRule type="cellIs" dxfId="2" priority="2" operator="lessThan">
      <formula>-0.5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8">
              <controlPr defaultSize="0" print="0" autoFill="0" autoPict="0" macro="[0]!Recalculate_5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4"/>
  <dimension ref="A1:GO12"/>
  <sheetViews>
    <sheetView zoomScale="115" zoomScaleNormal="115" zoomScalePageLayoutView="115" workbookViewId="0">
      <selection activeCell="AR7" sqref="AR7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hidden="1" customWidth="1" outlineLevel="1"/>
    <col min="5" max="5" width="10.140625" style="59" hidden="1" customWidth="1" outlineLevel="1"/>
    <col min="6" max="11" width="9.28515625" style="59" hidden="1" customWidth="1" outlineLevel="1"/>
    <col min="12" max="12" width="10.28515625" style="59" hidden="1" customWidth="1" outlineLevel="1"/>
    <col min="13" max="16" width="9.28515625" style="59" hidden="1" customWidth="1" outlineLevel="1"/>
    <col min="17" max="17" width="10.140625" style="59" hidden="1" customWidth="1" outlineLevel="1"/>
    <col min="18" max="20" width="9.28515625" style="59" hidden="1" customWidth="1" outlineLevel="1"/>
    <col min="21" max="21" width="9.28515625" style="65" hidden="1" customWidth="1" outlineLevel="1"/>
    <col min="22" max="23" width="9.28515625" style="66" hidden="1" customWidth="1" outlineLevel="1"/>
    <col min="24" max="24" width="10.28515625" style="66" hidden="1" customWidth="1" outlineLevel="1"/>
    <col min="25" max="26" width="9.28515625" style="66" hidden="1" customWidth="1" outlineLevel="1"/>
    <col min="27" max="27" width="9.28515625" style="59" hidden="1" customWidth="1" outlineLevel="1"/>
    <col min="28" max="28" width="9.28515625" style="59" customWidth="1" collapsed="1"/>
    <col min="29" max="33" width="9.28515625" style="67" hidden="1" customWidth="1" outlineLevel="1"/>
    <col min="34" max="34" width="9.28515625" style="67" customWidth="1" collapsed="1"/>
    <col min="35" max="197" width="9.140625" style="59"/>
    <col min="198" max="16384" width="9.140625" style="68"/>
  </cols>
  <sheetData>
    <row r="1" spans="1:197" ht="10.35" customHeight="1" thickBot="1" x14ac:dyDescent="0.25"/>
    <row r="2" spans="1:197" ht="15" customHeight="1" x14ac:dyDescent="0.2">
      <c r="B2" s="8" t="s">
        <v>66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7"/>
      <c r="AC2" s="9"/>
      <c r="AD2" s="10"/>
      <c r="AE2" s="10"/>
      <c r="AF2" s="10"/>
      <c r="AG2" s="10"/>
      <c r="AH2" s="11" t="s">
        <v>43</v>
      </c>
    </row>
    <row r="3" spans="1:197" ht="15" customHeight="1" x14ac:dyDescent="0.2">
      <c r="B3" s="14" t="s">
        <v>56</v>
      </c>
      <c r="C3" s="6">
        <v>43646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5"/>
      <c r="AC3" s="1"/>
      <c r="AD3" s="2"/>
      <c r="AE3" s="2"/>
      <c r="AF3" s="2"/>
      <c r="AG3" s="2"/>
      <c r="AH3" s="7"/>
    </row>
    <row r="4" spans="1:197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5"/>
      <c r="AC4" s="1"/>
      <c r="AD4" s="2"/>
      <c r="AE4" s="2"/>
      <c r="AF4" s="2"/>
      <c r="AG4" s="2"/>
      <c r="AH4" s="7"/>
    </row>
    <row r="5" spans="1:197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8"/>
      <c r="AC5" s="1"/>
      <c r="AD5" s="2"/>
      <c r="AE5" s="2"/>
      <c r="AF5" s="2"/>
      <c r="AG5" s="2"/>
      <c r="AH5" s="7"/>
    </row>
    <row r="6" spans="1:197" s="60" customFormat="1" ht="12" customHeight="1" x14ac:dyDescent="0.2">
      <c r="A6" s="69"/>
      <c r="B6" s="142"/>
      <c r="C6" s="143"/>
      <c r="D6" s="22">
        <f>D7-IF(MONTH(D7)=2,IF(OR(YEAR(D7)=2008,YEAR(D7)=2012,YEAR(D7)=2016),29,28),IF(OR(MONTH(D7)=4,MONTH(D7)=6,MONTH(D7)=9,MONTH(D7)=11),30,31))+1</f>
        <v>42917</v>
      </c>
      <c r="E6" s="23">
        <f t="shared" ref="E6:AA6" si="0">E7-IF(MONTH(E7)=2,IF(OR(YEAR(E7)=2008,YEAR(E7)=2012,YEAR(E7)=2016),29,28),IF(OR(MONTH(E7)=4,MONTH(E7)=6,MONTH(E7)=9,MONTH(E7)=11),30,31))+1</f>
        <v>42948</v>
      </c>
      <c r="F6" s="23">
        <f t="shared" si="0"/>
        <v>42979</v>
      </c>
      <c r="G6" s="23">
        <f t="shared" si="0"/>
        <v>43009</v>
      </c>
      <c r="H6" s="23">
        <f t="shared" si="0"/>
        <v>43040</v>
      </c>
      <c r="I6" s="23">
        <f t="shared" si="0"/>
        <v>43070</v>
      </c>
      <c r="J6" s="23">
        <f t="shared" si="0"/>
        <v>43101</v>
      </c>
      <c r="K6" s="23">
        <f t="shared" si="0"/>
        <v>43132</v>
      </c>
      <c r="L6" s="23">
        <f t="shared" si="0"/>
        <v>43160</v>
      </c>
      <c r="M6" s="23">
        <f t="shared" si="0"/>
        <v>43191</v>
      </c>
      <c r="N6" s="23">
        <f t="shared" si="0"/>
        <v>43221</v>
      </c>
      <c r="O6" s="23">
        <f t="shared" si="0"/>
        <v>43252</v>
      </c>
      <c r="P6" s="23">
        <f t="shared" si="0"/>
        <v>43282</v>
      </c>
      <c r="Q6" s="23">
        <f t="shared" si="0"/>
        <v>43313</v>
      </c>
      <c r="R6" s="23">
        <f t="shared" si="0"/>
        <v>43344</v>
      </c>
      <c r="S6" s="23">
        <f t="shared" si="0"/>
        <v>43374</v>
      </c>
      <c r="T6" s="23">
        <f t="shared" si="0"/>
        <v>43405</v>
      </c>
      <c r="U6" s="23">
        <f t="shared" si="0"/>
        <v>43435</v>
      </c>
      <c r="V6" s="23">
        <f t="shared" si="0"/>
        <v>43466</v>
      </c>
      <c r="W6" s="23">
        <f t="shared" si="0"/>
        <v>43497</v>
      </c>
      <c r="X6" s="23">
        <f t="shared" si="0"/>
        <v>43525</v>
      </c>
      <c r="Y6" s="23">
        <f t="shared" si="0"/>
        <v>43556</v>
      </c>
      <c r="Z6" s="23">
        <f t="shared" si="0"/>
        <v>43586</v>
      </c>
      <c r="AA6" s="23">
        <f t="shared" si="0"/>
        <v>43617</v>
      </c>
      <c r="AB6" s="138"/>
      <c r="AC6" s="10"/>
      <c r="AD6" s="10"/>
      <c r="AE6" s="10"/>
      <c r="AF6" s="10"/>
      <c r="AG6" s="10"/>
      <c r="AH6" s="140"/>
    </row>
    <row r="7" spans="1:197" s="60" customFormat="1" ht="12" customHeight="1" thickBot="1" x14ac:dyDescent="0.25">
      <c r="A7" s="69"/>
      <c r="B7" s="144"/>
      <c r="C7" s="145"/>
      <c r="D7" s="26">
        <f t="shared" ref="D7:Z7" si="1">E6-1</f>
        <v>42947</v>
      </c>
      <c r="E7" s="27">
        <f t="shared" si="1"/>
        <v>42978</v>
      </c>
      <c r="F7" s="27">
        <f t="shared" si="1"/>
        <v>43008</v>
      </c>
      <c r="G7" s="27">
        <f t="shared" si="1"/>
        <v>43039</v>
      </c>
      <c r="H7" s="27">
        <f t="shared" si="1"/>
        <v>43069</v>
      </c>
      <c r="I7" s="27">
        <f t="shared" si="1"/>
        <v>43100</v>
      </c>
      <c r="J7" s="27">
        <f t="shared" si="1"/>
        <v>43131</v>
      </c>
      <c r="K7" s="27">
        <f t="shared" si="1"/>
        <v>43159</v>
      </c>
      <c r="L7" s="27">
        <f t="shared" si="1"/>
        <v>43190</v>
      </c>
      <c r="M7" s="27">
        <f t="shared" si="1"/>
        <v>43220</v>
      </c>
      <c r="N7" s="27">
        <f t="shared" si="1"/>
        <v>43251</v>
      </c>
      <c r="O7" s="27">
        <f t="shared" si="1"/>
        <v>43281</v>
      </c>
      <c r="P7" s="27">
        <f t="shared" si="1"/>
        <v>43312</v>
      </c>
      <c r="Q7" s="27">
        <f t="shared" si="1"/>
        <v>43343</v>
      </c>
      <c r="R7" s="27">
        <f t="shared" si="1"/>
        <v>43373</v>
      </c>
      <c r="S7" s="27">
        <f t="shared" si="1"/>
        <v>43404</v>
      </c>
      <c r="T7" s="27">
        <f t="shared" si="1"/>
        <v>43434</v>
      </c>
      <c r="U7" s="27">
        <f t="shared" si="1"/>
        <v>43465</v>
      </c>
      <c r="V7" s="27">
        <f t="shared" si="1"/>
        <v>43496</v>
      </c>
      <c r="W7" s="27">
        <f t="shared" si="1"/>
        <v>43524</v>
      </c>
      <c r="X7" s="27">
        <f t="shared" si="1"/>
        <v>43555</v>
      </c>
      <c r="Y7" s="27">
        <f t="shared" si="1"/>
        <v>43585</v>
      </c>
      <c r="Z7" s="27">
        <f t="shared" si="1"/>
        <v>43616</v>
      </c>
      <c r="AA7" s="27">
        <f>C3</f>
        <v>43646</v>
      </c>
      <c r="AB7" s="139"/>
      <c r="AC7" s="25"/>
      <c r="AD7" s="25"/>
      <c r="AE7" s="25"/>
      <c r="AF7" s="25"/>
      <c r="AG7" s="25"/>
      <c r="AH7" s="141"/>
    </row>
    <row r="8" spans="1:197" s="61" customFormat="1" ht="12" customHeight="1" thickBot="1" x14ac:dyDescent="0.25">
      <c r="A8" s="70"/>
      <c r="B8" s="29" t="s">
        <v>1</v>
      </c>
      <c r="C8" s="30" t="s">
        <v>49</v>
      </c>
      <c r="D8" s="31">
        <f t="shared" ref="D8:AA8" si="2">D6</f>
        <v>42917</v>
      </c>
      <c r="E8" s="32">
        <f t="shared" si="2"/>
        <v>42948</v>
      </c>
      <c r="F8" s="32">
        <f t="shared" si="2"/>
        <v>42979</v>
      </c>
      <c r="G8" s="33">
        <f t="shared" si="2"/>
        <v>43009</v>
      </c>
      <c r="H8" s="33">
        <f t="shared" si="2"/>
        <v>43040</v>
      </c>
      <c r="I8" s="33">
        <f t="shared" si="2"/>
        <v>43070</v>
      </c>
      <c r="J8" s="33">
        <f t="shared" si="2"/>
        <v>43101</v>
      </c>
      <c r="K8" s="33">
        <f t="shared" si="2"/>
        <v>43132</v>
      </c>
      <c r="L8" s="33">
        <f t="shared" si="2"/>
        <v>43160</v>
      </c>
      <c r="M8" s="33">
        <f t="shared" si="2"/>
        <v>43191</v>
      </c>
      <c r="N8" s="33">
        <f t="shared" si="2"/>
        <v>43221</v>
      </c>
      <c r="O8" s="33">
        <f t="shared" si="2"/>
        <v>43252</v>
      </c>
      <c r="P8" s="33">
        <f t="shared" si="2"/>
        <v>43282</v>
      </c>
      <c r="Q8" s="33">
        <f t="shared" si="2"/>
        <v>43313</v>
      </c>
      <c r="R8" s="33">
        <f t="shared" si="2"/>
        <v>43344</v>
      </c>
      <c r="S8" s="33">
        <f t="shared" si="2"/>
        <v>43374</v>
      </c>
      <c r="T8" s="33">
        <f t="shared" si="2"/>
        <v>43405</v>
      </c>
      <c r="U8" s="33">
        <f t="shared" si="2"/>
        <v>43435</v>
      </c>
      <c r="V8" s="33">
        <f t="shared" si="2"/>
        <v>43466</v>
      </c>
      <c r="W8" s="33">
        <f t="shared" si="2"/>
        <v>43497</v>
      </c>
      <c r="X8" s="33">
        <f t="shared" si="2"/>
        <v>43525</v>
      </c>
      <c r="Y8" s="33">
        <f t="shared" si="2"/>
        <v>43556</v>
      </c>
      <c r="Z8" s="33">
        <f t="shared" si="2"/>
        <v>43586</v>
      </c>
      <c r="AA8" s="33">
        <f t="shared" si="2"/>
        <v>43617</v>
      </c>
      <c r="AB8" s="51" t="s">
        <v>39</v>
      </c>
      <c r="AC8" s="52" t="s">
        <v>45</v>
      </c>
      <c r="AD8" s="34" t="s">
        <v>46</v>
      </c>
      <c r="AE8" s="34" t="s">
        <v>47</v>
      </c>
      <c r="AF8" s="34" t="s">
        <v>48</v>
      </c>
      <c r="AG8" s="34" t="s">
        <v>42</v>
      </c>
      <c r="AH8" s="51" t="s">
        <v>44</v>
      </c>
    </row>
    <row r="9" spans="1:197" ht="15" customHeight="1" thickBot="1" x14ac:dyDescent="0.25">
      <c r="B9" s="37" t="s">
        <v>64</v>
      </c>
      <c r="C9" s="38" t="s">
        <v>61</v>
      </c>
      <c r="D9" s="39" t="e">
        <f ca="1">AbraBalance(API!$C$3,API!$C$4,API!$C$5,$C9,(D$6-1))/1000+AbraTurnover(API!$C$3,API!$C$4,API!$C$5,$C9,D$6,D$7,"","","","","")/1000</f>
        <v>#NAME?</v>
      </c>
      <c r="E9" s="39" t="e">
        <f ca="1">D9+AbraTurnover(API!$C$3,API!$C$4,API!$C$5,$C9,E$6,E$7,"","","","","")/1000</f>
        <v>#NAME?</v>
      </c>
      <c r="F9" s="39" t="e">
        <f ca="1">E9+AbraTurnover(API!$C$3,API!$C$4,API!$C$5,$C9,F$6,F$7,"","","","","")/1000</f>
        <v>#NAME?</v>
      </c>
      <c r="G9" s="39" t="e">
        <f ca="1">F9+AbraTurnover(API!$C$3,API!$C$4,API!$C$5,$C9,G$6,G$7,"","","","","")/1000</f>
        <v>#NAME?</v>
      </c>
      <c r="H9" s="39" t="e">
        <f ca="1">G9+AbraTurnover(API!$C$3,API!$C$4,API!$C$5,$C9,H$6,H$7,"","","","","")/1000</f>
        <v>#NAME?</v>
      </c>
      <c r="I9" s="39" t="e">
        <f ca="1">H9+AbraTurnover(API!$C$3,API!$C$4,API!$C$5,$C9,I$6,I$7,"","","","","")/1000</f>
        <v>#NAME?</v>
      </c>
      <c r="J9" s="39" t="e">
        <f ca="1">I9+AbraTurnover(API!$C$3,API!$C$4,API!$C$5,$C9,J$6,J$7,"","","","","")/1000</f>
        <v>#NAME?</v>
      </c>
      <c r="K9" s="39" t="e">
        <f ca="1">J9+AbraTurnover(API!$C$3,API!$C$4,API!$C$5,$C9,K$6,K$7,"","","","","")/1000</f>
        <v>#NAME?</v>
      </c>
      <c r="L9" s="39" t="e">
        <f ca="1">K9+AbraTurnover(API!$C$3,API!$C$4,API!$C$5,$C9,L$6,L$7,"","","","","")/1000</f>
        <v>#NAME?</v>
      </c>
      <c r="M9" s="39" t="e">
        <f ca="1">L9+AbraTurnover(API!$C$3,API!$C$4,API!$C$5,$C9,M$6,M$7,"","","","","")/1000</f>
        <v>#NAME?</v>
      </c>
      <c r="N9" s="39" t="e">
        <f ca="1">M9+AbraTurnover(API!$C$3,API!$C$4,API!$C$5,$C9,N$6,N$7,"","","","","")/1000</f>
        <v>#NAME?</v>
      </c>
      <c r="O9" s="39" t="e">
        <f ca="1">N9+AbraTurnover(API!$C$3,API!$C$4,API!$C$5,$C9,O$6,O$7,"","","","","")/1000</f>
        <v>#NAME?</v>
      </c>
      <c r="P9" s="39" t="e">
        <f ca="1">O9+AbraTurnover(API!$C$3,API!$C$4,API!$C$5,$C9,P$6,P$7,"","","","","")/1000</f>
        <v>#NAME?</v>
      </c>
      <c r="Q9" s="39" t="e">
        <f ca="1">P9+AbraTurnover(API!$C$3,API!$C$4,API!$C$5,$C9,Q$6,Q$7,"","","","","")/1000</f>
        <v>#NAME?</v>
      </c>
      <c r="R9" s="39" t="e">
        <f ca="1">Q9+AbraTurnover(API!$C$3,API!$C$4,API!$C$5,$C9,R$6,R$7,"","","","","")/1000</f>
        <v>#NAME?</v>
      </c>
      <c r="S9" s="39" t="e">
        <f ca="1">R9+AbraTurnover(API!$C$3,API!$C$4,API!$C$5,$C9,S$6,S$7,"","","","","")/1000</f>
        <v>#NAME?</v>
      </c>
      <c r="T9" s="39" t="e">
        <f ca="1">S9+AbraTurnover(API!$C$3,API!$C$4,API!$C$5,$C9,T$6,T$7,"","","","","")/1000</f>
        <v>#NAME?</v>
      </c>
      <c r="U9" s="39" t="e">
        <f ca="1">T9+AbraTurnover(API!$C$3,API!$C$4,API!$C$5,$C9,U$6,U$7,"","","","","")/1000</f>
        <v>#NAME?</v>
      </c>
      <c r="V9" s="39" t="e">
        <f ca="1">U9+AbraTurnover(API!$C$3,API!$C$4,API!$C$5,$C9,V$6,V$7,"","","","","")/1000</f>
        <v>#NAME?</v>
      </c>
      <c r="W9" s="39" t="e">
        <f ca="1">V9+AbraTurnover(API!$C$3,API!$C$4,API!$C$5,$C9,W$6,W$7,"","","","","")/1000</f>
        <v>#NAME?</v>
      </c>
      <c r="X9" s="39" t="e">
        <f ca="1">W9+AbraTurnover(API!$C$3,API!$C$4,API!$C$5,$C9,X$6,X$7,"","","","","")/1000</f>
        <v>#NAME?</v>
      </c>
      <c r="Y9" s="39" t="e">
        <f ca="1">X9+AbraTurnover(API!$C$3,API!$C$4,API!$C$5,$C9,Y$6,Y$7,"","","","","")/1000</f>
        <v>#NAME?</v>
      </c>
      <c r="Z9" s="39" t="e">
        <f ca="1">Y9+AbraTurnover(API!$C$3,API!$C$4,API!$C$5,$C9,Z$6,Z$7,"","","","","")/1000</f>
        <v>#NAME?</v>
      </c>
      <c r="AA9" s="39" t="e">
        <f ca="1">Z9+AbraTurnover(API!$C$3,API!$C$4,API!$C$5,$C9,AA$6,AA$7,"","","","","")/1000</f>
        <v>#NAME?</v>
      </c>
      <c r="AB9" s="75" t="e">
        <f ca="1">SUM(P9:AA9)</f>
        <v>#NAME?</v>
      </c>
      <c r="AC9" s="80" t="e">
        <f t="shared" ref="AC9:AC10" ca="1" si="3">IF(SUM(J9:O9)+SUM(V9:AA9)&lt;0.001,0,IF(SUM(J9:O9)&lt;0.001,1,IF(SUM(V9:AA9)&lt;0.001,-1,SUM(V9:AA9)/(SUM(J9:O9))-1)))</f>
        <v>#NAME?</v>
      </c>
      <c r="AD9" s="80" t="e">
        <f t="shared" ref="AD9:AD10" ca="1" si="4">IF(SUM(D9:O9)+SUM(P9:AA9)&lt;0.001,0,IF(SUM(D9:O9)&lt;0.001,1,IF(SUM(P9:AA9)&lt;0.001,-1,SUM(P9:AA9)/(SUM(D9:O9))-1)))</f>
        <v>#NAME?</v>
      </c>
      <c r="AE9" s="80">
        <v>-0.5</v>
      </c>
      <c r="AF9" s="80">
        <v>0.5</v>
      </c>
      <c r="AG9" s="80" t="s">
        <v>51</v>
      </c>
      <c r="AH9" s="82" t="e">
        <f t="shared" ref="AH9:AH10" ca="1" si="5">IF($AG9&lt;&gt;"-",$AG9,IF($AC9&lt;$AE9,$AE9,IF($AC9&gt;$AF9,$AF9,$AC9)))</f>
        <v>#NAME?</v>
      </c>
      <c r="AI9" s="61"/>
      <c r="AJ9" s="61"/>
    </row>
    <row r="10" spans="1:197" ht="15" customHeight="1" thickBot="1" x14ac:dyDescent="0.25">
      <c r="B10" s="41" t="s">
        <v>63</v>
      </c>
      <c r="C10" s="42" t="s">
        <v>62</v>
      </c>
      <c r="D10" s="39" t="e">
        <f ca="1">AbraBalance(API!$C$3,API!$C$4,API!$C$5,$C10,(D$6-1))/1000+AbraTurnover(API!$C$3,API!$C$4,API!$C$5,$C10,D$6,D$7,"","","","","")/1000</f>
        <v>#NAME?</v>
      </c>
      <c r="E10" s="39" t="e">
        <f ca="1">D10+AbraTurnover(API!$C$3,API!$C$4,API!$C$5,$C10,E$6,E$7,"","","","","")/1000</f>
        <v>#NAME?</v>
      </c>
      <c r="F10" s="39" t="e">
        <f ca="1">E10+AbraTurnover(API!$C$3,API!$C$4,API!$C$5,$C10,F$6,F$7,"","","","","")/1000</f>
        <v>#NAME?</v>
      </c>
      <c r="G10" s="39" t="e">
        <f ca="1">F10+AbraTurnover(API!$C$3,API!$C$4,API!$C$5,$C10,G$6,G$7,"","","","","")/1000</f>
        <v>#NAME?</v>
      </c>
      <c r="H10" s="39" t="e">
        <f ca="1">G10+AbraTurnover(API!$C$3,API!$C$4,API!$C$5,$C10,H$6,H$7,"","","","","")/1000</f>
        <v>#NAME?</v>
      </c>
      <c r="I10" s="39" t="e">
        <f ca="1">H10+AbraTurnover(API!$C$3,API!$C$4,API!$C$5,$C10,I$6,I$7,"","","","","")/1000</f>
        <v>#NAME?</v>
      </c>
      <c r="J10" s="39" t="e">
        <f ca="1">I10+AbraTurnover(API!$C$3,API!$C$4,API!$C$5,$C10,J$6,J$7,"","","","","")/1000</f>
        <v>#NAME?</v>
      </c>
      <c r="K10" s="39" t="e">
        <f ca="1">J10+AbraTurnover(API!$C$3,API!$C$4,API!$C$5,$C10,K$6,K$7,"","","","","")/1000</f>
        <v>#NAME?</v>
      </c>
      <c r="L10" s="39" t="e">
        <f ca="1">K10+AbraTurnover(API!$C$3,API!$C$4,API!$C$5,$C10,L$6,L$7,"","","","","")/1000</f>
        <v>#NAME?</v>
      </c>
      <c r="M10" s="39" t="e">
        <f ca="1">L10+AbraTurnover(API!$C$3,API!$C$4,API!$C$5,$C10,M$6,M$7,"","","","","")/1000</f>
        <v>#NAME?</v>
      </c>
      <c r="N10" s="39" t="e">
        <f ca="1">M10+AbraTurnover(API!$C$3,API!$C$4,API!$C$5,$C10,N$6,N$7,"","","","","")/1000</f>
        <v>#NAME?</v>
      </c>
      <c r="O10" s="39" t="e">
        <f ca="1">N10+AbraTurnover(API!$C$3,API!$C$4,API!$C$5,$C10,O$6,O$7,"","","","","")/1000</f>
        <v>#NAME?</v>
      </c>
      <c r="P10" s="39" t="e">
        <f ca="1">O10+AbraTurnover(API!$C$3,API!$C$4,API!$C$5,$C10,P$6,P$7,"","","","","")/1000</f>
        <v>#NAME?</v>
      </c>
      <c r="Q10" s="39" t="e">
        <f ca="1">P10+AbraTurnover(API!$C$3,API!$C$4,API!$C$5,$C10,Q$6,Q$7,"","","","","")/1000</f>
        <v>#NAME?</v>
      </c>
      <c r="R10" s="39" t="e">
        <f ca="1">Q10+AbraTurnover(API!$C$3,API!$C$4,API!$C$5,$C10,R$6,R$7,"","","","","")/1000</f>
        <v>#NAME?</v>
      </c>
      <c r="S10" s="39" t="e">
        <f ca="1">R10+AbraTurnover(API!$C$3,API!$C$4,API!$C$5,$C10,S$6,S$7,"","","","","")/1000</f>
        <v>#NAME?</v>
      </c>
      <c r="T10" s="39" t="e">
        <f ca="1">S10+AbraTurnover(API!$C$3,API!$C$4,API!$C$5,$C10,T$6,T$7,"","","","","")/1000</f>
        <v>#NAME?</v>
      </c>
      <c r="U10" s="39" t="e">
        <f ca="1">T10+AbraTurnover(API!$C$3,API!$C$4,API!$C$5,$C10,U$6,U$7,"","","","","")/1000</f>
        <v>#NAME?</v>
      </c>
      <c r="V10" s="39" t="e">
        <f ca="1">U10+AbraTurnover(API!$C$3,API!$C$4,API!$C$5,$C10,V$6,V$7,"","","","","")/1000</f>
        <v>#NAME?</v>
      </c>
      <c r="W10" s="39" t="e">
        <f ca="1">V10+AbraTurnover(API!$C$3,API!$C$4,API!$C$5,$C10,W$6,W$7,"","","","","")/1000</f>
        <v>#NAME?</v>
      </c>
      <c r="X10" s="39" t="e">
        <f ca="1">W10+AbraTurnover(API!$C$3,API!$C$4,API!$C$5,$C10,X$6,X$7,"","","","","")/1000</f>
        <v>#NAME?</v>
      </c>
      <c r="Y10" s="39" t="e">
        <f ca="1">X10+AbraTurnover(API!$C$3,API!$C$4,API!$C$5,$C10,Y$6,Y$7,"","","","","")/1000</f>
        <v>#NAME?</v>
      </c>
      <c r="Z10" s="39" t="e">
        <f ca="1">Y10+AbraTurnover(API!$C$3,API!$C$4,API!$C$5,$C10,Z$6,Z$7,"","","","","")/1000</f>
        <v>#NAME?</v>
      </c>
      <c r="AA10" s="39" t="e">
        <f ca="1">Z10+AbraTurnover(API!$C$3,API!$C$4,API!$C$5,$C10,AA$6,AA$7,"","","","","")/1000</f>
        <v>#NAME?</v>
      </c>
      <c r="AB10" s="76" t="e">
        <f ca="1">SUM(P10:AA10)</f>
        <v>#NAME?</v>
      </c>
      <c r="AC10" s="81" t="e">
        <f t="shared" ca="1" si="3"/>
        <v>#NAME?</v>
      </c>
      <c r="AD10" s="81" t="e">
        <f t="shared" ca="1" si="4"/>
        <v>#NAME?</v>
      </c>
      <c r="AE10" s="81">
        <v>-0.5</v>
      </c>
      <c r="AF10" s="81">
        <v>0.5</v>
      </c>
      <c r="AG10" s="81" t="s">
        <v>51</v>
      </c>
      <c r="AH10" s="83" t="e">
        <f t="shared" ca="1" si="5"/>
        <v>#NAME?</v>
      </c>
    </row>
    <row r="11" spans="1:197" s="72" customFormat="1" ht="15" customHeight="1" thickBot="1" x14ac:dyDescent="0.25">
      <c r="A11" s="71"/>
      <c r="B11" s="136" t="s">
        <v>65</v>
      </c>
      <c r="C11" s="137"/>
      <c r="D11" s="18" t="e">
        <f t="shared" ref="D11:AB11" ca="1" si="6">SUM(D9:D10)</f>
        <v>#NAME?</v>
      </c>
      <c r="E11" s="19" t="e">
        <f t="shared" ca="1" si="6"/>
        <v>#NAME?</v>
      </c>
      <c r="F11" s="19" t="e">
        <f t="shared" ca="1" si="6"/>
        <v>#NAME?</v>
      </c>
      <c r="G11" s="19" t="e">
        <f t="shared" ca="1" si="6"/>
        <v>#NAME?</v>
      </c>
      <c r="H11" s="19" t="e">
        <f t="shared" ca="1" si="6"/>
        <v>#NAME?</v>
      </c>
      <c r="I11" s="19" t="e">
        <f t="shared" ca="1" si="6"/>
        <v>#NAME?</v>
      </c>
      <c r="J11" s="19" t="e">
        <f t="shared" ca="1" si="6"/>
        <v>#NAME?</v>
      </c>
      <c r="K11" s="19" t="e">
        <f t="shared" ca="1" si="6"/>
        <v>#NAME?</v>
      </c>
      <c r="L11" s="19" t="e">
        <f t="shared" ca="1" si="6"/>
        <v>#NAME?</v>
      </c>
      <c r="M11" s="19" t="e">
        <f t="shared" ca="1" si="6"/>
        <v>#NAME?</v>
      </c>
      <c r="N11" s="19" t="e">
        <f t="shared" ca="1" si="6"/>
        <v>#NAME?</v>
      </c>
      <c r="O11" s="19" t="e">
        <f t="shared" ca="1" si="6"/>
        <v>#NAME?</v>
      </c>
      <c r="P11" s="19" t="e">
        <f t="shared" ca="1" si="6"/>
        <v>#NAME?</v>
      </c>
      <c r="Q11" s="19" t="e">
        <f t="shared" ca="1" si="6"/>
        <v>#NAME?</v>
      </c>
      <c r="R11" s="19" t="e">
        <f t="shared" ca="1" si="6"/>
        <v>#NAME?</v>
      </c>
      <c r="S11" s="19" t="e">
        <f t="shared" ca="1" si="6"/>
        <v>#NAME?</v>
      </c>
      <c r="T11" s="19" t="e">
        <f t="shared" ca="1" si="6"/>
        <v>#NAME?</v>
      </c>
      <c r="U11" s="19" t="e">
        <f t="shared" ca="1" si="6"/>
        <v>#NAME?</v>
      </c>
      <c r="V11" s="19" t="e">
        <f t="shared" ca="1" si="6"/>
        <v>#NAME?</v>
      </c>
      <c r="W11" s="19" t="e">
        <f t="shared" ca="1" si="6"/>
        <v>#NAME?</v>
      </c>
      <c r="X11" s="19" t="e">
        <f t="shared" ca="1" si="6"/>
        <v>#NAME?</v>
      </c>
      <c r="Y11" s="19" t="e">
        <f t="shared" ca="1" si="6"/>
        <v>#NAME?</v>
      </c>
      <c r="Z11" s="19" t="e">
        <f t="shared" ca="1" si="6"/>
        <v>#NAME?</v>
      </c>
      <c r="AA11" s="19" t="e">
        <f t="shared" ca="1" si="6"/>
        <v>#NAME?</v>
      </c>
      <c r="AB11" s="20" t="e">
        <f t="shared" ca="1" si="6"/>
        <v>#NAME?</v>
      </c>
      <c r="AC11" s="53" t="e">
        <f ca="1">IF(SUM(J11:O11)+SUM(V11:AA11)&lt;0.001,0,IF(SUM(J11:O11)&lt;0.001,1,IF(SUM(V11:AA11)&lt;0.001,-1,SUM(V11:AA11)/(SUM(J11:O11))-1)))</f>
        <v>#NAME?</v>
      </c>
      <c r="AD11" s="54" t="e">
        <f ca="1">IF(SUM(D11:O11)+SUM(P11:AA11)&lt;0.001,0,IF(SUM(D11:O11)&lt;0.001,1,IF(SUM(P11:AA11)&lt;0.001,-1,SUM(P11:AA11)/(SUM(D11:O11))-1)))</f>
        <v>#NAME?</v>
      </c>
      <c r="AE11" s="54">
        <f>AVERAGE(AE9:AE10)</f>
        <v>-0.5</v>
      </c>
      <c r="AF11" s="54">
        <f>AVERAGE(AF9:AF10)</f>
        <v>0.5</v>
      </c>
      <c r="AG11" s="55" t="s">
        <v>51</v>
      </c>
      <c r="AH11" s="56" t="e">
        <f ca="1">IF(AB11&lt;&gt;0,#REF!/AB11-1,0)</f>
        <v>#NAME?</v>
      </c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  <c r="GI11" s="62"/>
      <c r="GJ11" s="62"/>
      <c r="GK11" s="62"/>
      <c r="GL11" s="62"/>
      <c r="GM11" s="62"/>
      <c r="GN11" s="62"/>
      <c r="GO11" s="62"/>
    </row>
    <row r="12" spans="1:197" ht="15" customHeight="1" x14ac:dyDescent="0.2"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 t="s">
        <v>58</v>
      </c>
      <c r="Z12" s="73" t="s">
        <v>59</v>
      </c>
      <c r="AA12" s="73"/>
    </row>
  </sheetData>
  <mergeCells count="4">
    <mergeCell ref="B6:C7"/>
    <mergeCell ref="AB6:AB7"/>
    <mergeCell ref="AH6:AH7"/>
    <mergeCell ref="B11:C11"/>
  </mergeCells>
  <conditionalFormatting sqref="AC9:AH11">
    <cfRule type="cellIs" dxfId="1" priority="1" operator="greaterThan">
      <formula>0.5</formula>
    </cfRule>
    <cfRule type="cellIs" dxfId="0" priority="2" operator="lessThan">
      <formula>-0.5</formula>
    </cfRule>
  </conditionalFormatting>
  <pageMargins left="0.7" right="0.7" top="0.78740157499999996" bottom="0.78740157499999996" header="0.3" footer="0.3"/>
  <ignoredErrors>
    <ignoredError sqref="C1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8">
              <controlPr defaultSize="0" print="0" autoFill="0" autoPict="0" macro="[0]!Recalculate_4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H23"/>
  <sheetViews>
    <sheetView zoomScale="130" zoomScaleNormal="130" zoomScalePageLayoutView="130" workbookViewId="0">
      <selection activeCell="C20" sqref="C20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7109375" style="59" bestFit="1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67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/>
      <c r="C6" s="143"/>
      <c r="D6" s="22">
        <f>D7-IF(MONTH(D7)=2,IF(OR(YEAR(D7)=2008,YEAR(D7)=2012,YEAR(D7)=2016),29,28),IF(OR(MONTH(D7)=4,MONTH(D7)=6,MONTH(D7)=9,MONTH(D7)=11),30,31))+1</f>
        <v>42736</v>
      </c>
      <c r="E6" s="23">
        <f t="shared" ref="E6:AA6" si="0">E7-IF(MONTH(E7)=2,IF(OR(YEAR(E7)=2008,YEAR(E7)=2012,YEAR(E7)=2016),29,28),IF(OR(MONTH(E7)=4,MONTH(E7)=6,MONTH(E7)=9,MONTH(E7)=11),30,31))+1</f>
        <v>42767</v>
      </c>
      <c r="F6" s="23">
        <f t="shared" si="0"/>
        <v>42795</v>
      </c>
      <c r="G6" s="23">
        <f t="shared" si="0"/>
        <v>42826</v>
      </c>
      <c r="H6" s="23">
        <f t="shared" si="0"/>
        <v>42856</v>
      </c>
      <c r="I6" s="23">
        <f t="shared" si="0"/>
        <v>42887</v>
      </c>
      <c r="J6" s="23">
        <f t="shared" si="0"/>
        <v>42917</v>
      </c>
      <c r="K6" s="23">
        <f t="shared" si="0"/>
        <v>42948</v>
      </c>
      <c r="L6" s="23">
        <f t="shared" si="0"/>
        <v>42979</v>
      </c>
      <c r="M6" s="23">
        <f t="shared" si="0"/>
        <v>43009</v>
      </c>
      <c r="N6" s="23">
        <f t="shared" si="0"/>
        <v>43040</v>
      </c>
      <c r="O6" s="23">
        <f t="shared" si="0"/>
        <v>43070</v>
      </c>
      <c r="P6" s="23">
        <f t="shared" si="0"/>
        <v>43101</v>
      </c>
      <c r="Q6" s="23">
        <f t="shared" si="0"/>
        <v>43132</v>
      </c>
      <c r="R6" s="23">
        <f t="shared" si="0"/>
        <v>43160</v>
      </c>
      <c r="S6" s="23">
        <f t="shared" si="0"/>
        <v>43191</v>
      </c>
      <c r="T6" s="23">
        <f t="shared" si="0"/>
        <v>43221</v>
      </c>
      <c r="U6" s="23">
        <f t="shared" si="0"/>
        <v>43252</v>
      </c>
      <c r="V6" s="23">
        <f t="shared" si="0"/>
        <v>43282</v>
      </c>
      <c r="W6" s="23">
        <f t="shared" si="0"/>
        <v>43313</v>
      </c>
      <c r="X6" s="23">
        <f t="shared" si="0"/>
        <v>43344</v>
      </c>
      <c r="Y6" s="23">
        <f t="shared" si="0"/>
        <v>43374</v>
      </c>
      <c r="Z6" s="23">
        <f t="shared" si="0"/>
        <v>43405</v>
      </c>
      <c r="AA6" s="23">
        <f t="shared" si="0"/>
        <v>43435</v>
      </c>
    </row>
    <row r="7" spans="1:190" s="60" customFormat="1" ht="12" customHeight="1" thickBot="1" x14ac:dyDescent="0.25">
      <c r="A7" s="69"/>
      <c r="B7" s="144"/>
      <c r="C7" s="145"/>
      <c r="D7" s="26">
        <f t="shared" ref="D7:Z7" si="1">E6-1</f>
        <v>42766</v>
      </c>
      <c r="E7" s="27">
        <f t="shared" si="1"/>
        <v>42794</v>
      </c>
      <c r="F7" s="27">
        <f t="shared" si="1"/>
        <v>42825</v>
      </c>
      <c r="G7" s="27">
        <f t="shared" si="1"/>
        <v>42855</v>
      </c>
      <c r="H7" s="27">
        <f t="shared" si="1"/>
        <v>42886</v>
      </c>
      <c r="I7" s="27">
        <f t="shared" si="1"/>
        <v>42916</v>
      </c>
      <c r="J7" s="27">
        <f t="shared" si="1"/>
        <v>42947</v>
      </c>
      <c r="K7" s="27">
        <f t="shared" si="1"/>
        <v>42978</v>
      </c>
      <c r="L7" s="27">
        <f t="shared" si="1"/>
        <v>43008</v>
      </c>
      <c r="M7" s="27">
        <f t="shared" si="1"/>
        <v>43039</v>
      </c>
      <c r="N7" s="27">
        <f t="shared" si="1"/>
        <v>43069</v>
      </c>
      <c r="O7" s="27">
        <f t="shared" si="1"/>
        <v>43100</v>
      </c>
      <c r="P7" s="27">
        <f t="shared" si="1"/>
        <v>43131</v>
      </c>
      <c r="Q7" s="27">
        <f t="shared" si="1"/>
        <v>43159</v>
      </c>
      <c r="R7" s="27">
        <f t="shared" si="1"/>
        <v>43190</v>
      </c>
      <c r="S7" s="27">
        <f t="shared" si="1"/>
        <v>43220</v>
      </c>
      <c r="T7" s="27">
        <f t="shared" si="1"/>
        <v>43251</v>
      </c>
      <c r="U7" s="27">
        <f t="shared" si="1"/>
        <v>43281</v>
      </c>
      <c r="V7" s="27">
        <f t="shared" si="1"/>
        <v>43312</v>
      </c>
      <c r="W7" s="27">
        <f t="shared" si="1"/>
        <v>43343</v>
      </c>
      <c r="X7" s="27">
        <f t="shared" si="1"/>
        <v>43373</v>
      </c>
      <c r="Y7" s="27">
        <f t="shared" si="1"/>
        <v>43404</v>
      </c>
      <c r="Z7" s="27">
        <f t="shared" si="1"/>
        <v>43434</v>
      </c>
      <c r="AA7" s="27">
        <f>C3</f>
        <v>43465</v>
      </c>
    </row>
    <row r="8" spans="1:190" s="61" customFormat="1" ht="12" customHeight="1" thickBot="1" x14ac:dyDescent="0.25">
      <c r="A8" s="70"/>
      <c r="B8" s="29" t="s">
        <v>1</v>
      </c>
      <c r="C8" s="30" t="s">
        <v>120</v>
      </c>
      <c r="D8" s="31">
        <f t="shared" ref="D8:AA8" si="2">D6</f>
        <v>42736</v>
      </c>
      <c r="E8" s="32">
        <f t="shared" si="2"/>
        <v>42767</v>
      </c>
      <c r="F8" s="32">
        <f t="shared" si="2"/>
        <v>42795</v>
      </c>
      <c r="G8" s="33">
        <f t="shared" si="2"/>
        <v>42826</v>
      </c>
      <c r="H8" s="33">
        <f t="shared" si="2"/>
        <v>42856</v>
      </c>
      <c r="I8" s="33">
        <f t="shared" si="2"/>
        <v>42887</v>
      </c>
      <c r="J8" s="33">
        <f t="shared" si="2"/>
        <v>42917</v>
      </c>
      <c r="K8" s="33">
        <f t="shared" si="2"/>
        <v>42948</v>
      </c>
      <c r="L8" s="33">
        <f t="shared" si="2"/>
        <v>42979</v>
      </c>
      <c r="M8" s="33">
        <f t="shared" si="2"/>
        <v>43009</v>
      </c>
      <c r="N8" s="33">
        <f t="shared" si="2"/>
        <v>43040</v>
      </c>
      <c r="O8" s="33">
        <f t="shared" si="2"/>
        <v>43070</v>
      </c>
      <c r="P8" s="33">
        <f t="shared" si="2"/>
        <v>43101</v>
      </c>
      <c r="Q8" s="33">
        <f t="shared" si="2"/>
        <v>43132</v>
      </c>
      <c r="R8" s="33">
        <f t="shared" si="2"/>
        <v>43160</v>
      </c>
      <c r="S8" s="33">
        <f t="shared" si="2"/>
        <v>43191</v>
      </c>
      <c r="T8" s="33">
        <f t="shared" si="2"/>
        <v>43221</v>
      </c>
      <c r="U8" s="33">
        <f t="shared" si="2"/>
        <v>43252</v>
      </c>
      <c r="V8" s="33">
        <f t="shared" si="2"/>
        <v>43282</v>
      </c>
      <c r="W8" s="33">
        <f t="shared" si="2"/>
        <v>43313</v>
      </c>
      <c r="X8" s="33">
        <f t="shared" si="2"/>
        <v>43344</v>
      </c>
      <c r="Y8" s="33">
        <f t="shared" si="2"/>
        <v>43374</v>
      </c>
      <c r="Z8" s="33">
        <f t="shared" si="2"/>
        <v>43405</v>
      </c>
      <c r="AA8" s="33">
        <f t="shared" si="2"/>
        <v>43435</v>
      </c>
    </row>
    <row r="9" spans="1:190" ht="15" customHeight="1" thickBot="1" x14ac:dyDescent="0.25">
      <c r="B9" s="37"/>
      <c r="C9" s="38" t="s">
        <v>57</v>
      </c>
      <c r="D9" s="39">
        <f>AbraStock(API!$C$3,API!$C$4,API!$C$5,$C$9,D$6,D$7,"","","","")/1000</f>
        <v>0</v>
      </c>
      <c r="E9" s="39" t="e">
        <f ca="1">AbraStock(API!$C$3,API!$C$4,API!$C$5,$C$9,E$6,E$7,"","","")/1000</f>
        <v>#NAME?</v>
      </c>
      <c r="F9" s="39" t="e">
        <f ca="1">AbraStock(API!$C$3,API!$C$4,API!$C$5,$C$9,F$6,F$7,"","","")/1000</f>
        <v>#NAME?</v>
      </c>
      <c r="G9" s="39" t="e">
        <f ca="1">AbraStock(API!$C$3,API!$C$4,API!$C$5,$C$9,G$6,G$7,"","","")/1000</f>
        <v>#NAME?</v>
      </c>
      <c r="H9" s="39" t="e">
        <f ca="1">AbraStock(API!$C$3,API!$C$4,API!$C$5,$C$9,H$6,H$7,"","","")/1000</f>
        <v>#NAME?</v>
      </c>
      <c r="I9" s="39" t="e">
        <f ca="1">AbraStock(API!$C$3,API!$C$4,API!$C$5,$C$9,I$6,I$7,"","","")/1000</f>
        <v>#NAME?</v>
      </c>
      <c r="J9" s="39" t="e">
        <f ca="1">AbraStock(API!$C$3,API!$C$4,API!$C$5,$C$9,J$6,J$7,"","","")/1000</f>
        <v>#NAME?</v>
      </c>
      <c r="K9" s="39" t="e">
        <f ca="1">AbraStock(API!$C$3,API!$C$4,API!$C$5,$C$9,K$6,K$7,"","","")/1000</f>
        <v>#NAME?</v>
      </c>
      <c r="L9" s="39" t="e">
        <f ca="1">AbraStock(API!$C$3,API!$C$4,API!$C$5,$C$9,L$6,L$7,"","","")/1000</f>
        <v>#NAME?</v>
      </c>
      <c r="M9" s="39" t="e">
        <f ca="1">AbraStock(API!$C$3,API!$C$4,API!$C$5,$C$9,M$6,M$7,"","","")/1000</f>
        <v>#NAME?</v>
      </c>
      <c r="N9" s="39" t="e">
        <f ca="1">AbraStock(API!$C$3,API!$C$4,API!$C$5,$C$9,N$6,N$7,"","","")/1000</f>
        <v>#NAME?</v>
      </c>
      <c r="O9" s="39" t="e">
        <f ca="1">AbraStock(API!$C$3,API!$C$4,API!$C$5,$C$9,O$6,O$7,"","","")/1000</f>
        <v>#NAME?</v>
      </c>
      <c r="P9" s="39" t="e">
        <f ca="1">AbraStock(API!$C$3,API!$C$4,API!$C$5,$C$9,P$6,P$7,"","","")/1000</f>
        <v>#NAME?</v>
      </c>
      <c r="Q9" s="39" t="e">
        <f ca="1">AbraStock(API!$C$3,API!$C$4,API!$C$5,$C$9,Q$6,Q$7,"","","")/1000</f>
        <v>#NAME?</v>
      </c>
      <c r="R9" s="39" t="e">
        <f ca="1">AbraStock(API!$C$3,API!$C$4,API!$C$5,$C$9,R$6,R$7,"","","")/1000</f>
        <v>#NAME?</v>
      </c>
      <c r="S9" s="39" t="e">
        <f ca="1">AbraStock(API!$C$3,API!$C$4,API!$C$5,$C$9,S$6,S$7,"","","")/1000</f>
        <v>#NAME?</v>
      </c>
      <c r="T9" s="39" t="e">
        <f ca="1">AbraStock(API!$C$3,API!$C$4,API!$C$5,$C$9,T$6,T$7,"","","")/1000</f>
        <v>#NAME?</v>
      </c>
      <c r="U9" s="39" t="e">
        <f ca="1">AbraStock(API!$C$3,API!$C$4,API!$C$5,$C$9,U$6,U$7,"","","")/1000</f>
        <v>#NAME?</v>
      </c>
      <c r="V9" s="39" t="e">
        <f ca="1">AbraStock(API!$C$3,API!$C$4,API!$C$5,$C$9,V$6,V$7,"","","")/1000</f>
        <v>#NAME?</v>
      </c>
      <c r="W9" s="39" t="e">
        <f ca="1">AbraStock(API!$C$3,API!$C$4,API!$C$5,$C$9,W$6,W$7,"","","")/1000</f>
        <v>#NAME?</v>
      </c>
      <c r="X9" s="39" t="e">
        <f ca="1">AbraStock(API!$C$3,API!$C$4,API!$C$5,$C$9,X$6,X$7,"","","")/1000</f>
        <v>#NAME?</v>
      </c>
      <c r="Y9" s="39" t="e">
        <f ca="1">AbraStock(API!$C$3,API!$C$4,API!$C$5,$C$9,Y$6,Y$7,"","","")/1000</f>
        <v>#NAME?</v>
      </c>
      <c r="Z9" s="39">
        <f>AbraStock(API!$C$3,API!$C$4,API!$C$5,$C$9,Z$6,Z$7,"","","")/1000</f>
        <v>0</v>
      </c>
      <c r="AA9" s="39">
        <f>AbraStock(API!$C$3,API!$C$4,API!$C$5,$C$9,AA$6,AA$7,"","","")/1000</f>
        <v>0</v>
      </c>
      <c r="AB9" s="61"/>
      <c r="AC9" s="61"/>
    </row>
    <row r="10" spans="1:190" ht="15" customHeight="1" thickBot="1" x14ac:dyDescent="0.25">
      <c r="B10" s="41"/>
      <c r="C10" s="42" t="s">
        <v>130</v>
      </c>
      <c r="D10" s="39" t="e">
        <f ca="1">AbraStock(API!$C$3,API!$C$4,API!$C$5,$C$10,D$6,D$7,"","","")/1000</f>
        <v>#NAME?</v>
      </c>
      <c r="E10" s="39" t="e">
        <f ca="1">AbraStock(API!$C$3,API!$C$4,API!$C$5,$C$10,E$6,E$7,"","","")/1000</f>
        <v>#NAME?</v>
      </c>
      <c r="F10" s="39" t="e">
        <f ca="1">AbraStock(API!$C$3,API!$C$4,API!$C$5,$C$10,F$6,F$7,"","","")/1000</f>
        <v>#NAME?</v>
      </c>
      <c r="G10" s="39" t="e">
        <f ca="1">AbraStock(API!$C$3,API!$C$4,API!$C$5,$C$10,G$6,G$7,"","","")/1000</f>
        <v>#NAME?</v>
      </c>
      <c r="H10" s="39" t="e">
        <f ca="1">AbraStock(API!$C$3,API!$C$4,API!$C$5,$C$10,H$6,H$7,"","","")/1000</f>
        <v>#NAME?</v>
      </c>
      <c r="I10" s="39" t="e">
        <f ca="1">AbraStock(API!$C$3,API!$C$4,API!$C$5,$C$10,I$6,I$7,"","","")/1000</f>
        <v>#NAME?</v>
      </c>
      <c r="J10" s="39" t="e">
        <f ca="1">AbraStock(API!$C$3,API!$C$4,API!$C$5,$C$10,J$6,J$7,"","","")/1000</f>
        <v>#NAME?</v>
      </c>
      <c r="K10" s="39" t="e">
        <f ca="1">AbraStock(API!$C$3,API!$C$4,API!$C$5,$C$10,K$6,K$7,"","","")/1000</f>
        <v>#NAME?</v>
      </c>
      <c r="L10" s="39" t="e">
        <f ca="1">AbraStock(API!$C$3,API!$C$4,API!$C$5,$C$10,L$6,L$7,"","","")/1000</f>
        <v>#NAME?</v>
      </c>
      <c r="M10" s="39" t="e">
        <f ca="1">AbraStock(API!$C$3,API!$C$4,API!$C$5,$C$10,M$6,M$7,"","","")/1000</f>
        <v>#NAME?</v>
      </c>
      <c r="N10" s="39" t="e">
        <f ca="1">AbraStock(API!$C$3,API!$C$4,API!$C$5,$C$10,N$6,N$7,"","","")/1000</f>
        <v>#NAME?</v>
      </c>
      <c r="O10" s="39" t="e">
        <f ca="1">AbraStock(API!$C$3,API!$C$4,API!$C$5,$C$10,O$6,O$7,"","","")/1000</f>
        <v>#NAME?</v>
      </c>
      <c r="P10" s="39" t="e">
        <f ca="1">AbraStock(API!$C$3,API!$C$4,API!$C$5,$C$10,P$6,P$7,"","","")/1000</f>
        <v>#NAME?</v>
      </c>
      <c r="Q10" s="39" t="e">
        <f ca="1">AbraStock(API!$C$3,API!$C$4,API!$C$5,$C$10,Q$6,Q$7,"","","")/1000</f>
        <v>#NAME?</v>
      </c>
      <c r="R10" s="39" t="e">
        <f ca="1">AbraStock(API!$C$3,API!$C$4,API!$C$5,$C$10,R$6,R$7,"","","")/1000</f>
        <v>#NAME?</v>
      </c>
      <c r="S10" s="39" t="e">
        <f ca="1">AbraStock(API!$C$3,API!$C$4,API!$C$5,$C$10,S$6,S$7,"","","")/1000</f>
        <v>#NAME?</v>
      </c>
      <c r="T10" s="39" t="e">
        <f ca="1">AbraStock(API!$C$3,API!$C$4,API!$C$5,$C$10,T$6,T$7,"","","")/1000</f>
        <v>#NAME?</v>
      </c>
      <c r="U10" s="39" t="e">
        <f ca="1">AbraStock(API!$C$3,API!$C$4,API!$C$5,$C$10,U$6,U$7,"","","")/1000</f>
        <v>#NAME?</v>
      </c>
      <c r="V10" s="39" t="e">
        <f ca="1">AbraStock(API!$C$3,API!$C$4,API!$C$5,$C$10,V$6,V$7,"","","")/1000</f>
        <v>#NAME?</v>
      </c>
      <c r="W10" s="39" t="e">
        <f ca="1">AbraStock(API!$C$3,API!$C$4,API!$C$5,$C$10,W$6,W$7,"","","")/1000</f>
        <v>#NAME?</v>
      </c>
      <c r="X10" s="39" t="e">
        <f ca="1">AbraStock(API!$C$3,API!$C$4,API!$C$5,$C$10,X$6,X$7,"","","")/1000</f>
        <v>#NAME?</v>
      </c>
      <c r="Y10" s="39" t="e">
        <f ca="1">AbraStock(API!$C$3,API!$C$4,API!$C$5,$C$10,Y$6,Y$7,"","","")/1000</f>
        <v>#NAME?</v>
      </c>
      <c r="Z10" s="39">
        <f>AbraStock(API!$C$3,API!$C$4,API!$C$5,$C$10,Z$6,Z$7,"","","")/1000</f>
        <v>0</v>
      </c>
      <c r="AA10" s="39">
        <f>AbraStock(API!$C$3,API!$C$4,API!$C$5,$C$10,AA$6,AA$7,"","","")/1000</f>
        <v>0</v>
      </c>
    </row>
    <row r="11" spans="1:190" s="72" customFormat="1" ht="15" customHeight="1" thickBot="1" x14ac:dyDescent="0.25">
      <c r="A11" s="71"/>
      <c r="B11" s="136" t="s">
        <v>40</v>
      </c>
      <c r="C11" s="137"/>
      <c r="D11" s="18" t="e">
        <f t="shared" ref="D11:AA11" ca="1" si="3">SUM(D9:D10)</f>
        <v>#NAME?</v>
      </c>
      <c r="E11" s="19" t="e">
        <f t="shared" ca="1" si="3"/>
        <v>#NAME?</v>
      </c>
      <c r="F11" s="19" t="e">
        <f t="shared" ca="1" si="3"/>
        <v>#NAME?</v>
      </c>
      <c r="G11" s="19" t="e">
        <f t="shared" ca="1" si="3"/>
        <v>#NAME?</v>
      </c>
      <c r="H11" s="19" t="e">
        <f t="shared" ca="1" si="3"/>
        <v>#NAME?</v>
      </c>
      <c r="I11" s="19" t="e">
        <f t="shared" ca="1" si="3"/>
        <v>#NAME?</v>
      </c>
      <c r="J11" s="19" t="e">
        <f t="shared" ca="1" si="3"/>
        <v>#NAME?</v>
      </c>
      <c r="K11" s="19" t="e">
        <f t="shared" ca="1" si="3"/>
        <v>#NAME?</v>
      </c>
      <c r="L11" s="19" t="e">
        <f t="shared" ca="1" si="3"/>
        <v>#NAME?</v>
      </c>
      <c r="M11" s="19" t="e">
        <f t="shared" ca="1" si="3"/>
        <v>#NAME?</v>
      </c>
      <c r="N11" s="19" t="e">
        <f t="shared" ca="1" si="3"/>
        <v>#NAME?</v>
      </c>
      <c r="O11" s="19" t="e">
        <f t="shared" ca="1" si="3"/>
        <v>#NAME?</v>
      </c>
      <c r="P11" s="19" t="e">
        <f t="shared" ca="1" si="3"/>
        <v>#NAME?</v>
      </c>
      <c r="Q11" s="19" t="e">
        <f t="shared" ca="1" si="3"/>
        <v>#NAME?</v>
      </c>
      <c r="R11" s="19" t="e">
        <f t="shared" ca="1" si="3"/>
        <v>#NAME?</v>
      </c>
      <c r="S11" s="19" t="e">
        <f t="shared" ca="1" si="3"/>
        <v>#NAME?</v>
      </c>
      <c r="T11" s="19" t="e">
        <f t="shared" ca="1" si="3"/>
        <v>#NAME?</v>
      </c>
      <c r="U11" s="19" t="e">
        <f t="shared" ca="1" si="3"/>
        <v>#NAME?</v>
      </c>
      <c r="V11" s="19" t="e">
        <f t="shared" ca="1" si="3"/>
        <v>#NAME?</v>
      </c>
      <c r="W11" s="19" t="e">
        <f t="shared" ca="1" si="3"/>
        <v>#NAME?</v>
      </c>
      <c r="X11" s="19" t="e">
        <f t="shared" ca="1" si="3"/>
        <v>#NAME?</v>
      </c>
      <c r="Y11" s="19" t="e">
        <f t="shared" ca="1" si="3"/>
        <v>#NAME?</v>
      </c>
      <c r="Z11" s="19">
        <f t="shared" si="3"/>
        <v>0</v>
      </c>
      <c r="AA11" s="19">
        <f t="shared" si="3"/>
        <v>0</v>
      </c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</row>
    <row r="12" spans="1:190" s="72" customFormat="1" ht="15" customHeight="1" x14ac:dyDescent="0.2">
      <c r="A12" s="71"/>
      <c r="B12" s="113"/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</row>
    <row r="14" spans="1:190" ht="15.75" thickBot="1" x14ac:dyDescent="0.25">
      <c r="B14" s="108" t="s">
        <v>71</v>
      </c>
      <c r="C14" s="108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10"/>
      <c r="V14" s="111"/>
      <c r="W14" s="111"/>
      <c r="X14" s="111"/>
      <c r="Y14" s="111"/>
      <c r="Z14" s="111"/>
      <c r="AA14" s="109"/>
    </row>
    <row r="15" spans="1:190" x14ac:dyDescent="0.2">
      <c r="B15" s="112"/>
      <c r="C15" s="115" t="s">
        <v>69</v>
      </c>
      <c r="D15" s="119" t="e">
        <f ca="1">AbraMoves(API!$C$3,API!$C$4,API!$C$5,"a",D$6,D$7,$C$15,"","","")</f>
        <v>#NAME?</v>
      </c>
      <c r="E15" s="119" t="e">
        <f ca="1">AbraMoves(API!$C$3,API!$C$4,API!$C$5,"a",E$6,E$7,$C$15,"","","")</f>
        <v>#NAME?</v>
      </c>
      <c r="F15" s="119" t="e">
        <f ca="1">AbraMoves(API!$C$3,API!$C$4,API!$C$5,"a",F$6,F$7,$C$15,"","","")</f>
        <v>#NAME?</v>
      </c>
      <c r="G15" s="119" t="e">
        <f ca="1">AbraMoves(API!$C$3,API!$C$4,API!$C$5,"a",G$6,G$7,$C$15,"","","")</f>
        <v>#NAME?</v>
      </c>
      <c r="H15" s="119" t="e">
        <f ca="1">AbraMoves(API!$C$3,API!$C$4,API!$C$5,"a",H$6,H$7,$C$15,"","","")</f>
        <v>#NAME?</v>
      </c>
      <c r="I15" s="119" t="e">
        <f ca="1">AbraMoves(API!$C$3,API!$C$4,API!$C$5,"a",I$6,I$7,$C$15,"","","")</f>
        <v>#NAME?</v>
      </c>
      <c r="J15" s="119" t="e">
        <f ca="1">AbraMoves(API!$C$3,API!$C$4,API!$C$5,"a",J$6,J$7,$C$15,"","","")</f>
        <v>#NAME?</v>
      </c>
      <c r="K15" s="119" t="e">
        <f ca="1">AbraMoves(API!$C$3,API!$C$4,API!$C$5,"a",K$6,K$7,$C$15,"","","")</f>
        <v>#NAME?</v>
      </c>
      <c r="L15" s="119" t="e">
        <f ca="1">AbraMoves(API!$C$3,API!$C$4,API!$C$5,"a",L$6,L$7,$C$15,"","","")</f>
        <v>#NAME?</v>
      </c>
      <c r="M15" s="119" t="e">
        <f ca="1">AbraMoves(API!$C$3,API!$C$4,API!$C$5,"a",M$6,M$7,$C$15,"","","")</f>
        <v>#NAME?</v>
      </c>
      <c r="N15" s="119" t="e">
        <f ca="1">AbraMoves(API!$C$3,API!$C$4,API!$C$5,"a",N$6,N$7,$C$15,"","","")</f>
        <v>#NAME?</v>
      </c>
      <c r="O15" s="119" t="e">
        <f ca="1">AbraMoves(API!$C$3,API!$C$4,API!$C$5,"a",O$6,O$7,$C$15,"","","")</f>
        <v>#NAME?</v>
      </c>
      <c r="P15" s="119" t="e">
        <f ca="1">AbraMoves(API!$C$3,API!$C$4,API!$C$5,"a",P$6,P$7,$C$15,"","","")</f>
        <v>#NAME?</v>
      </c>
      <c r="Q15" s="119" t="e">
        <f ca="1">AbraMoves(API!$C$3,API!$C$4,API!$C$5,"a",Q$6,Q$7,$C$15,"","","")</f>
        <v>#NAME?</v>
      </c>
      <c r="R15" s="119" t="e">
        <f ca="1">AbraMoves(API!$C$3,API!$C$4,API!$C$5,"a",R$6,R$7,$C$15,"","","")</f>
        <v>#NAME?</v>
      </c>
      <c r="S15" s="119" t="e">
        <f ca="1">AbraMoves(API!$C$3,API!$C$4,API!$C$5,"a",S$6,S$7,$C$15,"","","")</f>
        <v>#NAME?</v>
      </c>
      <c r="T15" s="119" t="e">
        <f ca="1">AbraMoves(API!$C$3,API!$C$4,API!$C$5,"a",T$6,T$7,$C$15,"","","")</f>
        <v>#NAME?</v>
      </c>
      <c r="U15" s="119" t="e">
        <f ca="1">AbraMoves(API!$C$3,API!$C$4,API!$C$5,"a",U$6,U$7,$C$15,"","","")</f>
        <v>#NAME?</v>
      </c>
      <c r="V15" s="119" t="e">
        <f ca="1">AbraMoves(API!$C$3,API!$C$4,API!$C$5,"a",V$6,V$7,$C$15,"","","")</f>
        <v>#NAME?</v>
      </c>
      <c r="W15" s="119" t="e">
        <f ca="1">AbraMoves(API!$C$3,API!$C$4,API!$C$5,"a",W$6,W$7,$C$15,"","","")</f>
        <v>#NAME?</v>
      </c>
      <c r="X15" s="119" t="e">
        <f ca="1">AbraMoves(API!$C$3,API!$C$4,API!$C$5,"a",X$6,X$7,$C$15,"","","")</f>
        <v>#NAME?</v>
      </c>
      <c r="Y15" s="119" t="e">
        <f ca="1">AbraMoves(API!$C$3,API!$C$4,API!$C$5,"a",Y$6,Y$7,$C$15,"","","")</f>
        <v>#NAME?</v>
      </c>
      <c r="Z15" s="119">
        <f>AbraMoves(API!$C$3,API!$C$4,API!$C$5,"a",Z$6,Z$7,$C$15,"","","")</f>
        <v>0</v>
      </c>
      <c r="AA15" s="119">
        <f>AbraMoves(API!$C$3,API!$C$4,API!$C$5,"a",AA$6,AA$7,$C$15,"","","")</f>
        <v>0</v>
      </c>
      <c r="AB15" s="117"/>
    </row>
    <row r="16" spans="1:190" ht="15.75" thickBot="1" x14ac:dyDescent="0.25">
      <c r="B16" s="41"/>
      <c r="C16" s="116" t="s">
        <v>70</v>
      </c>
      <c r="D16" s="119" t="e">
        <f ca="1">AbraMoves(API!$C$3,API!$C$4,API!$C$5,"a",D$6,D$7,$C$16,"","","")</f>
        <v>#NAME?</v>
      </c>
      <c r="E16" s="119" t="e">
        <f ca="1">AbraMoves(API!$C$3,API!$C$4,API!$C$5,"a",E$6,E$7,$C$16,"","","")</f>
        <v>#NAME?</v>
      </c>
      <c r="F16" s="119" t="e">
        <f ca="1">AbraMoves(API!$C$3,API!$C$4,API!$C$5,"a",F$6,F$7,$C$16,"","","")</f>
        <v>#NAME?</v>
      </c>
      <c r="G16" s="119" t="e">
        <f ca="1">AbraMoves(API!$C$3,API!$C$4,API!$C$5,"a",G$6,G$7,$C$16,"","","")</f>
        <v>#NAME?</v>
      </c>
      <c r="H16" s="119" t="e">
        <f ca="1">AbraMoves(API!$C$3,API!$C$4,API!$C$5,"a",H$6,H$7,$C$16,"","","")</f>
        <v>#NAME?</v>
      </c>
      <c r="I16" s="119" t="e">
        <f ca="1">AbraMoves(API!$C$3,API!$C$4,API!$C$5,"a",I$6,I$7,$C$16,"","","")</f>
        <v>#NAME?</v>
      </c>
      <c r="J16" s="119" t="e">
        <f ca="1">AbraMoves(API!$C$3,API!$C$4,API!$C$5,"a",J$6,J$7,$C$16,"","","")</f>
        <v>#NAME?</v>
      </c>
      <c r="K16" s="119" t="e">
        <f ca="1">AbraMoves(API!$C$3,API!$C$4,API!$C$5,"a",K$6,K$7,$C$16,"","","")</f>
        <v>#NAME?</v>
      </c>
      <c r="L16" s="119" t="e">
        <f ca="1">AbraMoves(API!$C$3,API!$C$4,API!$C$5,"a",L$6,L$7,$C$16,"","","")</f>
        <v>#NAME?</v>
      </c>
      <c r="M16" s="119" t="e">
        <f ca="1">AbraMoves(API!$C$3,API!$C$4,API!$C$5,"a",M$6,M$7,$C$16,"","","")</f>
        <v>#NAME?</v>
      </c>
      <c r="N16" s="119" t="e">
        <f ca="1">AbraMoves(API!$C$3,API!$C$4,API!$C$5,"a",N$6,N$7,$C$16,"","","")</f>
        <v>#NAME?</v>
      </c>
      <c r="O16" s="119" t="e">
        <f ca="1">AbraMoves(API!$C$3,API!$C$4,API!$C$5,"a",O$6,O$7,$C$16,"","","")</f>
        <v>#NAME?</v>
      </c>
      <c r="P16" s="119" t="e">
        <f ca="1">AbraMoves(API!$C$3,API!$C$4,API!$C$5,"a",P$6,P$7,$C$16,"","","")</f>
        <v>#NAME?</v>
      </c>
      <c r="Q16" s="119" t="e">
        <f ca="1">AbraMoves(API!$C$3,API!$C$4,API!$C$5,"a",Q$6,Q$7,$C$16,"","","")</f>
        <v>#NAME?</v>
      </c>
      <c r="R16" s="119" t="e">
        <f ca="1">AbraMoves(API!$C$3,API!$C$4,API!$C$5,"a",R$6,R$7,$C$16,"","","")</f>
        <v>#NAME?</v>
      </c>
      <c r="S16" s="119" t="e">
        <f ca="1">AbraMoves(API!$C$3,API!$C$4,API!$C$5,"a",S$6,S$7,$C$16,"","","")</f>
        <v>#NAME?</v>
      </c>
      <c r="T16" s="119" t="e">
        <f ca="1">AbraMoves(API!$C$3,API!$C$4,API!$C$5,"a",T$6,T$7,$C$16,"","","")</f>
        <v>#NAME?</v>
      </c>
      <c r="U16" s="119" t="e">
        <f ca="1">AbraMoves(API!$C$3,API!$C$4,API!$C$5,"a",U$6,U$7,$C$16,"","","")</f>
        <v>#NAME?</v>
      </c>
      <c r="V16" s="119" t="e">
        <f ca="1">AbraMoves(API!$C$3,API!$C$4,API!$C$5,"a",V$6,V$7,$C$16,"","","")</f>
        <v>#NAME?</v>
      </c>
      <c r="W16" s="119" t="e">
        <f ca="1">AbraMoves(API!$C$3,API!$C$4,API!$C$5,"a",W$6,W$7,$C$16,"","","")</f>
        <v>#NAME?</v>
      </c>
      <c r="X16" s="119" t="e">
        <f ca="1">AbraMoves(API!$C$3,API!$C$4,API!$C$5,"a",X$6,X$7,$C$16,"","","")</f>
        <v>#NAME?</v>
      </c>
      <c r="Y16" s="119" t="e">
        <f ca="1">AbraMoves(API!$C$3,API!$C$4,API!$C$5,"a",Y$6,Y$7,$C$16,"","","")</f>
        <v>#NAME?</v>
      </c>
      <c r="Z16" s="119">
        <f>AbraMoves(API!$C$3,API!$C$4,API!$C$5,"a",Z$6,Z$7,$C$16,"","","")</f>
        <v>0</v>
      </c>
      <c r="AA16" s="119">
        <f>AbraMoves(API!$C$3,API!$C$4,API!$C$5,"a",AA$6,AA$7,$C$16,"","","")</f>
        <v>0</v>
      </c>
      <c r="AB16" s="117"/>
    </row>
    <row r="17" spans="2:27" ht="15.75" thickBot="1" x14ac:dyDescent="0.25">
      <c r="B17" s="136" t="s">
        <v>40</v>
      </c>
      <c r="C17" s="137"/>
      <c r="D17" s="118" t="e">
        <f ca="1">SUM(D15:D16)</f>
        <v>#NAME?</v>
      </c>
      <c r="E17" s="118" t="e">
        <f t="shared" ref="E17:AA17" ca="1" si="4">SUM(E15:E16)</f>
        <v>#NAME?</v>
      </c>
      <c r="F17" s="118" t="e">
        <f t="shared" ca="1" si="4"/>
        <v>#NAME?</v>
      </c>
      <c r="G17" s="118" t="e">
        <f t="shared" ca="1" si="4"/>
        <v>#NAME?</v>
      </c>
      <c r="H17" s="118" t="e">
        <f t="shared" ca="1" si="4"/>
        <v>#NAME?</v>
      </c>
      <c r="I17" s="118" t="e">
        <f t="shared" ca="1" si="4"/>
        <v>#NAME?</v>
      </c>
      <c r="J17" s="118" t="e">
        <f t="shared" ca="1" si="4"/>
        <v>#NAME?</v>
      </c>
      <c r="K17" s="118" t="e">
        <f t="shared" ca="1" si="4"/>
        <v>#NAME?</v>
      </c>
      <c r="L17" s="118" t="e">
        <f t="shared" ca="1" si="4"/>
        <v>#NAME?</v>
      </c>
      <c r="M17" s="118" t="e">
        <f t="shared" ca="1" si="4"/>
        <v>#NAME?</v>
      </c>
      <c r="N17" s="118" t="e">
        <f t="shared" ca="1" si="4"/>
        <v>#NAME?</v>
      </c>
      <c r="O17" s="118" t="e">
        <f t="shared" ca="1" si="4"/>
        <v>#NAME?</v>
      </c>
      <c r="P17" s="118" t="e">
        <f t="shared" ca="1" si="4"/>
        <v>#NAME?</v>
      </c>
      <c r="Q17" s="118" t="e">
        <f t="shared" ca="1" si="4"/>
        <v>#NAME?</v>
      </c>
      <c r="R17" s="118" t="e">
        <f t="shared" ca="1" si="4"/>
        <v>#NAME?</v>
      </c>
      <c r="S17" s="118" t="e">
        <f t="shared" ca="1" si="4"/>
        <v>#NAME?</v>
      </c>
      <c r="T17" s="118" t="e">
        <f t="shared" ca="1" si="4"/>
        <v>#NAME?</v>
      </c>
      <c r="U17" s="118" t="e">
        <f t="shared" ca="1" si="4"/>
        <v>#NAME?</v>
      </c>
      <c r="V17" s="118" t="e">
        <f t="shared" ca="1" si="4"/>
        <v>#NAME?</v>
      </c>
      <c r="W17" s="118" t="e">
        <f t="shared" ca="1" si="4"/>
        <v>#NAME?</v>
      </c>
      <c r="X17" s="118" t="e">
        <f t="shared" ca="1" si="4"/>
        <v>#NAME?</v>
      </c>
      <c r="Y17" s="118" t="e">
        <f t="shared" ca="1" si="4"/>
        <v>#NAME?</v>
      </c>
      <c r="Z17" s="118">
        <f t="shared" si="4"/>
        <v>0</v>
      </c>
      <c r="AA17" s="118">
        <f t="shared" si="4"/>
        <v>0</v>
      </c>
    </row>
    <row r="19" spans="2:27" x14ac:dyDescent="0.2">
      <c r="B19" s="120" t="s">
        <v>79</v>
      </c>
    </row>
    <row r="21" spans="2:27" x14ac:dyDescent="0.2">
      <c r="B21" s="122" t="s">
        <v>77</v>
      </c>
    </row>
    <row r="22" spans="2:27" x14ac:dyDescent="0.2">
      <c r="B22" s="123"/>
    </row>
    <row r="23" spans="2:27" x14ac:dyDescent="0.2">
      <c r="B23" s="122" t="s">
        <v>78</v>
      </c>
    </row>
  </sheetData>
  <mergeCells count="3">
    <mergeCell ref="B17:C17"/>
    <mergeCell ref="B6:C7"/>
    <mergeCell ref="B11:C11"/>
  </mergeCells>
  <pageMargins left="0.7" right="0.7" top="0.78740157499999996" bottom="0.78740157499999996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8">
              <controlPr defaultSize="0" print="0" autoFill="0" autoPict="0" macro="[0]!Recalculate_6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H19"/>
  <sheetViews>
    <sheetView zoomScale="130" zoomScaleNormal="130" zoomScalePageLayoutView="130" workbookViewId="0">
      <selection activeCell="D9" sqref="D9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11.28515625" style="59" customWidth="1" outlineLevel="1"/>
    <col min="5" max="5" width="10.140625" style="59" customWidth="1" outlineLevel="1"/>
    <col min="6" max="6" width="10.42578125" style="59" customWidth="1" outlineLevel="1"/>
    <col min="7" max="7" width="11.85546875" style="59" customWidth="1" outlineLevel="1"/>
    <col min="8" max="8" width="10.7109375" style="59" customWidth="1" outlineLevel="1"/>
    <col min="9" max="9" width="11.710937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28" width="15.7109375" style="59" customWidth="1"/>
    <col min="29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73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/>
      <c r="C6" s="143"/>
      <c r="D6" s="22">
        <f>D7-IF(MONTH(D7)=2,IF(OR(YEAR(D7)=2008,YEAR(D7)=2012,YEAR(D7)=2016),29,28),IF(OR(MONTH(D7)=4,MONTH(D7)=6,MONTH(D7)=9,MONTH(D7)=11),30,31))+1</f>
        <v>42736</v>
      </c>
      <c r="E6" s="23">
        <f t="shared" ref="E6:AA6" si="0">E7-IF(MONTH(E7)=2,IF(OR(YEAR(E7)=2008,YEAR(E7)=2012,YEAR(E7)=2016),29,28),IF(OR(MONTH(E7)=4,MONTH(E7)=6,MONTH(E7)=9,MONTH(E7)=11),30,31))+1</f>
        <v>42767</v>
      </c>
      <c r="F6" s="23">
        <f t="shared" si="0"/>
        <v>42795</v>
      </c>
      <c r="G6" s="23">
        <f t="shared" si="0"/>
        <v>42826</v>
      </c>
      <c r="H6" s="23">
        <f t="shared" si="0"/>
        <v>42856</v>
      </c>
      <c r="I6" s="23">
        <f t="shared" si="0"/>
        <v>42887</v>
      </c>
      <c r="J6" s="23">
        <f t="shared" si="0"/>
        <v>42917</v>
      </c>
      <c r="K6" s="23">
        <f t="shared" si="0"/>
        <v>42948</v>
      </c>
      <c r="L6" s="23">
        <f t="shared" si="0"/>
        <v>42979</v>
      </c>
      <c r="M6" s="23">
        <f t="shared" si="0"/>
        <v>43009</v>
      </c>
      <c r="N6" s="23">
        <f t="shared" si="0"/>
        <v>43040</v>
      </c>
      <c r="O6" s="23">
        <f t="shared" si="0"/>
        <v>43070</v>
      </c>
      <c r="P6" s="23">
        <f t="shared" si="0"/>
        <v>43101</v>
      </c>
      <c r="Q6" s="23">
        <f t="shared" si="0"/>
        <v>43132</v>
      </c>
      <c r="R6" s="23">
        <f t="shared" si="0"/>
        <v>43160</v>
      </c>
      <c r="S6" s="23">
        <f t="shared" si="0"/>
        <v>43191</v>
      </c>
      <c r="T6" s="23">
        <f t="shared" si="0"/>
        <v>43221</v>
      </c>
      <c r="U6" s="23">
        <f t="shared" si="0"/>
        <v>43252</v>
      </c>
      <c r="V6" s="23">
        <f t="shared" si="0"/>
        <v>43282</v>
      </c>
      <c r="W6" s="23">
        <f t="shared" si="0"/>
        <v>43313</v>
      </c>
      <c r="X6" s="23">
        <f t="shared" si="0"/>
        <v>43344</v>
      </c>
      <c r="Y6" s="23">
        <f t="shared" si="0"/>
        <v>43374</v>
      </c>
      <c r="Z6" s="23">
        <f t="shared" si="0"/>
        <v>43405</v>
      </c>
      <c r="AA6" s="23">
        <f t="shared" si="0"/>
        <v>43435</v>
      </c>
    </row>
    <row r="7" spans="1:190" s="60" customFormat="1" ht="12" customHeight="1" thickBot="1" x14ac:dyDescent="0.25">
      <c r="A7" s="69"/>
      <c r="B7" s="144"/>
      <c r="C7" s="145"/>
      <c r="D7" s="26">
        <f t="shared" ref="D7:Z7" si="1">E6-1</f>
        <v>42766</v>
      </c>
      <c r="E7" s="27">
        <f t="shared" si="1"/>
        <v>42794</v>
      </c>
      <c r="F7" s="27">
        <f t="shared" si="1"/>
        <v>42825</v>
      </c>
      <c r="G7" s="27">
        <f t="shared" si="1"/>
        <v>42855</v>
      </c>
      <c r="H7" s="27">
        <f t="shared" si="1"/>
        <v>42886</v>
      </c>
      <c r="I7" s="27">
        <f t="shared" si="1"/>
        <v>42916</v>
      </c>
      <c r="J7" s="27">
        <f t="shared" si="1"/>
        <v>42947</v>
      </c>
      <c r="K7" s="27">
        <f t="shared" si="1"/>
        <v>42978</v>
      </c>
      <c r="L7" s="27">
        <f t="shared" si="1"/>
        <v>43008</v>
      </c>
      <c r="M7" s="27">
        <f t="shared" si="1"/>
        <v>43039</v>
      </c>
      <c r="N7" s="27">
        <f t="shared" si="1"/>
        <v>43069</v>
      </c>
      <c r="O7" s="27">
        <f t="shared" si="1"/>
        <v>43100</v>
      </c>
      <c r="P7" s="27">
        <f t="shared" si="1"/>
        <v>43131</v>
      </c>
      <c r="Q7" s="27">
        <f t="shared" si="1"/>
        <v>43159</v>
      </c>
      <c r="R7" s="27">
        <f t="shared" si="1"/>
        <v>43190</v>
      </c>
      <c r="S7" s="27">
        <f t="shared" si="1"/>
        <v>43220</v>
      </c>
      <c r="T7" s="27">
        <f t="shared" si="1"/>
        <v>43251</v>
      </c>
      <c r="U7" s="27">
        <f t="shared" si="1"/>
        <v>43281</v>
      </c>
      <c r="V7" s="27">
        <f t="shared" si="1"/>
        <v>43312</v>
      </c>
      <c r="W7" s="27">
        <f t="shared" si="1"/>
        <v>43343</v>
      </c>
      <c r="X7" s="27">
        <f t="shared" si="1"/>
        <v>43373</v>
      </c>
      <c r="Y7" s="27">
        <f t="shared" si="1"/>
        <v>43404</v>
      </c>
      <c r="Z7" s="27">
        <f t="shared" si="1"/>
        <v>43434</v>
      </c>
      <c r="AA7" s="27">
        <f>C3</f>
        <v>43465</v>
      </c>
    </row>
    <row r="8" spans="1:190" s="61" customFormat="1" ht="12" customHeight="1" thickBot="1" x14ac:dyDescent="0.25">
      <c r="A8" s="70"/>
      <c r="B8" s="29" t="s">
        <v>1</v>
      </c>
      <c r="C8" s="30" t="s">
        <v>120</v>
      </c>
      <c r="D8" s="31">
        <f t="shared" ref="D8:AA8" si="2">D6</f>
        <v>42736</v>
      </c>
      <c r="E8" s="32">
        <f t="shared" si="2"/>
        <v>42767</v>
      </c>
      <c r="F8" s="32">
        <f t="shared" si="2"/>
        <v>42795</v>
      </c>
      <c r="G8" s="33">
        <f t="shared" si="2"/>
        <v>42826</v>
      </c>
      <c r="H8" s="33">
        <f t="shared" si="2"/>
        <v>42856</v>
      </c>
      <c r="I8" s="33">
        <f t="shared" si="2"/>
        <v>42887</v>
      </c>
      <c r="J8" s="33">
        <f t="shared" si="2"/>
        <v>42917</v>
      </c>
      <c r="K8" s="33">
        <f t="shared" si="2"/>
        <v>42948</v>
      </c>
      <c r="L8" s="33">
        <f t="shared" si="2"/>
        <v>42979</v>
      </c>
      <c r="M8" s="33">
        <f t="shared" si="2"/>
        <v>43009</v>
      </c>
      <c r="N8" s="33">
        <f t="shared" si="2"/>
        <v>43040</v>
      </c>
      <c r="O8" s="33">
        <f t="shared" si="2"/>
        <v>43070</v>
      </c>
      <c r="P8" s="33">
        <f t="shared" si="2"/>
        <v>43101</v>
      </c>
      <c r="Q8" s="33">
        <f t="shared" si="2"/>
        <v>43132</v>
      </c>
      <c r="R8" s="33">
        <f t="shared" si="2"/>
        <v>43160</v>
      </c>
      <c r="S8" s="33">
        <f t="shared" si="2"/>
        <v>43191</v>
      </c>
      <c r="T8" s="33">
        <f t="shared" si="2"/>
        <v>43221</v>
      </c>
      <c r="U8" s="33">
        <f t="shared" si="2"/>
        <v>43252</v>
      </c>
      <c r="V8" s="33">
        <f t="shared" si="2"/>
        <v>43282</v>
      </c>
      <c r="W8" s="33">
        <f t="shared" si="2"/>
        <v>43313</v>
      </c>
      <c r="X8" s="33">
        <f t="shared" si="2"/>
        <v>43344</v>
      </c>
      <c r="Y8" s="33">
        <f t="shared" si="2"/>
        <v>43374</v>
      </c>
      <c r="Z8" s="33">
        <f t="shared" si="2"/>
        <v>43405</v>
      </c>
      <c r="AA8" s="33">
        <f t="shared" si="2"/>
        <v>43435</v>
      </c>
    </row>
    <row r="9" spans="1:190" ht="15" customHeight="1" thickBot="1" x14ac:dyDescent="0.25">
      <c r="B9" s="37"/>
      <c r="C9" s="38" t="s">
        <v>130</v>
      </c>
      <c r="D9" s="39">
        <f>AbraSale(API!$C$3,API!$C$4,API!$C$5,$C$9,D$6,D$7)</f>
        <v>0</v>
      </c>
      <c r="E9" s="39" t="e">
        <f ca="1">AbraSale(API!$C$3,API!$C$4,API!$C$5,$C$9,E$6,E$7)</f>
        <v>#NAME?</v>
      </c>
      <c r="F9" s="39" t="e">
        <f ca="1">AbraSale(API!$C$3,API!$C$4,API!$C$5,$C$9,F$6,F$7)</f>
        <v>#NAME?</v>
      </c>
      <c r="G9" s="39" t="e">
        <f ca="1">AbraSale(API!$C$3,API!$C$4,API!$C$5,$C$9,G$6,G$7)</f>
        <v>#NAME?</v>
      </c>
      <c r="H9" s="39" t="e">
        <f ca="1">AbraSale(API!$C$3,API!$C$4,API!$C$5,$C$9,H$6,H$7)</f>
        <v>#NAME?</v>
      </c>
      <c r="I9" s="39" t="e">
        <f ca="1">AbraSale(API!$C$3,API!$C$4,API!$C$5,$C$9,I$6,I$7)</f>
        <v>#NAME?</v>
      </c>
      <c r="J9" s="39" t="e">
        <f ca="1">AbraSale(API!$C$3,API!$C$4,API!$C$5,$C$9,J$6,J$7)</f>
        <v>#NAME?</v>
      </c>
      <c r="K9" s="39" t="e">
        <f ca="1">AbraSale(API!$C$3,API!$C$4,API!$C$5,$C$9,K$6,K$7)</f>
        <v>#NAME?</v>
      </c>
      <c r="L9" s="39" t="e">
        <f ca="1">AbraSale(API!$C$3,API!$C$4,API!$C$5,$C$9,L$6,L$7)</f>
        <v>#NAME?</v>
      </c>
      <c r="M9" s="39" t="e">
        <f ca="1">AbraSale(API!$C$3,API!$C$4,API!$C$5,$C$9,M$6,M$7)</f>
        <v>#NAME?</v>
      </c>
      <c r="N9" s="39" t="e">
        <f ca="1">AbraSale(API!$C$3,API!$C$4,API!$C$5,$C$9,N$6,N$7)</f>
        <v>#NAME?</v>
      </c>
      <c r="O9" s="39" t="e">
        <f ca="1">AbraSale(API!$C$3,API!$C$4,API!$C$5,$C$9,O$6,O$7)</f>
        <v>#NAME?</v>
      </c>
      <c r="P9" s="39" t="e">
        <f ca="1">AbraSale(API!$C$3,API!$C$4,API!$C$5,$C$9,P$6,P$7)</f>
        <v>#NAME?</v>
      </c>
      <c r="Q9" s="39" t="e">
        <f ca="1">AbraSale(API!$C$3,API!$C$4,API!$C$5,$C$9,Q$6,Q$7)</f>
        <v>#NAME?</v>
      </c>
      <c r="R9" s="39" t="e">
        <f ca="1">AbraSale(API!$C$3,API!$C$4,API!$C$5,$C$9,R$6,R$7)</f>
        <v>#NAME?</v>
      </c>
      <c r="S9" s="39" t="e">
        <f ca="1">AbraSale(API!$C$3,API!$C$4,API!$C$5,$C$9,S$6,S$7)</f>
        <v>#NAME?</v>
      </c>
      <c r="T9" s="39" t="e">
        <f ca="1">AbraSale(API!$C$3,API!$C$4,API!$C$5,$C$9,T$6,T$7)</f>
        <v>#NAME?</v>
      </c>
      <c r="U9" s="39" t="e">
        <f ca="1">AbraSale(API!$C$3,API!$C$4,API!$C$5,$C$9,U$6,U$7)</f>
        <v>#NAME?</v>
      </c>
      <c r="V9" s="39" t="e">
        <f ca="1">AbraSale(API!$C$3,API!$C$4,API!$C$5,$C$9,V$6,V$7)</f>
        <v>#NAME?</v>
      </c>
      <c r="W9" s="39" t="e">
        <f ca="1">AbraSale(API!$C$3,API!$C$4,API!$C$5,$C$9,W$6,W$7)</f>
        <v>#NAME?</v>
      </c>
      <c r="X9" s="39" t="e">
        <f ca="1">AbraSale(API!$C$3,API!$C$4,API!$C$5,$C$9,X$6,X$7)</f>
        <v>#NAME?</v>
      </c>
      <c r="Y9" s="39">
        <f>AbraSale(API!$C$3,API!$C$4,API!$C$5,$C$9,Y$6,Y$7)</f>
        <v>0</v>
      </c>
      <c r="Z9" s="39">
        <f>AbraSale(API!$C$3,API!$C$4,API!$C$5,$C$9,Z$6,Z$7)</f>
        <v>0</v>
      </c>
      <c r="AA9" s="39">
        <f>AbraSale(API!$C$3,API!$C$4,API!$C$5,$C$9,AA$6,AA$7)</f>
        <v>0</v>
      </c>
      <c r="AB9" s="121"/>
      <c r="AC9" s="61"/>
    </row>
    <row r="10" spans="1:190" ht="15" customHeight="1" thickBot="1" x14ac:dyDescent="0.25">
      <c r="B10" s="41"/>
      <c r="C10" s="42" t="s">
        <v>57</v>
      </c>
      <c r="D10" s="39" t="e">
        <f ca="1">AbraSale(API!$C$3,API!$C$4,API!$C$5,$C$10,D$6,D$7)</f>
        <v>#NAME?</v>
      </c>
      <c r="E10" s="39" t="e">
        <f ca="1">AbraSale(API!$C$3,API!$C$4,API!$C$5,$C$10,E$6,E$7)</f>
        <v>#NAME?</v>
      </c>
      <c r="F10" s="39" t="e">
        <f ca="1">AbraSale(API!$C$3,API!$C$4,API!$C$5,$C$10,F$6,F$7)</f>
        <v>#NAME?</v>
      </c>
      <c r="G10" s="39" t="e">
        <f ca="1">AbraSale(API!$C$3,API!$C$4,API!$C$5,$C$10,G$6,G$7)</f>
        <v>#NAME?</v>
      </c>
      <c r="H10" s="39" t="e">
        <f ca="1">AbraSale(API!$C$3,API!$C$4,API!$C$5,$C$10,H$6,H$7)</f>
        <v>#NAME?</v>
      </c>
      <c r="I10" s="39" t="e">
        <f ca="1">AbraSale(API!$C$3,API!$C$4,API!$C$5,$C$10,I$6,I$7)</f>
        <v>#NAME?</v>
      </c>
      <c r="J10" s="39" t="e">
        <f ca="1">AbraSale(API!$C$3,API!$C$4,API!$C$5,$C$10,J$6,J$7)</f>
        <v>#NAME?</v>
      </c>
      <c r="K10" s="39" t="e">
        <f ca="1">AbraSale(API!$C$3,API!$C$4,API!$C$5,$C$10,K$6,K$7)</f>
        <v>#NAME?</v>
      </c>
      <c r="L10" s="39" t="e">
        <f ca="1">AbraSale(API!$C$3,API!$C$4,API!$C$5,$C$10,L$6,L$7)</f>
        <v>#NAME?</v>
      </c>
      <c r="M10" s="39" t="e">
        <f ca="1">AbraSale(API!$C$3,API!$C$4,API!$C$5,$C$10,M$6,M$7)</f>
        <v>#NAME?</v>
      </c>
      <c r="N10" s="39" t="e">
        <f ca="1">AbraSale(API!$C$3,API!$C$4,API!$C$5,$C$10,N$6,N$7)</f>
        <v>#NAME?</v>
      </c>
      <c r="O10" s="39" t="e">
        <f ca="1">AbraSale(API!$C$3,API!$C$4,API!$C$5,$C$10,O$6,O$7)</f>
        <v>#NAME?</v>
      </c>
      <c r="P10" s="39" t="e">
        <f ca="1">AbraSale(API!$C$3,API!$C$4,API!$C$5,$C$10,P$6,P$7)</f>
        <v>#NAME?</v>
      </c>
      <c r="Q10" s="39" t="e">
        <f ca="1">AbraSale(API!$C$3,API!$C$4,API!$C$5,$C$10,Q$6,Q$7)</f>
        <v>#NAME?</v>
      </c>
      <c r="R10" s="39" t="e">
        <f ca="1">AbraSale(API!$C$3,API!$C$4,API!$C$5,$C$10,R$6,R$7)</f>
        <v>#NAME?</v>
      </c>
      <c r="S10" s="39" t="e">
        <f ca="1">AbraSale(API!$C$3,API!$C$4,API!$C$5,$C$10,S$6,S$7)</f>
        <v>#NAME?</v>
      </c>
      <c r="T10" s="39" t="e">
        <f ca="1">AbraSale(API!$C$3,API!$C$4,API!$C$5,$C$10,T$6,T$7)</f>
        <v>#NAME?</v>
      </c>
      <c r="U10" s="39" t="e">
        <f ca="1">AbraSale(API!$C$3,API!$C$4,API!$C$5,$C$10,U$6,U$7)</f>
        <v>#NAME?</v>
      </c>
      <c r="V10" s="39" t="e">
        <f ca="1">AbraSale(API!$C$3,API!$C$4,API!$C$5,$C$10,V$6,V$7)</f>
        <v>#NAME?</v>
      </c>
      <c r="W10" s="39" t="e">
        <f ca="1">AbraSale(API!$C$3,API!$C$4,API!$C$5,$C$10,W$6,W$7)</f>
        <v>#NAME?</v>
      </c>
      <c r="X10" s="39" t="e">
        <f ca="1">AbraSale(API!$C$3,API!$C$4,API!$C$5,$C$10,X$6,X$7)</f>
        <v>#NAME?</v>
      </c>
      <c r="Y10" s="39">
        <f>AbraSale(API!$C$3,API!$C$4,API!$C$5,$C$10,Y$6,Y$7)</f>
        <v>0</v>
      </c>
      <c r="Z10" s="39">
        <f>AbraSale(API!$C$3,API!$C$4,API!$C$5,$C$10,Z$6,Z$7)</f>
        <v>0</v>
      </c>
      <c r="AA10" s="39">
        <f>AbraSale(API!$C$3,API!$C$4,API!$C$5,$C$10,AA$6,AA$7)</f>
        <v>0</v>
      </c>
      <c r="AB10" s="121"/>
    </row>
    <row r="11" spans="1:190" s="72" customFormat="1" ht="15" customHeight="1" thickBot="1" x14ac:dyDescent="0.25">
      <c r="A11" s="71"/>
      <c r="B11" s="136" t="s">
        <v>131</v>
      </c>
      <c r="C11" s="137"/>
      <c r="D11" s="18" t="e">
        <f ca="1">D10/D9</f>
        <v>#NAME?</v>
      </c>
      <c r="E11" s="18" t="e">
        <f t="shared" ref="E11:AA11" ca="1" si="3">E10/E9</f>
        <v>#NAME?</v>
      </c>
      <c r="F11" s="18" t="e">
        <f t="shared" ca="1" si="3"/>
        <v>#NAME?</v>
      </c>
      <c r="G11" s="18" t="e">
        <f t="shared" ca="1" si="3"/>
        <v>#NAME?</v>
      </c>
      <c r="H11" s="18" t="e">
        <f t="shared" ca="1" si="3"/>
        <v>#NAME?</v>
      </c>
      <c r="I11" s="18" t="e">
        <f t="shared" ca="1" si="3"/>
        <v>#NAME?</v>
      </c>
      <c r="J11" s="18" t="e">
        <f t="shared" ca="1" si="3"/>
        <v>#NAME?</v>
      </c>
      <c r="K11" s="18" t="e">
        <f t="shared" ca="1" si="3"/>
        <v>#NAME?</v>
      </c>
      <c r="L11" s="18" t="e">
        <f t="shared" ca="1" si="3"/>
        <v>#NAME?</v>
      </c>
      <c r="M11" s="18" t="e">
        <f t="shared" ca="1" si="3"/>
        <v>#NAME?</v>
      </c>
      <c r="N11" s="18" t="e">
        <f t="shared" ca="1" si="3"/>
        <v>#NAME?</v>
      </c>
      <c r="O11" s="18" t="e">
        <f t="shared" ca="1" si="3"/>
        <v>#NAME?</v>
      </c>
      <c r="P11" s="18" t="e">
        <f t="shared" ca="1" si="3"/>
        <v>#NAME?</v>
      </c>
      <c r="Q11" s="18" t="e">
        <f t="shared" ca="1" si="3"/>
        <v>#NAME?</v>
      </c>
      <c r="R11" s="18" t="e">
        <f t="shared" ca="1" si="3"/>
        <v>#NAME?</v>
      </c>
      <c r="S11" s="18" t="e">
        <f t="shared" ca="1" si="3"/>
        <v>#NAME?</v>
      </c>
      <c r="T11" s="18" t="e">
        <f t="shared" ca="1" si="3"/>
        <v>#NAME?</v>
      </c>
      <c r="U11" s="18" t="e">
        <f t="shared" ca="1" si="3"/>
        <v>#NAME?</v>
      </c>
      <c r="V11" s="18" t="e">
        <f t="shared" ca="1" si="3"/>
        <v>#NAME?</v>
      </c>
      <c r="W11" s="18" t="e">
        <f t="shared" ca="1" si="3"/>
        <v>#NAME?</v>
      </c>
      <c r="X11" s="18" t="e">
        <f t="shared" ca="1" si="3"/>
        <v>#NAME?</v>
      </c>
      <c r="Y11" s="18" t="e">
        <f t="shared" si="3"/>
        <v>#DIV/0!</v>
      </c>
      <c r="Z11" s="18" t="e">
        <f t="shared" si="3"/>
        <v>#DIV/0!</v>
      </c>
      <c r="AA11" s="18" t="e">
        <f t="shared" si="3"/>
        <v>#DIV/0!</v>
      </c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</row>
    <row r="12" spans="1:190" s="72" customFormat="1" ht="15" customHeight="1" x14ac:dyDescent="0.2">
      <c r="A12" s="71"/>
      <c r="B12" s="113"/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</row>
    <row r="13" spans="1:190" x14ac:dyDescent="0.2">
      <c r="B13" s="120" t="s">
        <v>72</v>
      </c>
    </row>
    <row r="15" spans="1:190" x14ac:dyDescent="0.2">
      <c r="B15" s="120" t="s">
        <v>79</v>
      </c>
    </row>
    <row r="17" spans="2:2" x14ac:dyDescent="0.2">
      <c r="B17" s="122" t="s">
        <v>77</v>
      </c>
    </row>
    <row r="18" spans="2:2" x14ac:dyDescent="0.2">
      <c r="B18" s="123"/>
    </row>
    <row r="19" spans="2:2" x14ac:dyDescent="0.2">
      <c r="B19" s="122" t="s">
        <v>80</v>
      </c>
    </row>
  </sheetData>
  <mergeCells count="2">
    <mergeCell ref="B6:C7"/>
    <mergeCell ref="B11:C1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8">
              <controlPr defaultSize="0" print="0" autoFill="0" autoPict="0" macro="[0]!Recalculate_7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H35"/>
  <sheetViews>
    <sheetView topLeftCell="A7" zoomScale="130" zoomScaleNormal="130" zoomScalePageLayoutView="130" workbookViewId="0">
      <selection activeCell="D24" sqref="D24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28" width="15.7109375" style="59" customWidth="1"/>
    <col min="29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85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/>
      <c r="C6" s="143"/>
      <c r="D6" s="22">
        <f>D7-IF(MONTH(D7)=2,IF(OR(YEAR(D7)=2008,YEAR(D7)=2012,YEAR(D7)=2016),29,28),IF(OR(MONTH(D7)=4,MONTH(D7)=6,MONTH(D7)=9,MONTH(D7)=11),30,31))+1</f>
        <v>42736</v>
      </c>
      <c r="E6" s="23">
        <f t="shared" ref="E6:AA6" si="0">E7-IF(MONTH(E7)=2,IF(OR(YEAR(E7)=2008,YEAR(E7)=2012,YEAR(E7)=2016),29,28),IF(OR(MONTH(E7)=4,MONTH(E7)=6,MONTH(E7)=9,MONTH(E7)=11),30,31))+1</f>
        <v>42767</v>
      </c>
      <c r="F6" s="23">
        <f t="shared" si="0"/>
        <v>42795</v>
      </c>
      <c r="G6" s="23">
        <f t="shared" si="0"/>
        <v>42826</v>
      </c>
      <c r="H6" s="23">
        <f t="shared" si="0"/>
        <v>42856</v>
      </c>
      <c r="I6" s="23">
        <f t="shared" si="0"/>
        <v>42887</v>
      </c>
      <c r="J6" s="23">
        <f t="shared" si="0"/>
        <v>42917</v>
      </c>
      <c r="K6" s="23">
        <f t="shared" si="0"/>
        <v>42948</v>
      </c>
      <c r="L6" s="23">
        <f t="shared" si="0"/>
        <v>42979</v>
      </c>
      <c r="M6" s="23">
        <f t="shared" si="0"/>
        <v>43009</v>
      </c>
      <c r="N6" s="23">
        <f t="shared" si="0"/>
        <v>43040</v>
      </c>
      <c r="O6" s="23">
        <f t="shared" si="0"/>
        <v>43070</v>
      </c>
      <c r="P6" s="23">
        <f t="shared" si="0"/>
        <v>43101</v>
      </c>
      <c r="Q6" s="23">
        <f t="shared" si="0"/>
        <v>43132</v>
      </c>
      <c r="R6" s="23">
        <f t="shared" si="0"/>
        <v>43160</v>
      </c>
      <c r="S6" s="23">
        <f t="shared" si="0"/>
        <v>43191</v>
      </c>
      <c r="T6" s="23">
        <f t="shared" si="0"/>
        <v>43221</v>
      </c>
      <c r="U6" s="23">
        <f t="shared" si="0"/>
        <v>43252</v>
      </c>
      <c r="V6" s="23">
        <f t="shared" si="0"/>
        <v>43282</v>
      </c>
      <c r="W6" s="23">
        <f t="shared" si="0"/>
        <v>43313</v>
      </c>
      <c r="X6" s="23">
        <f t="shared" si="0"/>
        <v>43344</v>
      </c>
      <c r="Y6" s="23">
        <f t="shared" si="0"/>
        <v>43374</v>
      </c>
      <c r="Z6" s="23">
        <f t="shared" si="0"/>
        <v>43405</v>
      </c>
      <c r="AA6" s="23">
        <f t="shared" si="0"/>
        <v>43435</v>
      </c>
    </row>
    <row r="7" spans="1:190" s="60" customFormat="1" ht="12" customHeight="1" thickBot="1" x14ac:dyDescent="0.25">
      <c r="A7" s="69"/>
      <c r="B7" s="144"/>
      <c r="C7" s="145"/>
      <c r="D7" s="26">
        <f t="shared" ref="D7:Z7" si="1">E6-1</f>
        <v>42766</v>
      </c>
      <c r="E7" s="27">
        <f t="shared" si="1"/>
        <v>42794</v>
      </c>
      <c r="F7" s="27">
        <f t="shared" si="1"/>
        <v>42825</v>
      </c>
      <c r="G7" s="27">
        <f t="shared" si="1"/>
        <v>42855</v>
      </c>
      <c r="H7" s="27">
        <f t="shared" si="1"/>
        <v>42886</v>
      </c>
      <c r="I7" s="27">
        <f t="shared" si="1"/>
        <v>42916</v>
      </c>
      <c r="J7" s="27">
        <f t="shared" si="1"/>
        <v>42947</v>
      </c>
      <c r="K7" s="27">
        <f t="shared" si="1"/>
        <v>42978</v>
      </c>
      <c r="L7" s="27">
        <f t="shared" si="1"/>
        <v>43008</v>
      </c>
      <c r="M7" s="27">
        <f t="shared" si="1"/>
        <v>43039</v>
      </c>
      <c r="N7" s="27">
        <f t="shared" si="1"/>
        <v>43069</v>
      </c>
      <c r="O7" s="27">
        <f t="shared" si="1"/>
        <v>43100</v>
      </c>
      <c r="P7" s="27">
        <f t="shared" si="1"/>
        <v>43131</v>
      </c>
      <c r="Q7" s="27">
        <f t="shared" si="1"/>
        <v>43159</v>
      </c>
      <c r="R7" s="27">
        <f t="shared" si="1"/>
        <v>43190</v>
      </c>
      <c r="S7" s="27">
        <f t="shared" si="1"/>
        <v>43220</v>
      </c>
      <c r="T7" s="27">
        <f t="shared" si="1"/>
        <v>43251</v>
      </c>
      <c r="U7" s="27">
        <f t="shared" si="1"/>
        <v>43281</v>
      </c>
      <c r="V7" s="27">
        <f t="shared" si="1"/>
        <v>43312</v>
      </c>
      <c r="W7" s="27">
        <f t="shared" si="1"/>
        <v>43343</v>
      </c>
      <c r="X7" s="27">
        <f t="shared" si="1"/>
        <v>43373</v>
      </c>
      <c r="Y7" s="27">
        <f t="shared" si="1"/>
        <v>43404</v>
      </c>
      <c r="Z7" s="27">
        <f t="shared" si="1"/>
        <v>43434</v>
      </c>
      <c r="AA7" s="27">
        <f>C3</f>
        <v>43465</v>
      </c>
    </row>
    <row r="8" spans="1:190" s="61" customFormat="1" ht="12" customHeight="1" thickBot="1" x14ac:dyDescent="0.25">
      <c r="A8" s="70"/>
      <c r="B8" s="29" t="s">
        <v>1</v>
      </c>
      <c r="C8" s="30" t="s">
        <v>88</v>
      </c>
      <c r="D8" s="31">
        <f t="shared" ref="D8:AA8" si="2">D6</f>
        <v>42736</v>
      </c>
      <c r="E8" s="32">
        <f t="shared" si="2"/>
        <v>42767</v>
      </c>
      <c r="F8" s="32">
        <f t="shared" si="2"/>
        <v>42795</v>
      </c>
      <c r="G8" s="33">
        <f t="shared" si="2"/>
        <v>42826</v>
      </c>
      <c r="H8" s="33">
        <f t="shared" si="2"/>
        <v>42856</v>
      </c>
      <c r="I8" s="33">
        <f t="shared" si="2"/>
        <v>42887</v>
      </c>
      <c r="J8" s="33">
        <f t="shared" si="2"/>
        <v>42917</v>
      </c>
      <c r="K8" s="33">
        <f t="shared" si="2"/>
        <v>42948</v>
      </c>
      <c r="L8" s="33">
        <f t="shared" si="2"/>
        <v>42979</v>
      </c>
      <c r="M8" s="33">
        <f t="shared" si="2"/>
        <v>43009</v>
      </c>
      <c r="N8" s="33">
        <f t="shared" si="2"/>
        <v>43040</v>
      </c>
      <c r="O8" s="33">
        <f t="shared" si="2"/>
        <v>43070</v>
      </c>
      <c r="P8" s="33">
        <f t="shared" si="2"/>
        <v>43101</v>
      </c>
      <c r="Q8" s="33">
        <f t="shared" si="2"/>
        <v>43132</v>
      </c>
      <c r="R8" s="33">
        <f t="shared" si="2"/>
        <v>43160</v>
      </c>
      <c r="S8" s="33">
        <f t="shared" si="2"/>
        <v>43191</v>
      </c>
      <c r="T8" s="33">
        <f t="shared" si="2"/>
        <v>43221</v>
      </c>
      <c r="U8" s="33">
        <f t="shared" si="2"/>
        <v>43252</v>
      </c>
      <c r="V8" s="33">
        <f t="shared" si="2"/>
        <v>43282</v>
      </c>
      <c r="W8" s="33">
        <f t="shared" si="2"/>
        <v>43313</v>
      </c>
      <c r="X8" s="33">
        <f t="shared" si="2"/>
        <v>43344</v>
      </c>
      <c r="Y8" s="33">
        <f t="shared" si="2"/>
        <v>43374</v>
      </c>
      <c r="Z8" s="33">
        <f t="shared" si="2"/>
        <v>43405</v>
      </c>
      <c r="AA8" s="33">
        <f t="shared" si="2"/>
        <v>43435</v>
      </c>
    </row>
    <row r="9" spans="1:190" ht="15" customHeight="1" thickBot="1" x14ac:dyDescent="0.25">
      <c r="B9" s="37"/>
      <c r="C9" s="38" t="s">
        <v>89</v>
      </c>
      <c r="D9" s="39" t="e">
        <f ca="1">AbraReceivable(API!$C$3,API!$C$4,API!$C$5,$C$9,D$6,D$7)/1000</f>
        <v>#NAME?</v>
      </c>
      <c r="E9" s="39" t="e">
        <f ca="1">AbraReceivable(API!$C$3,API!$C$4,API!$C$5,$C$9,E$6,E$7)/1000</f>
        <v>#NAME?</v>
      </c>
      <c r="F9" s="39" t="e">
        <f ca="1">AbraReceivable(API!$C$3,API!$C$4,API!$C$5,$C$9,F$6,F$7)/1000</f>
        <v>#NAME?</v>
      </c>
      <c r="G9" s="39" t="e">
        <f ca="1">AbraReceivable(API!$C$3,API!$C$4,API!$C$5,$C$9,G$6,G$7)/1000</f>
        <v>#NAME?</v>
      </c>
      <c r="H9" s="39" t="e">
        <f ca="1">AbraReceivable(API!$C$3,API!$C$4,API!$C$5,$C$9,H$6,H$7)/1000</f>
        <v>#NAME?</v>
      </c>
      <c r="I9" s="39" t="e">
        <f ca="1">AbraReceivable(API!$C$3,API!$C$4,API!$C$5,$C$9,I$6,I$7)/1000</f>
        <v>#NAME?</v>
      </c>
      <c r="J9" s="39" t="e">
        <f ca="1">AbraReceivable(API!$C$3,API!$C$4,API!$C$5,$C$9,J$6,J$7)/1000</f>
        <v>#NAME?</v>
      </c>
      <c r="K9" s="39" t="e">
        <f ca="1">AbraReceivable(API!$C$3,API!$C$4,API!$C$5,$C$9,K$6,K$7)/1000</f>
        <v>#NAME?</v>
      </c>
      <c r="L9" s="39" t="e">
        <f ca="1">AbraReceivable(API!$C$3,API!$C$4,API!$C$5,$C$9,L$6,L$7)/1000</f>
        <v>#NAME?</v>
      </c>
      <c r="M9" s="39" t="e">
        <f ca="1">AbraReceivable(API!$C$3,API!$C$4,API!$C$5,$C$9,M$6,M$7)/1000</f>
        <v>#NAME?</v>
      </c>
      <c r="N9" s="39" t="e">
        <f ca="1">AbraReceivable(API!$C$3,API!$C$4,API!$C$5,$C$9,N$6,N$7)/1000</f>
        <v>#NAME?</v>
      </c>
      <c r="O9" s="39" t="e">
        <f ca="1">AbraReceivable(API!$C$3,API!$C$4,API!$C$5,$C$9,O$6,O$7)/1000</f>
        <v>#NAME?</v>
      </c>
      <c r="P9" s="39" t="e">
        <f ca="1">AbraReceivable(API!$C$3,API!$C$4,API!$C$5,$C$9,P$6,P$7)/1000</f>
        <v>#NAME?</v>
      </c>
      <c r="Q9" s="39" t="e">
        <f ca="1">AbraReceivable(API!$C$3,API!$C$4,API!$C$5,$C$9,Q$6,Q$7)/1000</f>
        <v>#NAME?</v>
      </c>
      <c r="R9" s="39" t="e">
        <f ca="1">AbraReceivable(API!$C$3,API!$C$4,API!$C$5,$C$9,R$6,R$7)/1000</f>
        <v>#NAME?</v>
      </c>
      <c r="S9" s="39" t="e">
        <f ca="1">AbraReceivable(API!$C$3,API!$C$4,API!$C$5,$C$9,S$6,S$7)/1000</f>
        <v>#NAME?</v>
      </c>
      <c r="T9" s="39" t="e">
        <f ca="1">AbraReceivable(API!$C$3,API!$C$4,API!$C$5,$C$9,T$6,T$7)/1000</f>
        <v>#NAME?</v>
      </c>
      <c r="U9" s="39" t="e">
        <f ca="1">AbraReceivable(API!$C$3,API!$C$4,API!$C$5,$C$9,U$6,U$7)/1000</f>
        <v>#NAME?</v>
      </c>
      <c r="V9" s="39" t="e">
        <f ca="1">AbraReceivable(API!$C$3,API!$C$4,API!$C$5,$C$9,V$6,V$7)/1000</f>
        <v>#NAME?</v>
      </c>
      <c r="W9" s="39" t="e">
        <f ca="1">AbraReceivable(API!$C$3,API!$C$4,API!$C$5,$C$9,W$6,W$7)/1000</f>
        <v>#NAME?</v>
      </c>
      <c r="X9" s="39" t="e">
        <f ca="1">AbraReceivable(API!$C$3,API!$C$4,API!$C$5,$C$9,X$6,X$7)/1000</f>
        <v>#NAME?</v>
      </c>
      <c r="Y9" s="39">
        <f>AbraReceivable(API!$C$3,API!$C$4,API!$C$5,$C$9,Y$6,Y$7)/1000</f>
        <v>0</v>
      </c>
      <c r="Z9" s="39">
        <f>AbraReceivable(API!$C$3,API!$C$4,API!$C$5,$C$9,Z$6,Z$7)/1000</f>
        <v>0</v>
      </c>
      <c r="AA9" s="39">
        <f>AbraReceivable(API!$C$3,API!$C$4,API!$C$5,$C$9,AA$6,AA$7)/1000</f>
        <v>0</v>
      </c>
      <c r="AB9" s="121"/>
      <c r="AC9" s="61"/>
    </row>
    <row r="10" spans="1:190" ht="15" customHeight="1" thickBot="1" x14ac:dyDescent="0.25">
      <c r="B10" s="124"/>
      <c r="C10" s="125" t="s">
        <v>90</v>
      </c>
      <c r="D10" s="39" t="e">
        <f ca="1">AbraReceivable(API!$C$3,API!$C$4,API!$C$5,$C$10,D$6,D$7)/1000</f>
        <v>#NAME?</v>
      </c>
      <c r="E10" s="39" t="e">
        <f ca="1">AbraReceivable(API!$C$3,API!$C$4,API!$C$5,$C$10,E$6,E$7)/1000</f>
        <v>#NAME?</v>
      </c>
      <c r="F10" s="39" t="e">
        <f ca="1">AbraReceivable(API!$C$3,API!$C$4,API!$C$5,$C$10,F$6,F$7)/1000</f>
        <v>#NAME?</v>
      </c>
      <c r="G10" s="39" t="e">
        <f ca="1">AbraReceivable(API!$C$3,API!$C$4,API!$C$5,$C$10,G$6,G$7)/1000</f>
        <v>#NAME?</v>
      </c>
      <c r="H10" s="39" t="e">
        <f ca="1">AbraReceivable(API!$C$3,API!$C$4,API!$C$5,$C$10,H$6,H$7)/1000</f>
        <v>#NAME?</v>
      </c>
      <c r="I10" s="39" t="e">
        <f ca="1">AbraReceivable(API!$C$3,API!$C$4,API!$C$5,$C$10,I$6,I$7)/1000</f>
        <v>#NAME?</v>
      </c>
      <c r="J10" s="39" t="e">
        <f ca="1">AbraReceivable(API!$C$3,API!$C$4,API!$C$5,$C$10,J$6,J$7)/1000</f>
        <v>#NAME?</v>
      </c>
      <c r="K10" s="39" t="e">
        <f ca="1">AbraReceivable(API!$C$3,API!$C$4,API!$C$5,$C$10,K$6,K$7)/1000</f>
        <v>#NAME?</v>
      </c>
      <c r="L10" s="39" t="e">
        <f ca="1">AbraReceivable(API!$C$3,API!$C$4,API!$C$5,$C$10,L$6,L$7)/1000</f>
        <v>#NAME?</v>
      </c>
      <c r="M10" s="39" t="e">
        <f ca="1">AbraReceivable(API!$C$3,API!$C$4,API!$C$5,$C$10,M$6,M$7)/1000</f>
        <v>#NAME?</v>
      </c>
      <c r="N10" s="39" t="e">
        <f ca="1">AbraReceivable(API!$C$3,API!$C$4,API!$C$5,$C$10,N$6,N$7)/1000</f>
        <v>#NAME?</v>
      </c>
      <c r="O10" s="39" t="e">
        <f ca="1">AbraReceivable(API!$C$3,API!$C$4,API!$C$5,$C$10,O$6,O$7)/1000</f>
        <v>#NAME?</v>
      </c>
      <c r="P10" s="39" t="e">
        <f ca="1">AbraReceivable(API!$C$3,API!$C$4,API!$C$5,$C$10,P$6,P$7)/1000</f>
        <v>#NAME?</v>
      </c>
      <c r="Q10" s="39" t="e">
        <f ca="1">AbraReceivable(API!$C$3,API!$C$4,API!$C$5,$C$10,Q$6,Q$7)/1000</f>
        <v>#NAME?</v>
      </c>
      <c r="R10" s="39" t="e">
        <f ca="1">AbraReceivable(API!$C$3,API!$C$4,API!$C$5,$C$10,R$6,R$7)/1000</f>
        <v>#NAME?</v>
      </c>
      <c r="S10" s="39" t="e">
        <f ca="1">AbraReceivable(API!$C$3,API!$C$4,API!$C$5,$C$10,S$6,S$7)/1000</f>
        <v>#NAME?</v>
      </c>
      <c r="T10" s="39" t="e">
        <f ca="1">AbraReceivable(API!$C$3,API!$C$4,API!$C$5,$C$10,T$6,T$7)/1000</f>
        <v>#NAME?</v>
      </c>
      <c r="U10" s="39" t="e">
        <f ca="1">AbraReceivable(API!$C$3,API!$C$4,API!$C$5,$C$10,U$6,U$7)/1000</f>
        <v>#NAME?</v>
      </c>
      <c r="V10" s="39" t="e">
        <f ca="1">AbraReceivable(API!$C$3,API!$C$4,API!$C$5,$C$10,V$6,V$7)/1000</f>
        <v>#NAME?</v>
      </c>
      <c r="W10" s="39" t="e">
        <f ca="1">AbraReceivable(API!$C$3,API!$C$4,API!$C$5,$C$10,W$6,W$7)/1000</f>
        <v>#NAME?</v>
      </c>
      <c r="X10" s="39" t="e">
        <f ca="1">AbraReceivable(API!$C$3,API!$C$4,API!$C$5,$C$10,X$6,X$7)/1000</f>
        <v>#NAME?</v>
      </c>
      <c r="Y10" s="39" t="e">
        <f ca="1">AbraReceivable(API!$C$3,API!$C$4,API!$C$5,$C$10,Y$6,Y$7)/1000</f>
        <v>#NAME?</v>
      </c>
      <c r="Z10" s="39">
        <f>AbraReceivable(API!$C$3,API!$C$4,API!$C$5,$C$10,Z$6,Z$7)/1000</f>
        <v>0</v>
      </c>
      <c r="AA10" s="39">
        <f>AbraReceivable(API!$C$3,API!$C$4,API!$C$5,$C$10,AA$6,AA$7)/1000</f>
        <v>0</v>
      </c>
      <c r="AB10" s="121"/>
      <c r="AC10" s="61"/>
    </row>
    <row r="11" spans="1:190" ht="15" customHeight="1" thickBot="1" x14ac:dyDescent="0.25">
      <c r="B11" s="124"/>
      <c r="C11" s="125" t="s">
        <v>91</v>
      </c>
      <c r="D11" s="39" t="e">
        <f ca="1">AbraReceivable(API!$C$3,API!$C$4,API!$C$5,$C$11,D$6,D$7)/1000</f>
        <v>#NAME?</v>
      </c>
      <c r="E11" s="39" t="e">
        <f ca="1">AbraReceivable(API!$C$3,API!$C$4,API!$C$5,$C$11,E$6,E$7)/1000</f>
        <v>#NAME?</v>
      </c>
      <c r="F11" s="39" t="e">
        <f ca="1">AbraReceivable(API!$C$3,API!$C$4,API!$C$5,$C$11,F$6,F$7)/1000</f>
        <v>#NAME?</v>
      </c>
      <c r="G11" s="39" t="e">
        <f ca="1">AbraReceivable(API!$C$3,API!$C$4,API!$C$5,$C$11,G$6,G$7)/1000</f>
        <v>#NAME?</v>
      </c>
      <c r="H11" s="39" t="e">
        <f ca="1">AbraReceivable(API!$C$3,API!$C$4,API!$C$5,$C$11,H$6,H$7)/1000</f>
        <v>#NAME?</v>
      </c>
      <c r="I11" s="39" t="e">
        <f ca="1">AbraReceivable(API!$C$3,API!$C$4,API!$C$5,$C$11,I$6,I$7)/1000</f>
        <v>#NAME?</v>
      </c>
      <c r="J11" s="39" t="e">
        <f ca="1">AbraReceivable(API!$C$3,API!$C$4,API!$C$5,$C$11,J$6,J$7)/1000</f>
        <v>#NAME?</v>
      </c>
      <c r="K11" s="39" t="e">
        <f ca="1">AbraReceivable(API!$C$3,API!$C$4,API!$C$5,$C$11,K$6,K$7)/1000</f>
        <v>#NAME?</v>
      </c>
      <c r="L11" s="39" t="e">
        <f ca="1">AbraReceivable(API!$C$3,API!$C$4,API!$C$5,$C$11,L$6,L$7)/1000</f>
        <v>#NAME?</v>
      </c>
      <c r="M11" s="39" t="e">
        <f ca="1">AbraReceivable(API!$C$3,API!$C$4,API!$C$5,$C$11,M$6,M$7)/1000</f>
        <v>#NAME?</v>
      </c>
      <c r="N11" s="39" t="e">
        <f ca="1">AbraReceivable(API!$C$3,API!$C$4,API!$C$5,$C$11,N$6,N$7)/1000</f>
        <v>#NAME?</v>
      </c>
      <c r="O11" s="39" t="e">
        <f ca="1">AbraReceivable(API!$C$3,API!$C$4,API!$C$5,$C$11,O$6,O$7)/1000</f>
        <v>#NAME?</v>
      </c>
      <c r="P11" s="39" t="e">
        <f ca="1">AbraReceivable(API!$C$3,API!$C$4,API!$C$5,$C$11,P$6,P$7)/1000</f>
        <v>#NAME?</v>
      </c>
      <c r="Q11" s="39" t="e">
        <f ca="1">AbraReceivable(API!$C$3,API!$C$4,API!$C$5,$C$11,Q$6,Q$7)/1000</f>
        <v>#NAME?</v>
      </c>
      <c r="R11" s="39" t="e">
        <f ca="1">AbraReceivable(API!$C$3,API!$C$4,API!$C$5,$C$11,R$6,R$7)/1000</f>
        <v>#NAME?</v>
      </c>
      <c r="S11" s="39" t="e">
        <f ca="1">AbraReceivable(API!$C$3,API!$C$4,API!$C$5,$C$11,S$6,S$7)/1000</f>
        <v>#NAME?</v>
      </c>
      <c r="T11" s="39" t="e">
        <f ca="1">AbraReceivable(API!$C$3,API!$C$4,API!$C$5,$C$11,T$6,T$7)/1000</f>
        <v>#NAME?</v>
      </c>
      <c r="U11" s="39" t="e">
        <f ca="1">AbraReceivable(API!$C$3,API!$C$4,API!$C$5,$C$11,U$6,U$7)/1000</f>
        <v>#NAME?</v>
      </c>
      <c r="V11" s="39" t="e">
        <f ca="1">AbraReceivable(API!$C$3,API!$C$4,API!$C$5,$C$11,V$6,V$7)/1000</f>
        <v>#NAME?</v>
      </c>
      <c r="W11" s="39" t="e">
        <f ca="1">AbraReceivable(API!$C$3,API!$C$4,API!$C$5,$C$11,W$6,W$7)/1000</f>
        <v>#NAME?</v>
      </c>
      <c r="X11" s="39" t="e">
        <f ca="1">AbraReceivable(API!$C$3,API!$C$4,API!$C$5,$C$11,X$6,X$7)/1000</f>
        <v>#NAME?</v>
      </c>
      <c r="Y11" s="39" t="e">
        <f ca="1">AbraReceivable(API!$C$3,API!$C$4,API!$C$5,$C$11,Y$6,Y$7)/1000</f>
        <v>#NAME?</v>
      </c>
      <c r="Z11" s="39">
        <f>AbraReceivable(API!$C$3,API!$C$4,API!$C$5,$C$11,Z$6,Z$7)/1000</f>
        <v>0</v>
      </c>
      <c r="AA11" s="39">
        <f>AbraReceivable(API!$C$3,API!$C$4,API!$C$5,$C$11,AA$6,AA$7)/1000</f>
        <v>0</v>
      </c>
      <c r="AB11" s="121"/>
      <c r="AC11" s="61"/>
    </row>
    <row r="12" spans="1:190" ht="15" customHeight="1" x14ac:dyDescent="0.2">
      <c r="B12" s="41"/>
      <c r="C12" s="42" t="s">
        <v>92</v>
      </c>
      <c r="D12" s="39" t="e">
        <f ca="1">AbraReceivable(API!$C$3,API!$C$4,API!$C$5,$C$12,D$6,D$7)/1000</f>
        <v>#NAME?</v>
      </c>
      <c r="E12" s="39" t="e">
        <f ca="1">AbraReceivable(API!$C$3,API!$C$4,API!$C$5,$C$12,E$6,E$7)/1000</f>
        <v>#NAME?</v>
      </c>
      <c r="F12" s="39" t="e">
        <f ca="1">AbraReceivable(API!$C$3,API!$C$4,API!$C$5,$C$12,F$6,F$7)/1000</f>
        <v>#NAME?</v>
      </c>
      <c r="G12" s="39" t="e">
        <f ca="1">AbraReceivable(API!$C$3,API!$C$4,API!$C$5,$C$12,G$6,G$7)/1000</f>
        <v>#NAME?</v>
      </c>
      <c r="H12" s="39" t="e">
        <f ca="1">AbraReceivable(API!$C$3,API!$C$4,API!$C$5,$C$12,H$6,H$7)/1000</f>
        <v>#NAME?</v>
      </c>
      <c r="I12" s="39" t="e">
        <f ca="1">AbraReceivable(API!$C$3,API!$C$4,API!$C$5,$C$12,I$6,I$7)/1000</f>
        <v>#NAME?</v>
      </c>
      <c r="J12" s="39" t="e">
        <f ca="1">AbraReceivable(API!$C$3,API!$C$4,API!$C$5,$C$12,J$6,J$7)/1000</f>
        <v>#NAME?</v>
      </c>
      <c r="K12" s="39" t="e">
        <f ca="1">AbraReceivable(API!$C$3,API!$C$4,API!$C$5,$C$12,K$6,K$7)/1000</f>
        <v>#NAME?</v>
      </c>
      <c r="L12" s="39" t="e">
        <f ca="1">AbraReceivable(API!$C$3,API!$C$4,API!$C$5,$C$12,L$6,L$7)/1000</f>
        <v>#NAME?</v>
      </c>
      <c r="M12" s="39" t="e">
        <f ca="1">AbraReceivable(API!$C$3,API!$C$4,API!$C$5,$C$12,M$6,M$7)/1000</f>
        <v>#NAME?</v>
      </c>
      <c r="N12" s="39" t="e">
        <f ca="1">AbraReceivable(API!$C$3,API!$C$4,API!$C$5,$C$12,N$6,N$7)/1000</f>
        <v>#NAME?</v>
      </c>
      <c r="O12" s="39" t="e">
        <f ca="1">AbraReceivable(API!$C$3,API!$C$4,API!$C$5,$C$12,O$6,O$7)/1000</f>
        <v>#NAME?</v>
      </c>
      <c r="P12" s="39" t="e">
        <f ca="1">AbraReceivable(API!$C$3,API!$C$4,API!$C$5,$C$12,P$6,P$7)/1000</f>
        <v>#NAME?</v>
      </c>
      <c r="Q12" s="39" t="e">
        <f ca="1">AbraReceivable(API!$C$3,API!$C$4,API!$C$5,$C$12,Q$6,Q$7)/1000</f>
        <v>#NAME?</v>
      </c>
      <c r="R12" s="39" t="e">
        <f ca="1">AbraReceivable(API!$C$3,API!$C$4,API!$C$5,$C$12,R$6,R$7)/1000</f>
        <v>#NAME?</v>
      </c>
      <c r="S12" s="39" t="e">
        <f ca="1">AbraReceivable(API!$C$3,API!$C$4,API!$C$5,$C$12,S$6,S$7)/1000</f>
        <v>#NAME?</v>
      </c>
      <c r="T12" s="39" t="e">
        <f ca="1">AbraReceivable(API!$C$3,API!$C$4,API!$C$5,$C$12,T$6,T$7)/1000</f>
        <v>#NAME?</v>
      </c>
      <c r="U12" s="39" t="e">
        <f ca="1">AbraReceivable(API!$C$3,API!$C$4,API!$C$5,$C$12,U$6,U$7)/1000</f>
        <v>#NAME?</v>
      </c>
      <c r="V12" s="39" t="e">
        <f ca="1">AbraReceivable(API!$C$3,API!$C$4,API!$C$5,$C$12,V$6,V$7)/1000</f>
        <v>#NAME?</v>
      </c>
      <c r="W12" s="39" t="e">
        <f ca="1">AbraReceivable(API!$C$3,API!$C$4,API!$C$5,$C$12,W$6,W$7)/1000</f>
        <v>#NAME?</v>
      </c>
      <c r="X12" s="39" t="e">
        <f ca="1">AbraReceivable(API!$C$3,API!$C$4,API!$C$5,$C$12,X$6,X$7)/1000</f>
        <v>#NAME?</v>
      </c>
      <c r="Y12" s="39" t="e">
        <f ca="1">AbraReceivable(API!$C$3,API!$C$4,API!$C$5,$C$12,Y$6,Y$7)/1000</f>
        <v>#NAME?</v>
      </c>
      <c r="Z12" s="39">
        <f>AbraReceivable(API!$C$3,API!$C$4,API!$C$5,$C$12,Z$6,Z$7)/1000</f>
        <v>0</v>
      </c>
      <c r="AA12" s="39">
        <f>AbraReceivable(API!$C$3,API!$C$4,API!$C$5,$C$12,AA$6,AA$7)/1000</f>
        <v>0</v>
      </c>
      <c r="AB12" s="121"/>
    </row>
    <row r="13" spans="1:190" s="72" customFormat="1" ht="15" customHeight="1" x14ac:dyDescent="0.2">
      <c r="A13" s="71"/>
      <c r="B13" s="113"/>
      <c r="C13" s="113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2"/>
      <c r="CB13" s="62"/>
      <c r="CC13" s="62"/>
      <c r="CD13" s="62"/>
      <c r="CE13" s="62"/>
      <c r="CF13" s="62"/>
      <c r="CG13" s="62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  <c r="EA13" s="62"/>
      <c r="EB13" s="62"/>
      <c r="EC13" s="62"/>
      <c r="ED13" s="62"/>
      <c r="EE13" s="62"/>
      <c r="EF13" s="62"/>
      <c r="EG13" s="62"/>
      <c r="EH13" s="62"/>
      <c r="EI13" s="62"/>
      <c r="EJ13" s="62"/>
      <c r="EK13" s="62"/>
      <c r="EL13" s="62"/>
      <c r="EM13" s="62"/>
      <c r="EN13" s="62"/>
      <c r="EO13" s="62"/>
      <c r="EP13" s="62"/>
      <c r="EQ13" s="62"/>
      <c r="ER13" s="62"/>
      <c r="ES13" s="62"/>
      <c r="ET13" s="62"/>
      <c r="EU13" s="62"/>
      <c r="EV13" s="62"/>
      <c r="EW13" s="62"/>
      <c r="EX13" s="62"/>
      <c r="EY13" s="62"/>
      <c r="EZ13" s="62"/>
      <c r="FA13" s="62"/>
      <c r="FB13" s="62"/>
      <c r="FC13" s="62"/>
      <c r="FD13" s="62"/>
      <c r="FE13" s="62"/>
      <c r="FF13" s="62"/>
      <c r="FG13" s="62"/>
      <c r="FH13" s="62"/>
      <c r="FI13" s="62"/>
      <c r="FJ13" s="62"/>
      <c r="FK13" s="62"/>
      <c r="FL13" s="62"/>
      <c r="FM13" s="62"/>
      <c r="FN13" s="62"/>
      <c r="FO13" s="62"/>
      <c r="FP13" s="62"/>
      <c r="FQ13" s="62"/>
      <c r="FR13" s="62"/>
      <c r="FS13" s="62"/>
      <c r="FT13" s="62"/>
      <c r="FU13" s="62"/>
      <c r="FV13" s="62"/>
      <c r="FW13" s="62"/>
      <c r="FX13" s="62"/>
      <c r="FY13" s="62"/>
      <c r="FZ13" s="62"/>
      <c r="GA13" s="62"/>
      <c r="GB13" s="62"/>
      <c r="GC13" s="62"/>
      <c r="GD13" s="62"/>
      <c r="GE13" s="62"/>
      <c r="GF13" s="62"/>
      <c r="GG13" s="62"/>
      <c r="GH13" s="62"/>
    </row>
    <row r="14" spans="1:190" s="72" customFormat="1" ht="15" customHeight="1" x14ac:dyDescent="0.2">
      <c r="A14" s="71"/>
      <c r="B14" s="113"/>
      <c r="C14" s="113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  <c r="EA14" s="62"/>
      <c r="EB14" s="62"/>
      <c r="EC14" s="62"/>
      <c r="ED14" s="62"/>
      <c r="EE14" s="62"/>
      <c r="EF14" s="62"/>
      <c r="EG14" s="62"/>
      <c r="EH14" s="62"/>
      <c r="EI14" s="62"/>
      <c r="EJ14" s="62"/>
      <c r="EK14" s="62"/>
      <c r="EL14" s="62"/>
      <c r="EM14" s="62"/>
      <c r="EN14" s="62"/>
      <c r="EO14" s="62"/>
      <c r="EP14" s="62"/>
      <c r="EQ14" s="62"/>
      <c r="ER14" s="62"/>
      <c r="ES14" s="62"/>
      <c r="ET14" s="62"/>
      <c r="EU14" s="62"/>
      <c r="EV14" s="62"/>
      <c r="EW14" s="62"/>
      <c r="EX14" s="62"/>
      <c r="EY14" s="62"/>
      <c r="EZ14" s="62"/>
      <c r="FA14" s="62"/>
      <c r="FB14" s="62"/>
      <c r="FC14" s="62"/>
      <c r="FD14" s="62"/>
      <c r="FE14" s="62"/>
      <c r="FF14" s="62"/>
      <c r="FG14" s="62"/>
      <c r="FH14" s="62"/>
      <c r="FI14" s="62"/>
      <c r="FJ14" s="62"/>
      <c r="FK14" s="62"/>
      <c r="FL14" s="62"/>
      <c r="FM14" s="62"/>
      <c r="FN14" s="62"/>
      <c r="FO14" s="62"/>
      <c r="FP14" s="62"/>
      <c r="FQ14" s="62"/>
      <c r="FR14" s="62"/>
      <c r="FS14" s="62"/>
      <c r="FT14" s="62"/>
      <c r="FU14" s="62"/>
      <c r="FV14" s="62"/>
      <c r="FW14" s="62"/>
      <c r="FX14" s="62"/>
      <c r="FY14" s="62"/>
      <c r="FZ14" s="62"/>
      <c r="GA14" s="62"/>
      <c r="GB14" s="62"/>
      <c r="GC14" s="62"/>
      <c r="GD14" s="62"/>
      <c r="GE14" s="62"/>
      <c r="GF14" s="62"/>
      <c r="GG14" s="62"/>
      <c r="GH14" s="62"/>
    </row>
    <row r="15" spans="1:190" ht="15.75" thickBot="1" x14ac:dyDescent="0.25">
      <c r="B15" s="120"/>
    </row>
    <row r="16" spans="1:190" x14ac:dyDescent="0.2">
      <c r="B16" s="8" t="s">
        <v>86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8" x14ac:dyDescent="0.2">
      <c r="B17" s="14" t="s">
        <v>56</v>
      </c>
      <c r="C17" s="6">
        <v>43465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2:28" x14ac:dyDescent="0.2">
      <c r="B18" s="16"/>
      <c r="C18" s="3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2:28" ht="15.75" thickBot="1" x14ac:dyDescent="0.25">
      <c r="B19" s="17"/>
      <c r="C19" s="5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2:28" x14ac:dyDescent="0.2">
      <c r="B20" s="142"/>
      <c r="C20" s="143"/>
      <c r="D20" s="22">
        <f>D21-IF(MONTH(D21)=2,IF(OR(YEAR(D21)=2008,YEAR(D21)=2012,YEAR(D21)=2016),29,28),IF(OR(MONTH(D21)=4,MONTH(D21)=6,MONTH(D21)=9,MONTH(D21)=11),30,31))+1</f>
        <v>42736</v>
      </c>
      <c r="E20" s="23">
        <f t="shared" ref="E20:AA20" si="3">E21-IF(MONTH(E21)=2,IF(OR(YEAR(E21)=2008,YEAR(E21)=2012,YEAR(E21)=2016),29,28),IF(OR(MONTH(E21)=4,MONTH(E21)=6,MONTH(E21)=9,MONTH(E21)=11),30,31))+1</f>
        <v>42767</v>
      </c>
      <c r="F20" s="23">
        <f t="shared" si="3"/>
        <v>42795</v>
      </c>
      <c r="G20" s="23">
        <f t="shared" si="3"/>
        <v>42826</v>
      </c>
      <c r="H20" s="23">
        <f t="shared" si="3"/>
        <v>42856</v>
      </c>
      <c r="I20" s="23">
        <f t="shared" si="3"/>
        <v>42887</v>
      </c>
      <c r="J20" s="23">
        <f t="shared" si="3"/>
        <v>42917</v>
      </c>
      <c r="K20" s="23">
        <f t="shared" si="3"/>
        <v>42948</v>
      </c>
      <c r="L20" s="23">
        <f t="shared" si="3"/>
        <v>42979</v>
      </c>
      <c r="M20" s="23">
        <f t="shared" si="3"/>
        <v>43009</v>
      </c>
      <c r="N20" s="23">
        <f t="shared" si="3"/>
        <v>43040</v>
      </c>
      <c r="O20" s="23">
        <f t="shared" si="3"/>
        <v>43070</v>
      </c>
      <c r="P20" s="23">
        <f t="shared" si="3"/>
        <v>43101</v>
      </c>
      <c r="Q20" s="23">
        <f t="shared" si="3"/>
        <v>43132</v>
      </c>
      <c r="R20" s="23">
        <f t="shared" si="3"/>
        <v>43160</v>
      </c>
      <c r="S20" s="23">
        <f t="shared" si="3"/>
        <v>43191</v>
      </c>
      <c r="T20" s="23">
        <f t="shared" si="3"/>
        <v>43221</v>
      </c>
      <c r="U20" s="23">
        <f t="shared" si="3"/>
        <v>43252</v>
      </c>
      <c r="V20" s="23">
        <f t="shared" si="3"/>
        <v>43282</v>
      </c>
      <c r="W20" s="23">
        <f t="shared" si="3"/>
        <v>43313</v>
      </c>
      <c r="X20" s="23">
        <f t="shared" si="3"/>
        <v>43344</v>
      </c>
      <c r="Y20" s="23">
        <f t="shared" si="3"/>
        <v>43374</v>
      </c>
      <c r="Z20" s="23">
        <f t="shared" si="3"/>
        <v>43405</v>
      </c>
      <c r="AA20" s="23">
        <f t="shared" si="3"/>
        <v>43435</v>
      </c>
      <c r="AB20" s="60"/>
    </row>
    <row r="21" spans="2:28" ht="15.75" thickBot="1" x14ac:dyDescent="0.25">
      <c r="B21" s="144"/>
      <c r="C21" s="145"/>
      <c r="D21" s="26">
        <f t="shared" ref="D21" si="4">E20-1</f>
        <v>42766</v>
      </c>
      <c r="E21" s="27">
        <f t="shared" ref="E21" si="5">F20-1</f>
        <v>42794</v>
      </c>
      <c r="F21" s="27">
        <f t="shared" ref="F21" si="6">G20-1</f>
        <v>42825</v>
      </c>
      <c r="G21" s="27">
        <f t="shared" ref="G21" si="7">H20-1</f>
        <v>42855</v>
      </c>
      <c r="H21" s="27">
        <f t="shared" ref="H21" si="8">I20-1</f>
        <v>42886</v>
      </c>
      <c r="I21" s="27">
        <f t="shared" ref="I21" si="9">J20-1</f>
        <v>42916</v>
      </c>
      <c r="J21" s="27">
        <f t="shared" ref="J21" si="10">K20-1</f>
        <v>42947</v>
      </c>
      <c r="K21" s="27">
        <f t="shared" ref="K21" si="11">L20-1</f>
        <v>42978</v>
      </c>
      <c r="L21" s="27">
        <f t="shared" ref="L21" si="12">M20-1</f>
        <v>43008</v>
      </c>
      <c r="M21" s="27">
        <f t="shared" ref="M21" si="13">N20-1</f>
        <v>43039</v>
      </c>
      <c r="N21" s="27">
        <f t="shared" ref="N21" si="14">O20-1</f>
        <v>43069</v>
      </c>
      <c r="O21" s="27">
        <f t="shared" ref="O21" si="15">P20-1</f>
        <v>43100</v>
      </c>
      <c r="P21" s="27">
        <f t="shared" ref="P21" si="16">Q20-1</f>
        <v>43131</v>
      </c>
      <c r="Q21" s="27">
        <f t="shared" ref="Q21" si="17">R20-1</f>
        <v>43159</v>
      </c>
      <c r="R21" s="27">
        <f t="shared" ref="R21" si="18">S20-1</f>
        <v>43190</v>
      </c>
      <c r="S21" s="27">
        <f t="shared" ref="S21" si="19">T20-1</f>
        <v>43220</v>
      </c>
      <c r="T21" s="27">
        <f t="shared" ref="T21" si="20">U20-1</f>
        <v>43251</v>
      </c>
      <c r="U21" s="27">
        <f t="shared" ref="U21" si="21">V20-1</f>
        <v>43281</v>
      </c>
      <c r="V21" s="27">
        <f t="shared" ref="V21" si="22">W20-1</f>
        <v>43312</v>
      </c>
      <c r="W21" s="27">
        <f t="shared" ref="W21" si="23">X20-1</f>
        <v>43343</v>
      </c>
      <c r="X21" s="27">
        <f t="shared" ref="X21" si="24">Y20-1</f>
        <v>43373</v>
      </c>
      <c r="Y21" s="27">
        <f t="shared" ref="Y21" si="25">Z20-1</f>
        <v>43404</v>
      </c>
      <c r="Z21" s="27">
        <f t="shared" ref="Z21" si="26">AA20-1</f>
        <v>43434</v>
      </c>
      <c r="AA21" s="27">
        <f>C17</f>
        <v>43465</v>
      </c>
      <c r="AB21" s="60"/>
    </row>
    <row r="22" spans="2:28" ht="15.75" thickBot="1" x14ac:dyDescent="0.25">
      <c r="B22" s="29" t="s">
        <v>1</v>
      </c>
      <c r="C22" s="30" t="s">
        <v>68</v>
      </c>
      <c r="D22" s="31">
        <f t="shared" ref="D22:AA22" si="27">D20</f>
        <v>42736</v>
      </c>
      <c r="E22" s="32">
        <f t="shared" si="27"/>
        <v>42767</v>
      </c>
      <c r="F22" s="32">
        <f t="shared" si="27"/>
        <v>42795</v>
      </c>
      <c r="G22" s="33">
        <f t="shared" si="27"/>
        <v>42826</v>
      </c>
      <c r="H22" s="33">
        <f t="shared" si="27"/>
        <v>42856</v>
      </c>
      <c r="I22" s="33">
        <f t="shared" si="27"/>
        <v>42887</v>
      </c>
      <c r="J22" s="33">
        <f t="shared" si="27"/>
        <v>42917</v>
      </c>
      <c r="K22" s="33">
        <f t="shared" si="27"/>
        <v>42948</v>
      </c>
      <c r="L22" s="33">
        <f t="shared" si="27"/>
        <v>42979</v>
      </c>
      <c r="M22" s="33">
        <f t="shared" si="27"/>
        <v>43009</v>
      </c>
      <c r="N22" s="33">
        <f t="shared" si="27"/>
        <v>43040</v>
      </c>
      <c r="O22" s="33">
        <f t="shared" si="27"/>
        <v>43070</v>
      </c>
      <c r="P22" s="33">
        <f t="shared" si="27"/>
        <v>43101</v>
      </c>
      <c r="Q22" s="33">
        <f t="shared" si="27"/>
        <v>43132</v>
      </c>
      <c r="R22" s="33">
        <f t="shared" si="27"/>
        <v>43160</v>
      </c>
      <c r="S22" s="33">
        <f t="shared" si="27"/>
        <v>43191</v>
      </c>
      <c r="T22" s="33">
        <f t="shared" si="27"/>
        <v>43221</v>
      </c>
      <c r="U22" s="33">
        <f t="shared" si="27"/>
        <v>43252</v>
      </c>
      <c r="V22" s="33">
        <f t="shared" si="27"/>
        <v>43282</v>
      </c>
      <c r="W22" s="33">
        <f t="shared" si="27"/>
        <v>43313</v>
      </c>
      <c r="X22" s="33">
        <f t="shared" si="27"/>
        <v>43344</v>
      </c>
      <c r="Y22" s="33">
        <f t="shared" si="27"/>
        <v>43374</v>
      </c>
      <c r="Z22" s="33">
        <f t="shared" si="27"/>
        <v>43405</v>
      </c>
      <c r="AA22" s="33">
        <f t="shared" si="27"/>
        <v>43435</v>
      </c>
      <c r="AB22" s="61"/>
    </row>
    <row r="23" spans="2:28" ht="15.75" thickBot="1" x14ac:dyDescent="0.25">
      <c r="B23" s="37"/>
      <c r="C23" s="38" t="s">
        <v>89</v>
      </c>
      <c r="D23" s="39">
        <f>AbraPayable(API!$C$3,API!$C$4,API!$C$5,$C$23,D$20,D$21)/1000</f>
        <v>0</v>
      </c>
      <c r="E23" s="39" t="e">
        <f ca="1">AbraPayable(API!$C$3,API!$C$4,API!$C$5,$C$23,E$20,E$21)/1000</f>
        <v>#NAME?</v>
      </c>
      <c r="F23" s="39" t="e">
        <f ca="1">AbraPayable(API!$C$3,API!$C$4,API!$C$5,$C$23,F$20,F$21)/1000</f>
        <v>#NAME?</v>
      </c>
      <c r="G23" s="39" t="e">
        <f ca="1">AbraPayable(API!$C$3,API!$C$4,API!$C$5,$C$23,G$20,G$21)/1000</f>
        <v>#NAME?</v>
      </c>
      <c r="H23" s="39" t="e">
        <f ca="1">AbraPayable(API!$C$3,API!$C$4,API!$C$5,$C$23,H$20,H$21)/1000</f>
        <v>#NAME?</v>
      </c>
      <c r="I23" s="39" t="e">
        <f ca="1">AbraPayable(API!$C$3,API!$C$4,API!$C$5,$C$23,I$20,I$21)/1000</f>
        <v>#NAME?</v>
      </c>
      <c r="J23" s="39" t="e">
        <f ca="1">AbraPayable(API!$C$3,API!$C$4,API!$C$5,$C$23,J$20,J$21)/1000</f>
        <v>#NAME?</v>
      </c>
      <c r="K23" s="39" t="e">
        <f ca="1">AbraPayable(API!$C$3,API!$C$4,API!$C$5,$C$23,K$20,K$21)/1000</f>
        <v>#NAME?</v>
      </c>
      <c r="L23" s="39" t="e">
        <f ca="1">AbraPayable(API!$C$3,API!$C$4,API!$C$5,$C$23,L$20,L$21)/1000</f>
        <v>#NAME?</v>
      </c>
      <c r="M23" s="39" t="e">
        <f ca="1">AbraPayable(API!$C$3,API!$C$4,API!$C$5,$C$23,M$20,M$21)/1000</f>
        <v>#NAME?</v>
      </c>
      <c r="N23" s="39" t="e">
        <f ca="1">AbraPayable(API!$C$3,API!$C$4,API!$C$5,$C$23,N$20,N$21)/1000</f>
        <v>#NAME?</v>
      </c>
      <c r="O23" s="39" t="e">
        <f ca="1">AbraPayable(API!$C$3,API!$C$4,API!$C$5,$C$23,O$20,O$21)/1000</f>
        <v>#NAME?</v>
      </c>
      <c r="P23" s="39" t="e">
        <f ca="1">AbraPayable(API!$C$3,API!$C$4,API!$C$5,$C$23,P$20,P$21)/1000</f>
        <v>#NAME?</v>
      </c>
      <c r="Q23" s="39" t="e">
        <f ca="1">AbraPayable(API!$C$3,API!$C$4,API!$C$5,$C$23,Q$20,Q$21)/1000</f>
        <v>#NAME?</v>
      </c>
      <c r="R23" s="39" t="e">
        <f ca="1">AbraPayable(API!$C$3,API!$C$4,API!$C$5,$C$23,R$20,R$21)/1000</f>
        <v>#NAME?</v>
      </c>
      <c r="S23" s="39" t="e">
        <f ca="1">AbraPayable(API!$C$3,API!$C$4,API!$C$5,$C$23,S$20,S$21)/1000</f>
        <v>#NAME?</v>
      </c>
      <c r="T23" s="39" t="e">
        <f ca="1">AbraPayable(API!$C$3,API!$C$4,API!$C$5,$C$23,T$20,T$21)/1000</f>
        <v>#NAME?</v>
      </c>
      <c r="U23" s="39" t="e">
        <f ca="1">AbraPayable(API!$C$3,API!$C$4,API!$C$5,$C$23,U$20,U$21)/1000</f>
        <v>#NAME?</v>
      </c>
      <c r="V23" s="39" t="e">
        <f ca="1">AbraPayable(API!$C$3,API!$C$4,API!$C$5,$C$23,V$20,V$21)/1000</f>
        <v>#NAME?</v>
      </c>
      <c r="W23" s="39" t="e">
        <f ca="1">AbraPayable(API!$C$3,API!$C$4,API!$C$5,$C$23,W$20,W$21)/1000</f>
        <v>#NAME?</v>
      </c>
      <c r="X23" s="39" t="e">
        <f ca="1">AbraPayable(API!$C$3,API!$C$4,API!$C$5,$C$23,X$20,X$21)/1000</f>
        <v>#NAME?</v>
      </c>
      <c r="Y23" s="39">
        <f>AbraPayable(API!$C$3,API!$C$4,API!$C$5,$C$23,Y$20,Y$21)/1000</f>
        <v>0</v>
      </c>
      <c r="Z23" s="39">
        <f>AbraPayable(API!$C$3,API!$C$4,API!$C$5,$C$23,Z$20,Z$21)/1000</f>
        <v>0</v>
      </c>
      <c r="AA23" s="39">
        <f>AbraPayable(API!$C$3,API!$C$4,API!$C$5,$C$23,AA$20,AA$21)/1000</f>
        <v>0</v>
      </c>
      <c r="AB23" s="121"/>
    </row>
    <row r="24" spans="2:28" ht="15.75" thickBot="1" x14ac:dyDescent="0.25">
      <c r="B24" s="124"/>
      <c r="C24" s="125" t="s">
        <v>90</v>
      </c>
      <c r="D24" s="39" t="e">
        <f ca="1">AbraPayable(API!$C$3,API!$C$4,API!$C$5,$C$24,D$20,D$21)/1000</f>
        <v>#NAME?</v>
      </c>
      <c r="E24" s="39" t="e">
        <f ca="1">AbraPayable(API!$C$3,API!$C$4,API!$C$5,$C$24,E$20,E$21)/1000</f>
        <v>#NAME?</v>
      </c>
      <c r="F24" s="39" t="e">
        <f ca="1">AbraPayable(API!$C$3,API!$C$4,API!$C$5,$C$24,F$20,F$21)/1000</f>
        <v>#NAME?</v>
      </c>
      <c r="G24" s="39" t="e">
        <f ca="1">AbraPayable(API!$C$3,API!$C$4,API!$C$5,$C$24,G$20,G$21)/1000</f>
        <v>#NAME?</v>
      </c>
      <c r="H24" s="39" t="e">
        <f ca="1">AbraPayable(API!$C$3,API!$C$4,API!$C$5,$C$24,H$20,H$21)/1000</f>
        <v>#NAME?</v>
      </c>
      <c r="I24" s="39" t="e">
        <f ca="1">AbraPayable(API!$C$3,API!$C$4,API!$C$5,$C$24,I$20,I$21)/1000</f>
        <v>#NAME?</v>
      </c>
      <c r="J24" s="39" t="e">
        <f ca="1">AbraPayable(API!$C$3,API!$C$4,API!$C$5,$C$24,J$20,J$21)/1000</f>
        <v>#NAME?</v>
      </c>
      <c r="K24" s="39" t="e">
        <f ca="1">AbraPayable(API!$C$3,API!$C$4,API!$C$5,$C$24,K$20,K$21)/1000</f>
        <v>#NAME?</v>
      </c>
      <c r="L24" s="39" t="e">
        <f ca="1">AbraPayable(API!$C$3,API!$C$4,API!$C$5,$C$24,L$20,L$21)/1000</f>
        <v>#NAME?</v>
      </c>
      <c r="M24" s="39" t="e">
        <f ca="1">AbraPayable(API!$C$3,API!$C$4,API!$C$5,$C$24,M$20,M$21)/1000</f>
        <v>#NAME?</v>
      </c>
      <c r="N24" s="39" t="e">
        <f ca="1">AbraPayable(API!$C$3,API!$C$4,API!$C$5,$C$24,N$20,N$21)/1000</f>
        <v>#NAME?</v>
      </c>
      <c r="O24" s="39" t="e">
        <f ca="1">AbraPayable(API!$C$3,API!$C$4,API!$C$5,$C$24,O$20,O$21)/1000</f>
        <v>#NAME?</v>
      </c>
      <c r="P24" s="39" t="e">
        <f ca="1">AbraPayable(API!$C$3,API!$C$4,API!$C$5,$C$24,P$20,P$21)/1000</f>
        <v>#NAME?</v>
      </c>
      <c r="Q24" s="39" t="e">
        <f ca="1">AbraPayable(API!$C$3,API!$C$4,API!$C$5,$C$24,Q$20,Q$21)/1000</f>
        <v>#NAME?</v>
      </c>
      <c r="R24" s="39" t="e">
        <f ca="1">AbraPayable(API!$C$3,API!$C$4,API!$C$5,$C$24,R$20,R$21)/1000</f>
        <v>#NAME?</v>
      </c>
      <c r="S24" s="39" t="e">
        <f ca="1">AbraPayable(API!$C$3,API!$C$4,API!$C$5,$C$24,S$20,S$21)/1000</f>
        <v>#NAME?</v>
      </c>
      <c r="T24" s="39" t="e">
        <f ca="1">AbraPayable(API!$C$3,API!$C$4,API!$C$5,$C$24,T$20,T$21)/1000</f>
        <v>#NAME?</v>
      </c>
      <c r="U24" s="39" t="e">
        <f ca="1">AbraPayable(API!$C$3,API!$C$4,API!$C$5,$C$24,U$20,U$21)/1000</f>
        <v>#NAME?</v>
      </c>
      <c r="V24" s="39" t="e">
        <f ca="1">AbraPayable(API!$C$3,API!$C$4,API!$C$5,$C$24,V$20,V$21)/1000</f>
        <v>#NAME?</v>
      </c>
      <c r="W24" s="39" t="e">
        <f ca="1">AbraPayable(API!$C$3,API!$C$4,API!$C$5,$C$24,W$20,W$21)/1000</f>
        <v>#NAME?</v>
      </c>
      <c r="X24" s="39" t="e">
        <f ca="1">AbraPayable(API!$C$3,API!$C$4,API!$C$5,$C$24,X$20,X$21)/1000</f>
        <v>#NAME?</v>
      </c>
      <c r="Y24" s="39">
        <f>AbraPayable(API!$C$3,API!$C$4,API!$C$5,$C$24,Y$20,Y$21)/1000</f>
        <v>0</v>
      </c>
      <c r="Z24" s="39">
        <f>AbraPayable(API!$C$3,API!$C$4,API!$C$5,$C$24,Z$20,Z$21)/1000</f>
        <v>0</v>
      </c>
      <c r="AA24" s="39">
        <f>AbraPayable(API!$C$3,API!$C$4,API!$C$5,$C$24,AA$20,AA$21)/1000</f>
        <v>0</v>
      </c>
      <c r="AB24" s="121"/>
    </row>
    <row r="25" spans="2:28" ht="15.75" thickBot="1" x14ac:dyDescent="0.25">
      <c r="B25" s="124"/>
      <c r="C25" s="125" t="s">
        <v>91</v>
      </c>
      <c r="D25" s="39" t="e">
        <f ca="1">AbraPayable(API!$C$3,API!$C$4,API!$C$5,$C$25,D$20,D$21)/1000</f>
        <v>#NAME?</v>
      </c>
      <c r="E25" s="39" t="e">
        <f ca="1">AbraPayable(API!$C$3,API!$C$4,API!$C$5,$C$25,E$20,E$21)/1000</f>
        <v>#NAME?</v>
      </c>
      <c r="F25" s="39" t="e">
        <f ca="1">AbraPayable(API!$C$3,API!$C$4,API!$C$5,$C$25,F$20,F$21)/1000</f>
        <v>#NAME?</v>
      </c>
      <c r="G25" s="39" t="e">
        <f ca="1">AbraPayable(API!$C$3,API!$C$4,API!$C$5,$C$25,G$20,G$21)/1000</f>
        <v>#NAME?</v>
      </c>
      <c r="H25" s="39" t="e">
        <f ca="1">AbraPayable(API!$C$3,API!$C$4,API!$C$5,$C$25,H$20,H$21)/1000</f>
        <v>#NAME?</v>
      </c>
      <c r="I25" s="39" t="e">
        <f ca="1">AbraPayable(API!$C$3,API!$C$4,API!$C$5,$C$25,I$20,I$21)/1000</f>
        <v>#NAME?</v>
      </c>
      <c r="J25" s="39" t="e">
        <f ca="1">AbraPayable(API!$C$3,API!$C$4,API!$C$5,$C$25,J$20,J$21)/1000</f>
        <v>#NAME?</v>
      </c>
      <c r="K25" s="39" t="e">
        <f ca="1">AbraPayable(API!$C$3,API!$C$4,API!$C$5,$C$25,K$20,K$21)/1000</f>
        <v>#NAME?</v>
      </c>
      <c r="L25" s="39" t="e">
        <f ca="1">AbraPayable(API!$C$3,API!$C$4,API!$C$5,$C$25,L$20,L$21)/1000</f>
        <v>#NAME?</v>
      </c>
      <c r="M25" s="39" t="e">
        <f ca="1">AbraPayable(API!$C$3,API!$C$4,API!$C$5,$C$25,M$20,M$21)/1000</f>
        <v>#NAME?</v>
      </c>
      <c r="N25" s="39" t="e">
        <f ca="1">AbraPayable(API!$C$3,API!$C$4,API!$C$5,$C$25,N$20,N$21)/1000</f>
        <v>#NAME?</v>
      </c>
      <c r="O25" s="39" t="e">
        <f ca="1">AbraPayable(API!$C$3,API!$C$4,API!$C$5,$C$25,O$20,O$21)/1000</f>
        <v>#NAME?</v>
      </c>
      <c r="P25" s="39" t="e">
        <f ca="1">AbraPayable(API!$C$3,API!$C$4,API!$C$5,$C$25,P$20,P$21)/1000</f>
        <v>#NAME?</v>
      </c>
      <c r="Q25" s="39" t="e">
        <f ca="1">AbraPayable(API!$C$3,API!$C$4,API!$C$5,$C$25,Q$20,Q$21)/1000</f>
        <v>#NAME?</v>
      </c>
      <c r="R25" s="39" t="e">
        <f ca="1">AbraPayable(API!$C$3,API!$C$4,API!$C$5,$C$25,R$20,R$21)/1000</f>
        <v>#NAME?</v>
      </c>
      <c r="S25" s="39" t="e">
        <f ca="1">AbraPayable(API!$C$3,API!$C$4,API!$C$5,$C$25,S$20,S$21)/1000</f>
        <v>#NAME?</v>
      </c>
      <c r="T25" s="39" t="e">
        <f ca="1">AbraPayable(API!$C$3,API!$C$4,API!$C$5,$C$25,T$20,T$21)/1000</f>
        <v>#NAME?</v>
      </c>
      <c r="U25" s="39" t="e">
        <f ca="1">AbraPayable(API!$C$3,API!$C$4,API!$C$5,$C$25,U$20,U$21)/1000</f>
        <v>#NAME?</v>
      </c>
      <c r="V25" s="39" t="e">
        <f ca="1">AbraPayable(API!$C$3,API!$C$4,API!$C$5,$C$25,V$20,V$21)/1000</f>
        <v>#NAME?</v>
      </c>
      <c r="W25" s="39" t="e">
        <f ca="1">AbraPayable(API!$C$3,API!$C$4,API!$C$5,$C$25,W$20,W$21)/1000</f>
        <v>#NAME?</v>
      </c>
      <c r="X25" s="39" t="e">
        <f ca="1">AbraPayable(API!$C$3,API!$C$4,API!$C$5,$C$25,X$20,X$21)/1000</f>
        <v>#NAME?</v>
      </c>
      <c r="Y25" s="39">
        <f>AbraPayable(API!$C$3,API!$C$4,API!$C$5,$C$25,Y$20,Y$21)/1000</f>
        <v>0</v>
      </c>
      <c r="Z25" s="39">
        <f>AbraPayable(API!$C$3,API!$C$4,API!$C$5,$C$25,Z$20,Z$21)/1000</f>
        <v>0</v>
      </c>
      <c r="AA25" s="39">
        <f>AbraPayable(API!$C$3,API!$C$4,API!$C$5,$C$25,AA$20,AA$21)/1000</f>
        <v>0</v>
      </c>
      <c r="AB25" s="121"/>
    </row>
    <row r="26" spans="2:28" x14ac:dyDescent="0.2">
      <c r="B26" s="41"/>
      <c r="C26" s="42" t="s">
        <v>92</v>
      </c>
      <c r="D26" s="39" t="e">
        <f ca="1">AbraPayable(API!$C$3,API!$C$4,API!$C$5,$C$26,D$20,D$21)/1000</f>
        <v>#NAME?</v>
      </c>
      <c r="E26" s="39" t="e">
        <f ca="1">AbraPayable(API!$C$3,API!$C$4,API!$C$5,$C$26,E$20,E$21)/1000</f>
        <v>#NAME?</v>
      </c>
      <c r="F26" s="39" t="e">
        <f ca="1">AbraPayable(API!$C$3,API!$C$4,API!$C$5,$C$26,F$20,F$21)/1000</f>
        <v>#NAME?</v>
      </c>
      <c r="G26" s="39" t="e">
        <f ca="1">AbraPayable(API!$C$3,API!$C$4,API!$C$5,$C$26,G$20,G$21)/1000</f>
        <v>#NAME?</v>
      </c>
      <c r="H26" s="39" t="e">
        <f ca="1">AbraPayable(API!$C$3,API!$C$4,API!$C$5,$C$26,H$20,H$21)/1000</f>
        <v>#NAME?</v>
      </c>
      <c r="I26" s="39" t="e">
        <f ca="1">AbraPayable(API!$C$3,API!$C$4,API!$C$5,$C$26,I$20,I$21)/1000</f>
        <v>#NAME?</v>
      </c>
      <c r="J26" s="39" t="e">
        <f ca="1">AbraPayable(API!$C$3,API!$C$4,API!$C$5,$C$26,J$20,J$21)/1000</f>
        <v>#NAME?</v>
      </c>
      <c r="K26" s="39" t="e">
        <f ca="1">AbraPayable(API!$C$3,API!$C$4,API!$C$5,$C$26,K$20,K$21)/1000</f>
        <v>#NAME?</v>
      </c>
      <c r="L26" s="39" t="e">
        <f ca="1">AbraPayable(API!$C$3,API!$C$4,API!$C$5,$C$26,L$20,L$21)/1000</f>
        <v>#NAME?</v>
      </c>
      <c r="M26" s="39" t="e">
        <f ca="1">AbraPayable(API!$C$3,API!$C$4,API!$C$5,$C$26,M$20,M$21)/1000</f>
        <v>#NAME?</v>
      </c>
      <c r="N26" s="39" t="e">
        <f ca="1">AbraPayable(API!$C$3,API!$C$4,API!$C$5,$C$26,N$20,N$21)/1000</f>
        <v>#NAME?</v>
      </c>
      <c r="O26" s="39" t="e">
        <f ca="1">AbraPayable(API!$C$3,API!$C$4,API!$C$5,$C$26,O$20,O$21)/1000</f>
        <v>#NAME?</v>
      </c>
      <c r="P26" s="39" t="e">
        <f ca="1">AbraPayable(API!$C$3,API!$C$4,API!$C$5,$C$26,P$20,P$21)/1000</f>
        <v>#NAME?</v>
      </c>
      <c r="Q26" s="39" t="e">
        <f ca="1">AbraPayable(API!$C$3,API!$C$4,API!$C$5,$C$26,Q$20,Q$21)/1000</f>
        <v>#NAME?</v>
      </c>
      <c r="R26" s="39" t="e">
        <f ca="1">AbraPayable(API!$C$3,API!$C$4,API!$C$5,$C$26,R$20,R$21)/1000</f>
        <v>#NAME?</v>
      </c>
      <c r="S26" s="39" t="e">
        <f ca="1">AbraPayable(API!$C$3,API!$C$4,API!$C$5,$C$26,S$20,S$21)/1000</f>
        <v>#NAME?</v>
      </c>
      <c r="T26" s="39" t="e">
        <f ca="1">AbraPayable(API!$C$3,API!$C$4,API!$C$5,$C$26,T$20,T$21)/1000</f>
        <v>#NAME?</v>
      </c>
      <c r="U26" s="39" t="e">
        <f ca="1">AbraPayable(API!$C$3,API!$C$4,API!$C$5,$C$26,U$20,U$21)/1000</f>
        <v>#NAME?</v>
      </c>
      <c r="V26" s="39" t="e">
        <f ca="1">AbraPayable(API!$C$3,API!$C$4,API!$C$5,$C$26,V$20,V$21)/1000</f>
        <v>#NAME?</v>
      </c>
      <c r="W26" s="39" t="e">
        <f ca="1">AbraPayable(API!$C$3,API!$C$4,API!$C$5,$C$26,W$20,W$21)/1000</f>
        <v>#NAME?</v>
      </c>
      <c r="X26" s="39" t="e">
        <f ca="1">AbraPayable(API!$C$3,API!$C$4,API!$C$5,$C$26,X$20,X$21)/1000</f>
        <v>#NAME?</v>
      </c>
      <c r="Y26" s="39" t="e">
        <f ca="1">AbraPayable(API!$C$3,API!$C$4,API!$C$5,$C$26,Y$20,Y$21)/1000</f>
        <v>#NAME?</v>
      </c>
      <c r="Z26" s="39">
        <f>AbraPayable(API!$C$3,API!$C$4,API!$C$5,$C$26,Z$20,Z$21)/1000</f>
        <v>0</v>
      </c>
      <c r="AA26" s="39">
        <f>AbraPayable(API!$C$3,API!$C$4,API!$C$5,$C$26,AA$20,AA$21)/1000</f>
        <v>0</v>
      </c>
      <c r="AB26" s="121"/>
    </row>
    <row r="27" spans="2:28" x14ac:dyDescent="0.2">
      <c r="B27" s="113"/>
      <c r="C27" s="113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62"/>
    </row>
    <row r="28" spans="2:28" x14ac:dyDescent="0.2">
      <c r="B28" s="113"/>
      <c r="C28" s="113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62"/>
    </row>
    <row r="30" spans="2:28" x14ac:dyDescent="0.25">
      <c r="B30" s="126" t="s">
        <v>87</v>
      </c>
    </row>
    <row r="32" spans="2:28" x14ac:dyDescent="0.2">
      <c r="B32" s="122" t="s">
        <v>81</v>
      </c>
    </row>
    <row r="33" spans="2:2" x14ac:dyDescent="0.2">
      <c r="B33" s="122" t="s">
        <v>82</v>
      </c>
    </row>
    <row r="34" spans="2:2" x14ac:dyDescent="0.2">
      <c r="B34" s="122" t="s">
        <v>83</v>
      </c>
    </row>
    <row r="35" spans="2:2" x14ac:dyDescent="0.2">
      <c r="B35" s="122" t="s">
        <v>84</v>
      </c>
    </row>
  </sheetData>
  <mergeCells count="2">
    <mergeCell ref="B6:C7"/>
    <mergeCell ref="B20:C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8">
              <controlPr defaultSize="0" print="0" autoFill="0" autoPict="0" macro="[0]!Recalculate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Recalculate_8">
                <anchor moveWithCells="1">
                  <from>
                    <xdr:col>2</xdr:col>
                    <xdr:colOff>9525</xdr:colOff>
                    <xdr:row>17</xdr:row>
                    <xdr:rowOff>66675</xdr:rowOff>
                  </from>
                  <to>
                    <xdr:col>2</xdr:col>
                    <xdr:colOff>609600</xdr:colOff>
                    <xdr:row>18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H30"/>
  <sheetViews>
    <sheetView zoomScale="130" zoomScaleNormal="130" zoomScalePageLayoutView="130" workbookViewId="0">
      <selection activeCell="E16" sqref="E16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26.28515625" style="59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75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41639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 t="s">
        <v>93</v>
      </c>
      <c r="C6" s="143"/>
      <c r="D6" s="22">
        <f>D7-IF(MONTH(D7)=2,IF(OR(YEAR(D7)=2008,YEAR(D7)=2012,YEAR(D7)=2016),29,28),IF(OR(MONTH(D7)=4,MONTH(D7)=6,MONTH(D7)=9,MONTH(D7)=11),30,31))+1</f>
        <v>40909</v>
      </c>
      <c r="E6" s="23">
        <f t="shared" ref="E6:AA6" si="0">E7-IF(MONTH(E7)=2,IF(OR(YEAR(E7)=2008,YEAR(E7)=2012,YEAR(E7)=2016),29,28),IF(OR(MONTH(E7)=4,MONTH(E7)=6,MONTH(E7)=9,MONTH(E7)=11),30,31))+1</f>
        <v>40940</v>
      </c>
      <c r="F6" s="23">
        <f t="shared" si="0"/>
        <v>40969</v>
      </c>
      <c r="G6" s="23">
        <f t="shared" si="0"/>
        <v>41000</v>
      </c>
      <c r="H6" s="23">
        <f t="shared" si="0"/>
        <v>41030</v>
      </c>
      <c r="I6" s="23">
        <f t="shared" si="0"/>
        <v>41061</v>
      </c>
      <c r="J6" s="23">
        <f t="shared" si="0"/>
        <v>41091</v>
      </c>
      <c r="K6" s="23">
        <f t="shared" si="0"/>
        <v>41122</v>
      </c>
      <c r="L6" s="23">
        <f t="shared" si="0"/>
        <v>41153</v>
      </c>
      <c r="M6" s="23">
        <f t="shared" si="0"/>
        <v>41183</v>
      </c>
      <c r="N6" s="23">
        <f t="shared" si="0"/>
        <v>41214</v>
      </c>
      <c r="O6" s="23">
        <f t="shared" si="0"/>
        <v>41244</v>
      </c>
      <c r="P6" s="23">
        <f t="shared" si="0"/>
        <v>41275</v>
      </c>
      <c r="Q6" s="23">
        <f t="shared" si="0"/>
        <v>41306</v>
      </c>
      <c r="R6" s="23">
        <f t="shared" si="0"/>
        <v>41334</v>
      </c>
      <c r="S6" s="23">
        <f t="shared" si="0"/>
        <v>41365</v>
      </c>
      <c r="T6" s="23">
        <f t="shared" si="0"/>
        <v>41395</v>
      </c>
      <c r="U6" s="23">
        <f t="shared" si="0"/>
        <v>41426</v>
      </c>
      <c r="V6" s="23">
        <f t="shared" si="0"/>
        <v>41456</v>
      </c>
      <c r="W6" s="23">
        <f t="shared" si="0"/>
        <v>41487</v>
      </c>
      <c r="X6" s="23">
        <f t="shared" si="0"/>
        <v>41518</v>
      </c>
      <c r="Y6" s="23">
        <f t="shared" si="0"/>
        <v>41548</v>
      </c>
      <c r="Z6" s="23">
        <f t="shared" si="0"/>
        <v>41579</v>
      </c>
      <c r="AA6" s="23">
        <f t="shared" si="0"/>
        <v>41609</v>
      </c>
    </row>
    <row r="7" spans="1:190" s="60" customFormat="1" ht="12" customHeight="1" thickBot="1" x14ac:dyDescent="0.25">
      <c r="A7" s="69"/>
      <c r="B7" s="144"/>
      <c r="C7" s="145"/>
      <c r="D7" s="26">
        <f t="shared" ref="D7:Z7" si="1">E6-1</f>
        <v>40939</v>
      </c>
      <c r="E7" s="27">
        <f t="shared" si="1"/>
        <v>40968</v>
      </c>
      <c r="F7" s="27">
        <f t="shared" si="1"/>
        <v>40999</v>
      </c>
      <c r="G7" s="27">
        <f t="shared" si="1"/>
        <v>41029</v>
      </c>
      <c r="H7" s="27">
        <f t="shared" si="1"/>
        <v>41060</v>
      </c>
      <c r="I7" s="27">
        <f t="shared" si="1"/>
        <v>41090</v>
      </c>
      <c r="J7" s="27">
        <f t="shared" si="1"/>
        <v>41121</v>
      </c>
      <c r="K7" s="27">
        <f t="shared" si="1"/>
        <v>41152</v>
      </c>
      <c r="L7" s="27">
        <f t="shared" si="1"/>
        <v>41182</v>
      </c>
      <c r="M7" s="27">
        <f t="shared" si="1"/>
        <v>41213</v>
      </c>
      <c r="N7" s="27">
        <f t="shared" si="1"/>
        <v>41243</v>
      </c>
      <c r="O7" s="27">
        <f t="shared" si="1"/>
        <v>41274</v>
      </c>
      <c r="P7" s="27">
        <f t="shared" si="1"/>
        <v>41305</v>
      </c>
      <c r="Q7" s="27">
        <f t="shared" si="1"/>
        <v>41333</v>
      </c>
      <c r="R7" s="27">
        <f t="shared" si="1"/>
        <v>41364</v>
      </c>
      <c r="S7" s="27">
        <f t="shared" si="1"/>
        <v>41394</v>
      </c>
      <c r="T7" s="27">
        <f t="shared" si="1"/>
        <v>41425</v>
      </c>
      <c r="U7" s="27">
        <f t="shared" si="1"/>
        <v>41455</v>
      </c>
      <c r="V7" s="27">
        <f t="shared" si="1"/>
        <v>41486</v>
      </c>
      <c r="W7" s="27">
        <f t="shared" si="1"/>
        <v>41517</v>
      </c>
      <c r="X7" s="27">
        <f t="shared" si="1"/>
        <v>41547</v>
      </c>
      <c r="Y7" s="27">
        <f t="shared" si="1"/>
        <v>41578</v>
      </c>
      <c r="Z7" s="27">
        <f t="shared" si="1"/>
        <v>41608</v>
      </c>
      <c r="AA7" s="27">
        <f>C3</f>
        <v>41639</v>
      </c>
    </row>
    <row r="8" spans="1:190" s="61" customFormat="1" ht="12" customHeight="1" thickBot="1" x14ac:dyDescent="0.25">
      <c r="A8" s="70"/>
      <c r="B8" s="29" t="s">
        <v>1</v>
      </c>
      <c r="C8" s="30" t="s">
        <v>94</v>
      </c>
      <c r="D8" s="31">
        <f t="shared" ref="D8:AA8" si="2">D6</f>
        <v>40909</v>
      </c>
      <c r="E8" s="32">
        <f t="shared" si="2"/>
        <v>40940</v>
      </c>
      <c r="F8" s="32">
        <f t="shared" si="2"/>
        <v>40969</v>
      </c>
      <c r="G8" s="33">
        <f t="shared" si="2"/>
        <v>41000</v>
      </c>
      <c r="H8" s="33">
        <f t="shared" si="2"/>
        <v>41030</v>
      </c>
      <c r="I8" s="33">
        <f t="shared" si="2"/>
        <v>41061</v>
      </c>
      <c r="J8" s="33">
        <f t="shared" si="2"/>
        <v>41091</v>
      </c>
      <c r="K8" s="33">
        <f t="shared" si="2"/>
        <v>41122</v>
      </c>
      <c r="L8" s="33">
        <f t="shared" si="2"/>
        <v>41153</v>
      </c>
      <c r="M8" s="33">
        <f t="shared" si="2"/>
        <v>41183</v>
      </c>
      <c r="N8" s="33">
        <f t="shared" si="2"/>
        <v>41214</v>
      </c>
      <c r="O8" s="33">
        <f t="shared" si="2"/>
        <v>41244</v>
      </c>
      <c r="P8" s="33">
        <f t="shared" si="2"/>
        <v>41275</v>
      </c>
      <c r="Q8" s="33">
        <f t="shared" si="2"/>
        <v>41306</v>
      </c>
      <c r="R8" s="33">
        <f t="shared" si="2"/>
        <v>41334</v>
      </c>
      <c r="S8" s="33">
        <f t="shared" si="2"/>
        <v>41365</v>
      </c>
      <c r="T8" s="33">
        <f t="shared" si="2"/>
        <v>41395</v>
      </c>
      <c r="U8" s="33">
        <f t="shared" si="2"/>
        <v>41426</v>
      </c>
      <c r="V8" s="33">
        <f t="shared" si="2"/>
        <v>41456</v>
      </c>
      <c r="W8" s="33">
        <f t="shared" si="2"/>
        <v>41487</v>
      </c>
      <c r="X8" s="33">
        <f t="shared" si="2"/>
        <v>41518</v>
      </c>
      <c r="Y8" s="33">
        <f t="shared" si="2"/>
        <v>41548</v>
      </c>
      <c r="Z8" s="33">
        <f t="shared" si="2"/>
        <v>41579</v>
      </c>
      <c r="AA8" s="33">
        <f t="shared" si="2"/>
        <v>41609</v>
      </c>
    </row>
    <row r="9" spans="1:190" ht="15" customHeight="1" thickBot="1" x14ac:dyDescent="0.25">
      <c r="B9" s="37" t="s">
        <v>109</v>
      </c>
      <c r="C9" s="38" t="s">
        <v>57</v>
      </c>
      <c r="D9" s="39" t="e">
        <f ca="1">AbraDepreciation(API!$C$3,API!$C$4,API!$C$5,$C$9,D$6,D$7)/1000</f>
        <v>#NAME?</v>
      </c>
      <c r="E9" s="39">
        <f>AbraDepreciation(API!$C$3,API!$C$4,API!$C$5,$C$9,E$6,E$7)/1000</f>
        <v>0</v>
      </c>
      <c r="F9" s="39" t="e">
        <f ca="1">AbraDepreciation(API!$C$3,API!$C$4,API!$C$5,$C$9,F$6,F$7)/1000</f>
        <v>#NAME?</v>
      </c>
      <c r="G9" s="39" t="e">
        <f ca="1">AbraDepreciation(API!$C$3,API!$C$4,API!$C$5,$C$9,G$6,G$7)/1000</f>
        <v>#NAME?</v>
      </c>
      <c r="H9" s="39" t="e">
        <f ca="1">AbraDepreciation(API!$C$3,API!$C$4,API!$C$5,$C$9,H$6,H$7)/1000</f>
        <v>#NAME?</v>
      </c>
      <c r="I9" s="39" t="e">
        <f ca="1">AbraDepreciation(API!$C$3,API!$C$4,API!$C$5,$C$9,I$6,I$7)/1000</f>
        <v>#NAME?</v>
      </c>
      <c r="J9" s="39" t="e">
        <f ca="1">AbraDepreciation(API!$C$3,API!$C$4,API!$C$5,$C$9,J$6,J$7)/1000</f>
        <v>#NAME?</v>
      </c>
      <c r="K9" s="39" t="e">
        <f ca="1">AbraDepreciation(API!$C$3,API!$C$4,API!$C$5,$C$9,K$6,K$7)/1000</f>
        <v>#NAME?</v>
      </c>
      <c r="L9" s="39" t="e">
        <f ca="1">AbraDepreciation(API!$C$3,API!$C$4,API!$C$5,$C$9,L$6,L$7)/1000</f>
        <v>#NAME?</v>
      </c>
      <c r="M9" s="39" t="e">
        <f ca="1">AbraDepreciation(API!$C$3,API!$C$4,API!$C$5,$C$9,M$6,M$7)/1000</f>
        <v>#NAME?</v>
      </c>
      <c r="N9" s="39" t="e">
        <f ca="1">AbraDepreciation(API!$C$3,API!$C$4,API!$C$5,$C$9,N$6,N$7)/1000</f>
        <v>#NAME?</v>
      </c>
      <c r="O9" s="39" t="e">
        <f ca="1">AbraDepreciation(API!$C$3,API!$C$4,API!$C$5,$C$9,O$6,O$7)/1000</f>
        <v>#NAME?</v>
      </c>
      <c r="P9" s="39" t="e">
        <f ca="1">AbraDepreciation(API!$C$3,API!$C$4,API!$C$5,$C$9,P$6,P$7)/1000</f>
        <v>#NAME?</v>
      </c>
      <c r="Q9" s="39" t="e">
        <f ca="1">AbraDepreciation(API!$C$3,API!$C$4,API!$C$5,$C$9,Q$6,Q$7)/1000</f>
        <v>#NAME?</v>
      </c>
      <c r="R9" s="39" t="e">
        <f ca="1">AbraDepreciation(API!$C$3,API!$C$4,API!$C$5,$C$9,R$6,R$7)/1000</f>
        <v>#NAME?</v>
      </c>
      <c r="S9" s="39" t="e">
        <f ca="1">AbraDepreciation(API!$C$3,API!$C$4,API!$C$5,$C$9,S$6,S$7)/1000</f>
        <v>#NAME?</v>
      </c>
      <c r="T9" s="39" t="e">
        <f ca="1">AbraDepreciation(API!$C$3,API!$C$4,API!$C$5,$C$9,T$6,T$7)/1000</f>
        <v>#NAME?</v>
      </c>
      <c r="U9" s="39" t="e">
        <f ca="1">AbraDepreciation(API!$C$3,API!$C$4,API!$C$5,$C$9,U$6,U$7)/1000</f>
        <v>#NAME?</v>
      </c>
      <c r="V9" s="39" t="e">
        <f ca="1">AbraDepreciation(API!$C$3,API!$C$4,API!$C$5,$C$9,V$6,V$7)/1000</f>
        <v>#NAME?</v>
      </c>
      <c r="W9" s="39" t="e">
        <f ca="1">AbraDepreciation(API!$C$3,API!$C$4,API!$C$5,$C$9,W$6,W$7)/1000</f>
        <v>#NAME?</v>
      </c>
      <c r="X9" s="39" t="e">
        <f ca="1">AbraDepreciation(API!$C$3,API!$C$4,API!$C$5,$C$9,X$6,X$7)/1000</f>
        <v>#NAME?</v>
      </c>
      <c r="Y9" s="39" t="e">
        <f ca="1">AbraDepreciation(API!$C$3,API!$C$4,API!$C$5,$C$9,Y$6,Y$7)/1000</f>
        <v>#NAME?</v>
      </c>
      <c r="Z9" s="39">
        <f>AbraDepreciation(API!$C$3,API!$C$4,API!$C$5,$C$9,Z$6,Z$7)/1000</f>
        <v>0</v>
      </c>
      <c r="AA9" s="39">
        <f>AbraDepreciation(API!$C$3,API!$C$4,API!$C$5,$C$9,AA$6,AA$7)/1000</f>
        <v>0</v>
      </c>
      <c r="AB9" s="61"/>
      <c r="AC9" s="61"/>
    </row>
    <row r="10" spans="1:190" ht="15" customHeight="1" thickBot="1" x14ac:dyDescent="0.25">
      <c r="B10" s="41" t="s">
        <v>110</v>
      </c>
      <c r="C10" s="42" t="s">
        <v>89</v>
      </c>
      <c r="D10" s="39" t="e">
        <f ca="1">AbraDepreciation(API!$C$3,API!$C$4,API!$C$5,$C$10,D$6,D$7)/1000</f>
        <v>#NAME?</v>
      </c>
      <c r="E10" s="39" t="e">
        <f ca="1">AbraDepreciation(API!$C$3,API!$C$4,API!$C$5,$C$10,E$6,E$7)/1000</f>
        <v>#NAME?</v>
      </c>
      <c r="F10" s="39" t="e">
        <f ca="1">AbraDepreciation(API!$C$3,API!$C$4,API!$C$5,$C$10,F$6,F$7)/1000</f>
        <v>#NAME?</v>
      </c>
      <c r="G10" s="39" t="e">
        <f ca="1">AbraDepreciation(API!$C$3,API!$C$4,API!$C$5,$C$10,G$6,G$7)/1000</f>
        <v>#NAME?</v>
      </c>
      <c r="H10" s="39" t="e">
        <f ca="1">AbraDepreciation(API!$C$3,API!$C$4,API!$C$5,$C$10,H$6,H$7)/1000</f>
        <v>#NAME?</v>
      </c>
      <c r="I10" s="39" t="e">
        <f ca="1">AbraDepreciation(API!$C$3,API!$C$4,API!$C$5,$C$10,I$6,I$7)/1000</f>
        <v>#NAME?</v>
      </c>
      <c r="J10" s="39" t="e">
        <f ca="1">AbraDepreciation(API!$C$3,API!$C$4,API!$C$5,$C$10,J$6,J$7)/1000</f>
        <v>#NAME?</v>
      </c>
      <c r="K10" s="39" t="e">
        <f ca="1">AbraDepreciation(API!$C$3,API!$C$4,API!$C$5,$C$10,K$6,K$7)/1000</f>
        <v>#NAME?</v>
      </c>
      <c r="L10" s="39" t="e">
        <f ca="1">AbraDepreciation(API!$C$3,API!$C$4,API!$C$5,$C$10,L$6,L$7)/1000</f>
        <v>#NAME?</v>
      </c>
      <c r="M10" s="39" t="e">
        <f ca="1">AbraDepreciation(API!$C$3,API!$C$4,API!$C$5,$C$10,M$6,M$7)/1000</f>
        <v>#NAME?</v>
      </c>
      <c r="N10" s="39" t="e">
        <f ca="1">AbraDepreciation(API!$C$3,API!$C$4,API!$C$5,$C$10,N$6,N$7)/1000</f>
        <v>#NAME?</v>
      </c>
      <c r="O10" s="39" t="e">
        <f ca="1">AbraDepreciation(API!$C$3,API!$C$4,API!$C$5,$C$10,O$6,O$7)/1000</f>
        <v>#NAME?</v>
      </c>
      <c r="P10" s="39" t="e">
        <f ca="1">AbraDepreciation(API!$C$3,API!$C$4,API!$C$5,$C$10,P$6,P$7)/1000</f>
        <v>#NAME?</v>
      </c>
      <c r="Q10" s="39" t="e">
        <f ca="1">AbraDepreciation(API!$C$3,API!$C$4,API!$C$5,$C$10,Q$6,Q$7)/1000</f>
        <v>#NAME?</v>
      </c>
      <c r="R10" s="39" t="e">
        <f ca="1">AbraDepreciation(API!$C$3,API!$C$4,API!$C$5,$C$10,R$6,R$7)/1000</f>
        <v>#NAME?</v>
      </c>
      <c r="S10" s="39" t="e">
        <f ca="1">AbraDepreciation(API!$C$3,API!$C$4,API!$C$5,$C$10,S$6,S$7)/1000</f>
        <v>#NAME?</v>
      </c>
      <c r="T10" s="39" t="e">
        <f ca="1">AbraDepreciation(API!$C$3,API!$C$4,API!$C$5,$C$10,T$6,T$7)/1000</f>
        <v>#NAME?</v>
      </c>
      <c r="U10" s="39" t="e">
        <f ca="1">AbraDepreciation(API!$C$3,API!$C$4,API!$C$5,$C$10,U$6,U$7)/1000</f>
        <v>#NAME?</v>
      </c>
      <c r="V10" s="39" t="e">
        <f ca="1">AbraDepreciation(API!$C$3,API!$C$4,API!$C$5,$C$10,V$6,V$7)/1000</f>
        <v>#NAME?</v>
      </c>
      <c r="W10" s="39" t="e">
        <f ca="1">AbraDepreciation(API!$C$3,API!$C$4,API!$C$5,$C$10,W$6,W$7)/1000</f>
        <v>#NAME?</v>
      </c>
      <c r="X10" s="39" t="e">
        <f ca="1">AbraDepreciation(API!$C$3,API!$C$4,API!$C$5,$C$10,X$6,X$7)/1000</f>
        <v>#NAME?</v>
      </c>
      <c r="Y10" s="39" t="e">
        <f ca="1">AbraDepreciation(API!$C$3,API!$C$4,API!$C$5,$C$10,Y$6,Y$7)/1000</f>
        <v>#NAME?</v>
      </c>
      <c r="Z10" s="39">
        <f>AbraDepreciation(API!$C$3,API!$C$4,API!$C$5,$C$10,Z$6,Z$7)/1000</f>
        <v>0</v>
      </c>
      <c r="AA10" s="39">
        <f>AbraDepreciation(API!$C$3,API!$C$4,API!$C$5,$C$10,AA$6,AA$7)/1000</f>
        <v>0</v>
      </c>
    </row>
    <row r="11" spans="1:190" s="72" customFormat="1" ht="15" customHeight="1" thickBot="1" x14ac:dyDescent="0.25">
      <c r="A11" s="71"/>
      <c r="B11" s="136" t="s">
        <v>97</v>
      </c>
      <c r="C11" s="137"/>
      <c r="D11" s="18" t="e">
        <f ca="1">D9-D10</f>
        <v>#NAME?</v>
      </c>
      <c r="E11" s="18" t="e">
        <f t="shared" ref="E11:AA11" ca="1" si="3">E9-E10</f>
        <v>#NAME?</v>
      </c>
      <c r="F11" s="18" t="e">
        <f t="shared" ca="1" si="3"/>
        <v>#NAME?</v>
      </c>
      <c r="G11" s="18" t="e">
        <f t="shared" ca="1" si="3"/>
        <v>#NAME?</v>
      </c>
      <c r="H11" s="18" t="e">
        <f t="shared" ca="1" si="3"/>
        <v>#NAME?</v>
      </c>
      <c r="I11" s="18" t="e">
        <f t="shared" ca="1" si="3"/>
        <v>#NAME?</v>
      </c>
      <c r="J11" s="18" t="e">
        <f t="shared" ca="1" si="3"/>
        <v>#NAME?</v>
      </c>
      <c r="K11" s="18" t="e">
        <f t="shared" ca="1" si="3"/>
        <v>#NAME?</v>
      </c>
      <c r="L11" s="18" t="e">
        <f t="shared" ca="1" si="3"/>
        <v>#NAME?</v>
      </c>
      <c r="M11" s="18" t="e">
        <f t="shared" ca="1" si="3"/>
        <v>#NAME?</v>
      </c>
      <c r="N11" s="18" t="e">
        <f t="shared" ca="1" si="3"/>
        <v>#NAME?</v>
      </c>
      <c r="O11" s="18" t="e">
        <f t="shared" ca="1" si="3"/>
        <v>#NAME?</v>
      </c>
      <c r="P11" s="18" t="e">
        <f t="shared" ca="1" si="3"/>
        <v>#NAME?</v>
      </c>
      <c r="Q11" s="18" t="e">
        <f t="shared" ca="1" si="3"/>
        <v>#NAME?</v>
      </c>
      <c r="R11" s="18" t="e">
        <f t="shared" ca="1" si="3"/>
        <v>#NAME?</v>
      </c>
      <c r="S11" s="18" t="e">
        <f t="shared" ca="1" si="3"/>
        <v>#NAME?</v>
      </c>
      <c r="T11" s="18" t="e">
        <f t="shared" ca="1" si="3"/>
        <v>#NAME?</v>
      </c>
      <c r="U11" s="18" t="e">
        <f t="shared" ca="1" si="3"/>
        <v>#NAME?</v>
      </c>
      <c r="V11" s="18" t="e">
        <f t="shared" ca="1" si="3"/>
        <v>#NAME?</v>
      </c>
      <c r="W11" s="18" t="e">
        <f t="shared" ca="1" si="3"/>
        <v>#NAME?</v>
      </c>
      <c r="X11" s="18" t="e">
        <f t="shared" ca="1" si="3"/>
        <v>#NAME?</v>
      </c>
      <c r="Y11" s="18" t="e">
        <f t="shared" ca="1" si="3"/>
        <v>#NAME?</v>
      </c>
      <c r="Z11" s="18">
        <f t="shared" si="3"/>
        <v>0</v>
      </c>
      <c r="AA11" s="18">
        <f t="shared" si="3"/>
        <v>0</v>
      </c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</row>
    <row r="12" spans="1:190" s="72" customFormat="1" ht="15" customHeight="1" x14ac:dyDescent="0.2">
      <c r="A12" s="71"/>
      <c r="B12" s="113"/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</row>
    <row r="14" spans="1:190" ht="15.75" thickBot="1" x14ac:dyDescent="0.25">
      <c r="B14" s="108" t="s">
        <v>106</v>
      </c>
      <c r="C14" s="108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10"/>
      <c r="V14" s="111"/>
      <c r="W14" s="111"/>
      <c r="X14" s="111"/>
      <c r="Y14" s="111"/>
      <c r="Z14" s="111"/>
      <c r="AA14" s="109"/>
    </row>
    <row r="15" spans="1:190" x14ac:dyDescent="0.2">
      <c r="B15" s="112" t="s">
        <v>111</v>
      </c>
      <c r="C15" s="115" t="s">
        <v>102</v>
      </c>
      <c r="D15" s="119" t="e">
        <f ca="1">AbraAsset(API!$C$3,API!$C$4,API!$C$5,$C$15,D$7)/1000</f>
        <v>#NAME?</v>
      </c>
      <c r="E15" s="119" t="e">
        <f ca="1">AbraAsset(API!$C$3,API!$C$4,API!$C$5,$C$15,E$7)/1000</f>
        <v>#NAME?</v>
      </c>
      <c r="F15" s="119" t="e">
        <f ca="1">AbraAsset(API!$C$3,API!$C$4,API!$C$5,$C$15,F$7)/1000</f>
        <v>#NAME?</v>
      </c>
      <c r="G15" s="119" t="e">
        <f ca="1">AbraAsset(API!$C$3,API!$C$4,API!$C$5,$C$15,G$7)/1000</f>
        <v>#NAME?</v>
      </c>
      <c r="H15" s="119" t="e">
        <f ca="1">AbraAsset(API!$C$3,API!$C$4,API!$C$5,$C$15,H$7)/1000</f>
        <v>#NAME?</v>
      </c>
      <c r="I15" s="119" t="e">
        <f ca="1">AbraAsset(API!$C$3,API!$C$4,API!$C$5,$C$15,I$7)/1000</f>
        <v>#NAME?</v>
      </c>
      <c r="J15" s="119" t="e">
        <f ca="1">AbraAsset(API!$C$3,API!$C$4,API!$C$5,$C$15,J$7)/1000</f>
        <v>#NAME?</v>
      </c>
      <c r="K15" s="119" t="e">
        <f ca="1">AbraAsset(API!$C$3,API!$C$4,API!$C$5,$C$15,K$7)/1000</f>
        <v>#NAME?</v>
      </c>
      <c r="L15" s="119" t="e">
        <f ca="1">AbraAsset(API!$C$3,API!$C$4,API!$C$5,$C$15,L$7)/1000</f>
        <v>#NAME?</v>
      </c>
      <c r="M15" s="119" t="e">
        <f ca="1">AbraAsset(API!$C$3,API!$C$4,API!$C$5,$C$15,M$7)/1000</f>
        <v>#NAME?</v>
      </c>
      <c r="N15" s="119" t="e">
        <f ca="1">AbraAsset(API!$C$3,API!$C$4,API!$C$5,$C$15,N$7)/1000</f>
        <v>#NAME?</v>
      </c>
      <c r="O15" s="119" t="e">
        <f ca="1">AbraAsset(API!$C$3,API!$C$4,API!$C$5,$C$15,O$7)/1000</f>
        <v>#NAME?</v>
      </c>
      <c r="P15" s="119" t="e">
        <f ca="1">AbraAsset(API!$C$3,API!$C$4,API!$C$5,$C$15,P$7)/1000</f>
        <v>#NAME?</v>
      </c>
      <c r="Q15" s="119" t="e">
        <f ca="1">AbraAsset(API!$C$3,API!$C$4,API!$C$5,$C$15,Q$7)/1000</f>
        <v>#NAME?</v>
      </c>
      <c r="R15" s="119" t="e">
        <f ca="1">AbraAsset(API!$C$3,API!$C$4,API!$C$5,$C$15,R$7)/1000</f>
        <v>#NAME?</v>
      </c>
      <c r="S15" s="119" t="e">
        <f ca="1">AbraAsset(API!$C$3,API!$C$4,API!$C$5,$C$15,S$7)/1000</f>
        <v>#NAME?</v>
      </c>
      <c r="T15" s="119" t="e">
        <f ca="1">AbraAsset(API!$C$3,API!$C$4,API!$C$5,$C$15,T$7)/1000</f>
        <v>#NAME?</v>
      </c>
      <c r="U15" s="119" t="e">
        <f ca="1">AbraAsset(API!$C$3,API!$C$4,API!$C$5,$C$15,U$7)/1000</f>
        <v>#NAME?</v>
      </c>
      <c r="V15" s="119" t="e">
        <f ca="1">AbraAsset(API!$C$3,API!$C$4,API!$C$5,$C$15,V$7)/1000</f>
        <v>#NAME?</v>
      </c>
      <c r="W15" s="119" t="e">
        <f ca="1">AbraAsset(API!$C$3,API!$C$4,API!$C$5,$C$15,W$7)/1000</f>
        <v>#NAME?</v>
      </c>
      <c r="X15" s="119" t="e">
        <f ca="1">AbraAsset(API!$C$3,API!$C$4,API!$C$5,$C$15,X$7)/1000</f>
        <v>#NAME?</v>
      </c>
      <c r="Y15" s="119">
        <f>AbraAsset(API!$C$3,API!$C$4,API!$C$5,$C$15,Y$7)/1000</f>
        <v>0</v>
      </c>
      <c r="Z15" s="119">
        <f>AbraAsset(API!$C$3,API!$C$4,API!$C$5,$C$15,Z$7)/1000</f>
        <v>0</v>
      </c>
      <c r="AA15" s="119">
        <f>AbraAsset(API!$C$3,API!$C$4,API!$C$5,$C$15,AA$7)/1000</f>
        <v>0</v>
      </c>
      <c r="AB15" s="117"/>
    </row>
    <row r="16" spans="1:190" x14ac:dyDescent="0.2">
      <c r="B16" s="124" t="s">
        <v>112</v>
      </c>
      <c r="C16" s="127" t="s">
        <v>103</v>
      </c>
      <c r="D16" s="119" t="e">
        <f ca="1">AbraAsset(API!$C$3,API!$C$4,API!$C$5,$C$16,D$7)/1000</f>
        <v>#NAME?</v>
      </c>
      <c r="E16" s="119" t="e">
        <f ca="1">AbraAsset(API!$C$3,API!$C$4,API!$C$5,$C$16,E$7)/1000</f>
        <v>#NAME?</v>
      </c>
      <c r="F16" s="119" t="e">
        <f ca="1">AbraAsset(API!$C$3,API!$C$4,API!$C$5,$C$16,F$7)/1000</f>
        <v>#NAME?</v>
      </c>
      <c r="G16" s="119" t="e">
        <f ca="1">AbraAsset(API!$C$3,API!$C$4,API!$C$5,$C$16,G$7)/1000</f>
        <v>#NAME?</v>
      </c>
      <c r="H16" s="119" t="e">
        <f ca="1">AbraAsset(API!$C$3,API!$C$4,API!$C$5,$C$16,H$7)/1000</f>
        <v>#NAME?</v>
      </c>
      <c r="I16" s="119" t="e">
        <f ca="1">AbraAsset(API!$C$3,API!$C$4,API!$C$5,$C$16,I$7)/1000</f>
        <v>#NAME?</v>
      </c>
      <c r="J16" s="119" t="e">
        <f ca="1">AbraAsset(API!$C$3,API!$C$4,API!$C$5,$C$16,J$7)/1000</f>
        <v>#NAME?</v>
      </c>
      <c r="K16" s="119" t="e">
        <f ca="1">AbraAsset(API!$C$3,API!$C$4,API!$C$5,$C$16,K$7)/1000</f>
        <v>#NAME?</v>
      </c>
      <c r="L16" s="119" t="e">
        <f ca="1">AbraAsset(API!$C$3,API!$C$4,API!$C$5,$C$16,L$7)/1000</f>
        <v>#NAME?</v>
      </c>
      <c r="M16" s="119" t="e">
        <f ca="1">AbraAsset(API!$C$3,API!$C$4,API!$C$5,$C$16,M$7)/1000</f>
        <v>#NAME?</v>
      </c>
      <c r="N16" s="119" t="e">
        <f ca="1">AbraAsset(API!$C$3,API!$C$4,API!$C$5,$C$16,N$7)/1000</f>
        <v>#NAME?</v>
      </c>
      <c r="O16" s="119" t="e">
        <f ca="1">AbraAsset(API!$C$3,API!$C$4,API!$C$5,$C$16,O$7)/1000</f>
        <v>#NAME?</v>
      </c>
      <c r="P16" s="119" t="e">
        <f ca="1">AbraAsset(API!$C$3,API!$C$4,API!$C$5,$C$16,P$7)/1000</f>
        <v>#NAME?</v>
      </c>
      <c r="Q16" s="119" t="e">
        <f ca="1">AbraAsset(API!$C$3,API!$C$4,API!$C$5,$C$16,Q$7)/1000</f>
        <v>#NAME?</v>
      </c>
      <c r="R16" s="119" t="e">
        <f ca="1">AbraAsset(API!$C$3,API!$C$4,API!$C$5,$C$16,R$7)/1000</f>
        <v>#NAME?</v>
      </c>
      <c r="S16" s="119" t="e">
        <f ca="1">AbraAsset(API!$C$3,API!$C$4,API!$C$5,$C$16,S$7)/1000</f>
        <v>#NAME?</v>
      </c>
      <c r="T16" s="119" t="e">
        <f ca="1">AbraAsset(API!$C$3,API!$C$4,API!$C$5,$C$16,T$7)/1000</f>
        <v>#NAME?</v>
      </c>
      <c r="U16" s="119" t="e">
        <f ca="1">AbraAsset(API!$C$3,API!$C$4,API!$C$5,$C$16,U$7)/1000</f>
        <v>#NAME?</v>
      </c>
      <c r="V16" s="119" t="e">
        <f ca="1">AbraAsset(API!$C$3,API!$C$4,API!$C$5,$C$16,V$7)/1000</f>
        <v>#NAME?</v>
      </c>
      <c r="W16" s="119" t="e">
        <f ca="1">AbraAsset(API!$C$3,API!$C$4,API!$C$5,$C$16,W$7)/1000</f>
        <v>#NAME?</v>
      </c>
      <c r="X16" s="119" t="e">
        <f ca="1">AbraAsset(API!$C$3,API!$C$4,API!$C$5,$C$16,X$7)/1000</f>
        <v>#NAME?</v>
      </c>
      <c r="Y16" s="119">
        <f>AbraAsset(API!$C$3,API!$C$4,API!$C$5,$C$16,Y$7)/1000</f>
        <v>0</v>
      </c>
      <c r="Z16" s="119">
        <f>AbraAsset(API!$C$3,API!$C$4,API!$C$5,$C$16,Z$7)/1000</f>
        <v>0</v>
      </c>
      <c r="AA16" s="119">
        <f>AbraAsset(API!$C$3,API!$C$4,API!$C$5,$C$16,AA$7)/1000</f>
        <v>0</v>
      </c>
      <c r="AB16" s="117"/>
    </row>
    <row r="17" spans="2:28" x14ac:dyDescent="0.2">
      <c r="B17" s="124" t="s">
        <v>113</v>
      </c>
      <c r="C17" s="127" t="s">
        <v>104</v>
      </c>
      <c r="D17" s="119" t="e">
        <f ca="1">AbraAsset(API!$C$3,API!$C$4,API!$C$5,$C$17,D$7)/1000</f>
        <v>#NAME?</v>
      </c>
      <c r="E17" s="119" t="e">
        <f ca="1">AbraAsset(API!$C$3,API!$C$4,API!$C$5,$C$17,E$7)/1000</f>
        <v>#NAME?</v>
      </c>
      <c r="F17" s="119" t="e">
        <f ca="1">AbraAsset(API!$C$3,API!$C$4,API!$C$5,$C$17,F$7)/1000</f>
        <v>#NAME?</v>
      </c>
      <c r="G17" s="119" t="e">
        <f ca="1">AbraAsset(API!$C$3,API!$C$4,API!$C$5,$C$17,G$7)/1000</f>
        <v>#NAME?</v>
      </c>
      <c r="H17" s="119" t="e">
        <f ca="1">AbraAsset(API!$C$3,API!$C$4,API!$C$5,$C$17,H$7)/1000</f>
        <v>#NAME?</v>
      </c>
      <c r="I17" s="119" t="e">
        <f ca="1">AbraAsset(API!$C$3,API!$C$4,API!$C$5,$C$17,I$7)/1000</f>
        <v>#NAME?</v>
      </c>
      <c r="J17" s="119" t="e">
        <f ca="1">AbraAsset(API!$C$3,API!$C$4,API!$C$5,$C$17,J$7)/1000</f>
        <v>#NAME?</v>
      </c>
      <c r="K17" s="119" t="e">
        <f ca="1">AbraAsset(API!$C$3,API!$C$4,API!$C$5,$C$17,K$7)/1000</f>
        <v>#NAME?</v>
      </c>
      <c r="L17" s="119" t="e">
        <f ca="1">AbraAsset(API!$C$3,API!$C$4,API!$C$5,$C$17,L$7)/1000</f>
        <v>#NAME?</v>
      </c>
      <c r="M17" s="119" t="e">
        <f ca="1">AbraAsset(API!$C$3,API!$C$4,API!$C$5,$C$17,M$7)/1000</f>
        <v>#NAME?</v>
      </c>
      <c r="N17" s="119" t="e">
        <f ca="1">AbraAsset(API!$C$3,API!$C$4,API!$C$5,$C$17,N$7)/1000</f>
        <v>#NAME?</v>
      </c>
      <c r="O17" s="119" t="e">
        <f ca="1">AbraAsset(API!$C$3,API!$C$4,API!$C$5,$C$17,O$7)/1000</f>
        <v>#NAME?</v>
      </c>
      <c r="P17" s="119" t="e">
        <f ca="1">AbraAsset(API!$C$3,API!$C$4,API!$C$5,$C$17,P$7)/1000</f>
        <v>#NAME?</v>
      </c>
      <c r="Q17" s="119" t="e">
        <f ca="1">AbraAsset(API!$C$3,API!$C$4,API!$C$5,$C$17,Q$7)/1000</f>
        <v>#NAME?</v>
      </c>
      <c r="R17" s="119" t="e">
        <f ca="1">AbraAsset(API!$C$3,API!$C$4,API!$C$5,$C$17,R$7)/1000</f>
        <v>#NAME?</v>
      </c>
      <c r="S17" s="119" t="e">
        <f ca="1">AbraAsset(API!$C$3,API!$C$4,API!$C$5,$C$17,S$7)/1000</f>
        <v>#NAME?</v>
      </c>
      <c r="T17" s="119" t="e">
        <f ca="1">AbraAsset(API!$C$3,API!$C$4,API!$C$5,$C$17,T$7)/1000</f>
        <v>#NAME?</v>
      </c>
      <c r="U17" s="119" t="e">
        <f ca="1">AbraAsset(API!$C$3,API!$C$4,API!$C$5,$C$17,U$7)/1000</f>
        <v>#NAME?</v>
      </c>
      <c r="V17" s="119" t="e">
        <f ca="1">AbraAsset(API!$C$3,API!$C$4,API!$C$5,$C$17,V$7)/1000</f>
        <v>#NAME?</v>
      </c>
      <c r="W17" s="119" t="e">
        <f ca="1">AbraAsset(API!$C$3,API!$C$4,API!$C$5,$C$17,W$7)/1000</f>
        <v>#NAME?</v>
      </c>
      <c r="X17" s="119" t="e">
        <f ca="1">AbraAsset(API!$C$3,API!$C$4,API!$C$5,$C$17,X$7)/1000</f>
        <v>#NAME?</v>
      </c>
      <c r="Y17" s="119">
        <f>AbraAsset(API!$C$3,API!$C$4,API!$C$5,$C$17,Y$7)/1000</f>
        <v>0</v>
      </c>
      <c r="Z17" s="119">
        <f>AbraAsset(API!$C$3,API!$C$4,API!$C$5,$C$17,Z$7)/1000</f>
        <v>0</v>
      </c>
      <c r="AA17" s="119">
        <f>AbraAsset(API!$C$3,API!$C$4,API!$C$5,$C$17,AA$7)/1000</f>
        <v>0</v>
      </c>
      <c r="AB17" s="117"/>
    </row>
    <row r="18" spans="2:28" ht="15.75" thickBot="1" x14ac:dyDescent="0.25">
      <c r="B18" s="41" t="s">
        <v>114</v>
      </c>
      <c r="C18" s="116" t="s">
        <v>105</v>
      </c>
      <c r="D18" s="119" t="e">
        <f ca="1">AbraAsset(API!$C$3,API!$C$4,API!$C$5,$C$18,D$7)/1000</f>
        <v>#NAME?</v>
      </c>
      <c r="E18" s="119" t="e">
        <f ca="1">AbraAsset(API!$C$3,API!$C$4,API!$C$5,$C$18,E$7)/1000</f>
        <v>#NAME?</v>
      </c>
      <c r="F18" s="119" t="e">
        <f ca="1">AbraAsset(API!$C$3,API!$C$4,API!$C$5,$C$18,F$7)/1000</f>
        <v>#NAME?</v>
      </c>
      <c r="G18" s="119" t="e">
        <f ca="1">AbraAsset(API!$C$3,API!$C$4,API!$C$5,$C$18,G$7)/1000</f>
        <v>#NAME?</v>
      </c>
      <c r="H18" s="119" t="e">
        <f ca="1">AbraAsset(API!$C$3,API!$C$4,API!$C$5,$C$18,H$7)/1000</f>
        <v>#NAME?</v>
      </c>
      <c r="I18" s="119" t="e">
        <f ca="1">AbraAsset(API!$C$3,API!$C$4,API!$C$5,$C$18,I$7)/1000</f>
        <v>#NAME?</v>
      </c>
      <c r="J18" s="119" t="e">
        <f ca="1">AbraAsset(API!$C$3,API!$C$4,API!$C$5,$C$18,J$7)/1000</f>
        <v>#NAME?</v>
      </c>
      <c r="K18" s="119" t="e">
        <f ca="1">AbraAsset(API!$C$3,API!$C$4,API!$C$5,$C$18,K$7)/1000</f>
        <v>#NAME?</v>
      </c>
      <c r="L18" s="119" t="e">
        <f ca="1">AbraAsset(API!$C$3,API!$C$4,API!$C$5,$C$18,L$7)/1000</f>
        <v>#NAME?</v>
      </c>
      <c r="M18" s="119" t="e">
        <f ca="1">AbraAsset(API!$C$3,API!$C$4,API!$C$5,$C$18,M$7)/1000</f>
        <v>#NAME?</v>
      </c>
      <c r="N18" s="119" t="e">
        <f ca="1">AbraAsset(API!$C$3,API!$C$4,API!$C$5,$C$18,N$7)/1000</f>
        <v>#NAME?</v>
      </c>
      <c r="O18" s="119" t="e">
        <f ca="1">AbraAsset(API!$C$3,API!$C$4,API!$C$5,$C$18,O$7)/1000</f>
        <v>#NAME?</v>
      </c>
      <c r="P18" s="119" t="e">
        <f ca="1">AbraAsset(API!$C$3,API!$C$4,API!$C$5,$C$18,P$7)/1000</f>
        <v>#NAME?</v>
      </c>
      <c r="Q18" s="119" t="e">
        <f ca="1">AbraAsset(API!$C$3,API!$C$4,API!$C$5,$C$18,Q$7)/1000</f>
        <v>#NAME?</v>
      </c>
      <c r="R18" s="119" t="e">
        <f ca="1">AbraAsset(API!$C$3,API!$C$4,API!$C$5,$C$18,R$7)/1000</f>
        <v>#NAME?</v>
      </c>
      <c r="S18" s="119" t="e">
        <f ca="1">AbraAsset(API!$C$3,API!$C$4,API!$C$5,$C$18,S$7)/1000</f>
        <v>#NAME?</v>
      </c>
      <c r="T18" s="119" t="e">
        <f ca="1">AbraAsset(API!$C$3,API!$C$4,API!$C$5,$C$18,T$7)/1000</f>
        <v>#NAME?</v>
      </c>
      <c r="U18" s="119" t="e">
        <f ca="1">AbraAsset(API!$C$3,API!$C$4,API!$C$5,$C$18,U$7)/1000</f>
        <v>#NAME?</v>
      </c>
      <c r="V18" s="119" t="e">
        <f ca="1">AbraAsset(API!$C$3,API!$C$4,API!$C$5,$C$18,V$7)/1000</f>
        <v>#NAME?</v>
      </c>
      <c r="W18" s="119" t="e">
        <f ca="1">AbraAsset(API!$C$3,API!$C$4,API!$C$5,$C$18,W$7)/1000</f>
        <v>#NAME?</v>
      </c>
      <c r="X18" s="119" t="e">
        <f ca="1">AbraAsset(API!$C$3,API!$C$4,API!$C$5,$C$18,X$7)/1000</f>
        <v>#NAME?</v>
      </c>
      <c r="Y18" s="119">
        <f>AbraAsset(API!$C$3,API!$C$4,API!$C$5,$C$18,Y$7)/1000</f>
        <v>0</v>
      </c>
      <c r="Z18" s="119">
        <f>AbraAsset(API!$C$3,API!$C$4,API!$C$5,$C$18,Z$7)/1000</f>
        <v>0</v>
      </c>
      <c r="AA18" s="119">
        <f>AbraAsset(API!$C$3,API!$C$4,API!$C$5,$C$18,AA$7)/1000</f>
        <v>0</v>
      </c>
      <c r="AB18" s="117"/>
    </row>
    <row r="19" spans="2:28" ht="15.75" thickBot="1" x14ac:dyDescent="0.25">
      <c r="B19" s="136"/>
      <c r="C19" s="137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</row>
    <row r="22" spans="2:28" x14ac:dyDescent="0.2">
      <c r="B22" s="128" t="s">
        <v>107</v>
      </c>
    </row>
    <row r="23" spans="2:28" x14ac:dyDescent="0.2">
      <c r="B23" s="120" t="s">
        <v>95</v>
      </c>
    </row>
    <row r="24" spans="2:28" x14ac:dyDescent="0.2">
      <c r="B24" s="120" t="s">
        <v>96</v>
      </c>
    </row>
    <row r="26" spans="2:28" x14ac:dyDescent="0.2">
      <c r="B26" s="128" t="s">
        <v>108</v>
      </c>
    </row>
    <row r="27" spans="2:28" x14ac:dyDescent="0.2">
      <c r="B27" s="120" t="s">
        <v>98</v>
      </c>
    </row>
    <row r="28" spans="2:28" x14ac:dyDescent="0.2">
      <c r="B28" s="120" t="s">
        <v>99</v>
      </c>
    </row>
    <row r="29" spans="2:28" x14ac:dyDescent="0.2">
      <c r="B29" s="120" t="s">
        <v>100</v>
      </c>
    </row>
    <row r="30" spans="2:28" x14ac:dyDescent="0.2">
      <c r="B30" s="120" t="s">
        <v>101</v>
      </c>
    </row>
  </sheetData>
  <mergeCells count="3">
    <mergeCell ref="B6:C7"/>
    <mergeCell ref="B11:C11"/>
    <mergeCell ref="B19:C19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Button 8">
              <controlPr defaultSize="0" print="0" autoFill="0" autoPict="0" macro="[0]!Recalculate_9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638175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H22"/>
  <sheetViews>
    <sheetView zoomScale="115" zoomScaleNormal="115" zoomScalePageLayoutView="115" workbookViewId="0">
      <selection activeCell="D10" sqref="D10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74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/>
      <c r="C6" s="143"/>
      <c r="D6" s="22">
        <f>D7-IF(MONTH(D7)=2,IF(OR(YEAR(D7)=2008,YEAR(D7)=2012,YEAR(D7)=2016),29,28),IF(OR(MONTH(D7)=4,MONTH(D7)=6,MONTH(D7)=9,MONTH(D7)=11),30,31))+1</f>
        <v>42736</v>
      </c>
      <c r="E6" s="23">
        <f t="shared" ref="E6:AA6" si="0">E7-IF(MONTH(E7)=2,IF(OR(YEAR(E7)=2008,YEAR(E7)=2012,YEAR(E7)=2016),29,28),IF(OR(MONTH(E7)=4,MONTH(E7)=6,MONTH(E7)=9,MONTH(E7)=11),30,31))+1</f>
        <v>42767</v>
      </c>
      <c r="F6" s="23">
        <f t="shared" si="0"/>
        <v>42795</v>
      </c>
      <c r="G6" s="23">
        <f t="shared" si="0"/>
        <v>42826</v>
      </c>
      <c r="H6" s="23">
        <f t="shared" si="0"/>
        <v>42856</v>
      </c>
      <c r="I6" s="23">
        <f t="shared" si="0"/>
        <v>42887</v>
      </c>
      <c r="J6" s="23">
        <f t="shared" si="0"/>
        <v>42917</v>
      </c>
      <c r="K6" s="23">
        <f t="shared" si="0"/>
        <v>42948</v>
      </c>
      <c r="L6" s="23">
        <f t="shared" si="0"/>
        <v>42979</v>
      </c>
      <c r="M6" s="23">
        <f t="shared" si="0"/>
        <v>43009</v>
      </c>
      <c r="N6" s="23">
        <f t="shared" si="0"/>
        <v>43040</v>
      </c>
      <c r="O6" s="23">
        <f t="shared" si="0"/>
        <v>43070</v>
      </c>
      <c r="P6" s="23">
        <f t="shared" si="0"/>
        <v>43101</v>
      </c>
      <c r="Q6" s="23">
        <f t="shared" si="0"/>
        <v>43132</v>
      </c>
      <c r="R6" s="23">
        <f t="shared" si="0"/>
        <v>43160</v>
      </c>
      <c r="S6" s="23">
        <f t="shared" si="0"/>
        <v>43191</v>
      </c>
      <c r="T6" s="23">
        <f t="shared" si="0"/>
        <v>43221</v>
      </c>
      <c r="U6" s="23">
        <f t="shared" si="0"/>
        <v>43252</v>
      </c>
      <c r="V6" s="23">
        <f t="shared" si="0"/>
        <v>43282</v>
      </c>
      <c r="W6" s="23">
        <f t="shared" si="0"/>
        <v>43313</v>
      </c>
      <c r="X6" s="23">
        <f t="shared" si="0"/>
        <v>43344</v>
      </c>
      <c r="Y6" s="23">
        <f t="shared" si="0"/>
        <v>43374</v>
      </c>
      <c r="Z6" s="23">
        <f t="shared" si="0"/>
        <v>43405</v>
      </c>
      <c r="AA6" s="23">
        <f t="shared" si="0"/>
        <v>43435</v>
      </c>
    </row>
    <row r="7" spans="1:190" s="60" customFormat="1" ht="12" customHeight="1" thickBot="1" x14ac:dyDescent="0.25">
      <c r="A7" s="69"/>
      <c r="B7" s="144"/>
      <c r="C7" s="145"/>
      <c r="D7" s="26">
        <f t="shared" ref="D7:Z7" si="1">E6-1</f>
        <v>42766</v>
      </c>
      <c r="E7" s="27">
        <f t="shared" si="1"/>
        <v>42794</v>
      </c>
      <c r="F7" s="27">
        <f t="shared" si="1"/>
        <v>42825</v>
      </c>
      <c r="G7" s="27">
        <f t="shared" si="1"/>
        <v>42855</v>
      </c>
      <c r="H7" s="27">
        <f t="shared" si="1"/>
        <v>42886</v>
      </c>
      <c r="I7" s="27">
        <f t="shared" si="1"/>
        <v>42916</v>
      </c>
      <c r="J7" s="27">
        <f t="shared" si="1"/>
        <v>42947</v>
      </c>
      <c r="K7" s="27">
        <f t="shared" si="1"/>
        <v>42978</v>
      </c>
      <c r="L7" s="27">
        <f t="shared" si="1"/>
        <v>43008</v>
      </c>
      <c r="M7" s="27">
        <f t="shared" si="1"/>
        <v>43039</v>
      </c>
      <c r="N7" s="27">
        <f t="shared" si="1"/>
        <v>43069</v>
      </c>
      <c r="O7" s="27">
        <f t="shared" si="1"/>
        <v>43100</v>
      </c>
      <c r="P7" s="27">
        <f t="shared" si="1"/>
        <v>43131</v>
      </c>
      <c r="Q7" s="27">
        <f t="shared" si="1"/>
        <v>43159</v>
      </c>
      <c r="R7" s="27">
        <f t="shared" si="1"/>
        <v>43190</v>
      </c>
      <c r="S7" s="27">
        <f t="shared" si="1"/>
        <v>43220</v>
      </c>
      <c r="T7" s="27">
        <f t="shared" si="1"/>
        <v>43251</v>
      </c>
      <c r="U7" s="27">
        <f t="shared" si="1"/>
        <v>43281</v>
      </c>
      <c r="V7" s="27">
        <f t="shared" si="1"/>
        <v>43312</v>
      </c>
      <c r="W7" s="27">
        <f t="shared" si="1"/>
        <v>43343</v>
      </c>
      <c r="X7" s="27">
        <f t="shared" si="1"/>
        <v>43373</v>
      </c>
      <c r="Y7" s="27">
        <f t="shared" si="1"/>
        <v>43404</v>
      </c>
      <c r="Z7" s="27">
        <f t="shared" si="1"/>
        <v>43434</v>
      </c>
      <c r="AA7" s="27">
        <f>C3</f>
        <v>43465</v>
      </c>
    </row>
    <row r="8" spans="1:190" s="61" customFormat="1" ht="12" customHeight="1" thickBot="1" x14ac:dyDescent="0.25">
      <c r="A8" s="70"/>
      <c r="B8" s="29" t="s">
        <v>76</v>
      </c>
      <c r="C8" s="30" t="s">
        <v>120</v>
      </c>
      <c r="D8" s="132">
        <f t="shared" ref="D8:AA8" si="2">D6</f>
        <v>42736</v>
      </c>
      <c r="E8" s="132">
        <f t="shared" si="2"/>
        <v>42767</v>
      </c>
      <c r="F8" s="132">
        <f t="shared" si="2"/>
        <v>42795</v>
      </c>
      <c r="G8" s="132">
        <f t="shared" si="2"/>
        <v>42826</v>
      </c>
      <c r="H8" s="132">
        <f t="shared" si="2"/>
        <v>42856</v>
      </c>
      <c r="I8" s="132">
        <f t="shared" si="2"/>
        <v>42887</v>
      </c>
      <c r="J8" s="132">
        <f t="shared" si="2"/>
        <v>42917</v>
      </c>
      <c r="K8" s="132">
        <f t="shared" si="2"/>
        <v>42948</v>
      </c>
      <c r="L8" s="132">
        <f t="shared" si="2"/>
        <v>42979</v>
      </c>
      <c r="M8" s="132">
        <f t="shared" si="2"/>
        <v>43009</v>
      </c>
      <c r="N8" s="132">
        <f t="shared" si="2"/>
        <v>43040</v>
      </c>
      <c r="O8" s="132">
        <f t="shared" si="2"/>
        <v>43070</v>
      </c>
      <c r="P8" s="132">
        <f t="shared" si="2"/>
        <v>43101</v>
      </c>
      <c r="Q8" s="132">
        <f t="shared" si="2"/>
        <v>43132</v>
      </c>
      <c r="R8" s="132">
        <f t="shared" si="2"/>
        <v>43160</v>
      </c>
      <c r="S8" s="132">
        <f t="shared" si="2"/>
        <v>43191</v>
      </c>
      <c r="T8" s="132">
        <f t="shared" si="2"/>
        <v>43221</v>
      </c>
      <c r="U8" s="132">
        <f t="shared" si="2"/>
        <v>43252</v>
      </c>
      <c r="V8" s="132">
        <f t="shared" si="2"/>
        <v>43282</v>
      </c>
      <c r="W8" s="132">
        <f t="shared" si="2"/>
        <v>43313</v>
      </c>
      <c r="X8" s="132">
        <f t="shared" si="2"/>
        <v>43344</v>
      </c>
      <c r="Y8" s="132">
        <f t="shared" si="2"/>
        <v>43374</v>
      </c>
      <c r="Z8" s="132">
        <f t="shared" si="2"/>
        <v>43405</v>
      </c>
      <c r="AA8" s="132">
        <f t="shared" si="2"/>
        <v>43435</v>
      </c>
    </row>
    <row r="9" spans="1:190" ht="15" customHeight="1" thickBot="1" x14ac:dyDescent="0.25">
      <c r="B9" s="37" t="s">
        <v>125</v>
      </c>
      <c r="C9" s="129" t="s">
        <v>121</v>
      </c>
      <c r="D9" s="39">
        <f ca="1">AbraPayroll(API!$C$3,API!$C$4,API!$C$5,$C$9,D$8)</f>
        <v>0</v>
      </c>
      <c r="E9" s="39">
        <f>AbraPayroll(API!$C$3,API!$C$4,API!$C$5,$C$9,E$8)</f>
        <v>0</v>
      </c>
      <c r="F9" s="39" t="e">
        <f ca="1">AbraPayroll(API!$C$3,API!$C$4,API!$C$5,$C$9,F$8)</f>
        <v>#NAME?</v>
      </c>
      <c r="G9" s="39" t="e">
        <f ca="1">AbraPayroll(API!$C$3,API!$C$4,API!$C$5,$C$9,G$8)</f>
        <v>#NAME?</v>
      </c>
      <c r="H9" s="39" t="e">
        <f ca="1">AbraPayroll(API!$C$3,API!$C$4,API!$C$5,$C$9,H$8)</f>
        <v>#NAME?</v>
      </c>
      <c r="I9" s="39">
        <f>AbraPayroll(API!$C$3,API!$C$4,API!$C$5,$C$9,I$8)</f>
        <v>0</v>
      </c>
      <c r="J9" s="39">
        <f>AbraPayroll(API!$C$3,API!$C$4,API!$C$5,$C$9,J$8)</f>
        <v>0</v>
      </c>
      <c r="K9" s="39" t="e">
        <f ca="1">AbraPayroll(API!$C$3,API!$C$4,API!$C$5,$C$9,K$8)</f>
        <v>#NAME?</v>
      </c>
      <c r="L9" s="39" t="e">
        <f ca="1">AbraPayroll(API!$C$3,API!$C$4,API!$C$5,$C$9,L$8)</f>
        <v>#NAME?</v>
      </c>
      <c r="M9" s="39" t="e">
        <f ca="1">AbraPayroll(API!$C$3,API!$C$4,API!$C$5,$C$9,M$8)</f>
        <v>#NAME?</v>
      </c>
      <c r="N9" s="39" t="e">
        <f ca="1">AbraPayroll(API!$C$3,API!$C$4,API!$C$5,$C$9,N$8)</f>
        <v>#NAME?</v>
      </c>
      <c r="O9" s="39" t="e">
        <f ca="1">AbraPayroll(API!$C$3,API!$C$4,API!$C$5,$C$9,O$8)</f>
        <v>#NAME?</v>
      </c>
      <c r="P9" s="39" t="e">
        <f ca="1">AbraPayroll(API!$C$3,API!$C$4,API!$C$5,$C$9,P$8)</f>
        <v>#NAME?</v>
      </c>
      <c r="Q9" s="39" t="e">
        <f ca="1">AbraPayroll(API!$C$3,API!$C$4,API!$C$5,$C$9,Q$8)</f>
        <v>#NAME?</v>
      </c>
      <c r="R9" s="39" t="e">
        <f ca="1">AbraPayroll(API!$C$3,API!$C$4,API!$C$5,$C$9,R$8)</f>
        <v>#NAME?</v>
      </c>
      <c r="S9" s="39" t="e">
        <f ca="1">AbraPayroll(API!$C$3,API!$C$4,API!$C$5,$C$9,S$8)</f>
        <v>#NAME?</v>
      </c>
      <c r="T9" s="39" t="e">
        <f ca="1">AbraPayroll(API!$C$3,API!$C$4,API!$C$5,$C$9,T$8)</f>
        <v>#NAME?</v>
      </c>
      <c r="U9" s="39" t="e">
        <f ca="1">AbraPayroll(API!$C$3,API!$C$4,API!$C$5,$C$9,U$8)</f>
        <v>#NAME?</v>
      </c>
      <c r="V9" s="39" t="e">
        <f ca="1">AbraPayroll(API!$C$3,API!$C$4,API!$C$5,$C$9,V$8)</f>
        <v>#NAME?</v>
      </c>
      <c r="W9" s="39" t="e">
        <f ca="1">AbraPayroll(API!$C$3,API!$C$4,API!$C$5,$C$9,W$8)</f>
        <v>#NAME?</v>
      </c>
      <c r="X9" s="39" t="e">
        <f ca="1">AbraPayroll(API!$C$3,API!$C$4,API!$C$5,$C$9,X$8)</f>
        <v>#NAME?</v>
      </c>
      <c r="Y9" s="39" t="e">
        <f ca="1">AbraPayroll(API!$C$3,API!$C$4,API!$C$5,$C$9,Y$8)</f>
        <v>#NAME?</v>
      </c>
      <c r="Z9" s="39">
        <f>AbraPayroll(API!$C$3,API!$C$4,API!$C$5,$C$9,Z$8)</f>
        <v>0</v>
      </c>
      <c r="AA9" s="39">
        <f>AbraPayroll(API!$C$3,API!$C$4,API!$C$5,$C$9,AA$8)</f>
        <v>0</v>
      </c>
      <c r="AB9" s="61"/>
      <c r="AC9" s="61"/>
    </row>
    <row r="10" spans="1:190" ht="15" customHeight="1" thickBot="1" x14ac:dyDescent="0.25">
      <c r="B10" s="124" t="s">
        <v>126</v>
      </c>
      <c r="C10" s="130" t="s">
        <v>122</v>
      </c>
      <c r="D10" s="39">
        <f>AbraPayroll(API!$C$3,API!$C$4,API!$C$5,$C$10,D$8)</f>
        <v>0</v>
      </c>
      <c r="E10" s="39">
        <f>AbraPayroll(API!$C$3,API!$C$4,API!$C$5,$C$10,E$8)</f>
        <v>0</v>
      </c>
      <c r="F10" s="39" t="e">
        <f ca="1">AbraPayroll(API!$C$3,API!$C$4,API!$C$5,$C$10,F$8)</f>
        <v>#NAME?</v>
      </c>
      <c r="G10" s="39" t="e">
        <f ca="1">AbraPayroll(API!$C$3,API!$C$4,API!$C$5,$C$10,G$8)</f>
        <v>#NAME?</v>
      </c>
      <c r="H10" s="39" t="e">
        <f ca="1">AbraPayroll(API!$C$3,API!$C$4,API!$C$5,$C$10,H$8)</f>
        <v>#NAME?</v>
      </c>
      <c r="I10" s="39" t="e">
        <f ca="1">AbraPayroll(API!$C$3,API!$C$4,API!$C$5,$C$10,I$8)</f>
        <v>#NAME?</v>
      </c>
      <c r="J10" s="39" t="e">
        <f ca="1">AbraPayroll(API!$C$3,API!$C$4,API!$C$5,$C$10,J$8)</f>
        <v>#NAME?</v>
      </c>
      <c r="K10" s="39" t="e">
        <f ca="1">AbraPayroll(API!$C$3,API!$C$4,API!$C$5,$C$10,K$8)</f>
        <v>#NAME?</v>
      </c>
      <c r="L10" s="39" t="e">
        <f ca="1">AbraPayroll(API!$C$3,API!$C$4,API!$C$5,$C$10,L$8)</f>
        <v>#NAME?</v>
      </c>
      <c r="M10" s="39" t="e">
        <f ca="1">AbraPayroll(API!$C$3,API!$C$4,API!$C$5,$C$10,M$8)</f>
        <v>#NAME?</v>
      </c>
      <c r="N10" s="39" t="e">
        <f ca="1">AbraPayroll(API!$C$3,API!$C$4,API!$C$5,$C$10,N$8)</f>
        <v>#NAME?</v>
      </c>
      <c r="O10" s="39" t="e">
        <f ca="1">AbraPayroll(API!$C$3,API!$C$4,API!$C$5,$C$10,O$8)</f>
        <v>#NAME?</v>
      </c>
      <c r="P10" s="39" t="e">
        <f ca="1">AbraPayroll(API!$C$3,API!$C$4,API!$C$5,$C$10,P$8)</f>
        <v>#NAME?</v>
      </c>
      <c r="Q10" s="39" t="e">
        <f ca="1">AbraPayroll(API!$C$3,API!$C$4,API!$C$5,$C$10,Q$8)</f>
        <v>#NAME?</v>
      </c>
      <c r="R10" s="39" t="e">
        <f ca="1">AbraPayroll(API!$C$3,API!$C$4,API!$C$5,$C$10,R$8)</f>
        <v>#NAME?</v>
      </c>
      <c r="S10" s="39" t="e">
        <f ca="1">AbraPayroll(API!$C$3,API!$C$4,API!$C$5,$C$10,S$8)</f>
        <v>#NAME?</v>
      </c>
      <c r="T10" s="39" t="e">
        <f ca="1">AbraPayroll(API!$C$3,API!$C$4,API!$C$5,$C$10,T$8)</f>
        <v>#NAME?</v>
      </c>
      <c r="U10" s="39" t="e">
        <f ca="1">AbraPayroll(API!$C$3,API!$C$4,API!$C$5,$C$10,U$8)</f>
        <v>#NAME?</v>
      </c>
      <c r="V10" s="39" t="e">
        <f ca="1">AbraPayroll(API!$C$3,API!$C$4,API!$C$5,$C$10,V$8)</f>
        <v>#NAME?</v>
      </c>
      <c r="W10" s="39" t="e">
        <f ca="1">AbraPayroll(API!$C$3,API!$C$4,API!$C$5,$C$10,W$8)</f>
        <v>#NAME?</v>
      </c>
      <c r="X10" s="39" t="e">
        <f ca="1">AbraPayroll(API!$C$3,API!$C$4,API!$C$5,$C$10,X$8)</f>
        <v>#NAME?</v>
      </c>
      <c r="Y10" s="39" t="e">
        <f ca="1">AbraPayroll(API!$C$3,API!$C$4,API!$C$5,$C$10,Y$8)</f>
        <v>#NAME?</v>
      </c>
      <c r="Z10" s="39">
        <f>AbraPayroll(API!$C$3,API!$C$4,API!$C$5,$C$10,Z$8)</f>
        <v>0</v>
      </c>
      <c r="AA10" s="39">
        <f>AbraPayroll(API!$C$3,API!$C$4,API!$C$5,$C$10,AA$8)</f>
        <v>0</v>
      </c>
      <c r="AB10" s="61"/>
      <c r="AC10" s="61"/>
    </row>
    <row r="11" spans="1:190" ht="15" customHeight="1" thickBot="1" x14ac:dyDescent="0.25">
      <c r="B11" s="124" t="s">
        <v>127</v>
      </c>
      <c r="C11" s="130" t="s">
        <v>123</v>
      </c>
      <c r="D11" s="39" t="e">
        <f ca="1">AbraPayroll(API!$C$3,API!$C$4,API!$C$5,$C$11,D$8)</f>
        <v>#NAME?</v>
      </c>
      <c r="E11" s="39" t="e">
        <f ca="1">AbraPayroll(API!$C$3,API!$C$4,API!$C$5,$C$11,E$8)</f>
        <v>#NAME?</v>
      </c>
      <c r="F11" s="39" t="e">
        <f ca="1">AbraPayroll(API!$C$3,API!$C$4,API!$C$5,$C$11,F$8)</f>
        <v>#NAME?</v>
      </c>
      <c r="G11" s="39" t="e">
        <f ca="1">AbraPayroll(API!$C$3,API!$C$4,API!$C$5,$C$11,G$8)</f>
        <v>#NAME?</v>
      </c>
      <c r="H11" s="39" t="e">
        <f ca="1">AbraPayroll(API!$C$3,API!$C$4,API!$C$5,$C$11,H$8)</f>
        <v>#NAME?</v>
      </c>
      <c r="I11" s="39" t="e">
        <f ca="1">AbraPayroll(API!$C$3,API!$C$4,API!$C$5,$C$11,I$8)</f>
        <v>#NAME?</v>
      </c>
      <c r="J11" s="39" t="e">
        <f ca="1">AbraPayroll(API!$C$3,API!$C$4,API!$C$5,$C$11,J$8)</f>
        <v>#NAME?</v>
      </c>
      <c r="K11" s="39" t="e">
        <f ca="1">AbraPayroll(API!$C$3,API!$C$4,API!$C$5,$C$11,K$8)</f>
        <v>#NAME?</v>
      </c>
      <c r="L11" s="39" t="e">
        <f ca="1">AbraPayroll(API!$C$3,API!$C$4,API!$C$5,$C$11,L$8)</f>
        <v>#NAME?</v>
      </c>
      <c r="M11" s="39" t="e">
        <f ca="1">AbraPayroll(API!$C$3,API!$C$4,API!$C$5,$C$11,M$8)</f>
        <v>#NAME?</v>
      </c>
      <c r="N11" s="39" t="e">
        <f ca="1">AbraPayroll(API!$C$3,API!$C$4,API!$C$5,$C$11,N$8)</f>
        <v>#NAME?</v>
      </c>
      <c r="O11" s="39" t="e">
        <f ca="1">AbraPayroll(API!$C$3,API!$C$4,API!$C$5,$C$11,O$8)</f>
        <v>#NAME?</v>
      </c>
      <c r="P11" s="39" t="e">
        <f ca="1">AbraPayroll(API!$C$3,API!$C$4,API!$C$5,$C$11,P$8)</f>
        <v>#NAME?</v>
      </c>
      <c r="Q11" s="39" t="e">
        <f ca="1">AbraPayroll(API!$C$3,API!$C$4,API!$C$5,$C$11,Q$8)</f>
        <v>#NAME?</v>
      </c>
      <c r="R11" s="39" t="e">
        <f ca="1">AbraPayroll(API!$C$3,API!$C$4,API!$C$5,$C$11,R$8)</f>
        <v>#NAME?</v>
      </c>
      <c r="S11" s="39" t="e">
        <f ca="1">AbraPayroll(API!$C$3,API!$C$4,API!$C$5,$C$11,S$8)</f>
        <v>#NAME?</v>
      </c>
      <c r="T11" s="39" t="e">
        <f ca="1">AbraPayroll(API!$C$3,API!$C$4,API!$C$5,$C$11,T$8)</f>
        <v>#NAME?</v>
      </c>
      <c r="U11" s="39" t="e">
        <f ca="1">AbraPayroll(API!$C$3,API!$C$4,API!$C$5,$C$11,U$8)</f>
        <v>#NAME?</v>
      </c>
      <c r="V11" s="39" t="e">
        <f ca="1">AbraPayroll(API!$C$3,API!$C$4,API!$C$5,$C$11,V$8)</f>
        <v>#NAME?</v>
      </c>
      <c r="W11" s="39" t="e">
        <f ca="1">AbraPayroll(API!$C$3,API!$C$4,API!$C$5,$C$11,W$8)</f>
        <v>#NAME?</v>
      </c>
      <c r="X11" s="39" t="e">
        <f ca="1">AbraPayroll(API!$C$3,API!$C$4,API!$C$5,$C$11,X$8)</f>
        <v>#NAME?</v>
      </c>
      <c r="Y11" s="39" t="e">
        <f ca="1">AbraPayroll(API!$C$3,API!$C$4,API!$C$5,$C$11,Y$8)</f>
        <v>#NAME?</v>
      </c>
      <c r="Z11" s="39">
        <f>AbraPayroll(API!$C$3,API!$C$4,API!$C$5,$C$11,Z$8)</f>
        <v>0</v>
      </c>
      <c r="AA11" s="39">
        <f>AbraPayroll(API!$C$3,API!$C$4,API!$C$5,$C$11,AA$8)</f>
        <v>0</v>
      </c>
      <c r="AB11" s="61"/>
      <c r="AC11" s="61"/>
    </row>
    <row r="12" spans="1:190" ht="15" customHeight="1" thickBot="1" x14ac:dyDescent="0.25">
      <c r="B12" s="124" t="s">
        <v>128</v>
      </c>
      <c r="C12" s="130" t="s">
        <v>89</v>
      </c>
      <c r="D12" s="39" t="e">
        <f ca="1">AbraPayroll(API!$C$3,API!$C$4,API!$C$5,$C$12,D$8)</f>
        <v>#NAME?</v>
      </c>
      <c r="E12" s="39" t="e">
        <f ca="1">AbraPayroll(API!$C$3,API!$C$4,API!$C$5,$C$12,E$8)</f>
        <v>#NAME?</v>
      </c>
      <c r="F12" s="39" t="e">
        <f ca="1">AbraPayroll(API!$C$3,API!$C$4,API!$C$5,$C$12,F$8)</f>
        <v>#NAME?</v>
      </c>
      <c r="G12" s="39" t="e">
        <f ca="1">AbraPayroll(API!$C$3,API!$C$4,API!$C$5,$C$12,G$8)</f>
        <v>#NAME?</v>
      </c>
      <c r="H12" s="39" t="e">
        <f ca="1">AbraPayroll(API!$C$3,API!$C$4,API!$C$5,$C$12,H$8)</f>
        <v>#NAME?</v>
      </c>
      <c r="I12" s="39" t="e">
        <f ca="1">AbraPayroll(API!$C$3,API!$C$4,API!$C$5,$C$12,I$8)</f>
        <v>#NAME?</v>
      </c>
      <c r="J12" s="39" t="e">
        <f ca="1">AbraPayroll(API!$C$3,API!$C$4,API!$C$5,$C$12,J$8)</f>
        <v>#NAME?</v>
      </c>
      <c r="K12" s="39" t="e">
        <f ca="1">AbraPayroll(API!$C$3,API!$C$4,API!$C$5,$C$12,K$8)</f>
        <v>#NAME?</v>
      </c>
      <c r="L12" s="39" t="e">
        <f ca="1">AbraPayroll(API!$C$3,API!$C$4,API!$C$5,$C$12,L$8)</f>
        <v>#NAME?</v>
      </c>
      <c r="M12" s="39" t="e">
        <f ca="1">AbraPayroll(API!$C$3,API!$C$4,API!$C$5,$C$12,M$8)</f>
        <v>#NAME?</v>
      </c>
      <c r="N12" s="39" t="e">
        <f ca="1">AbraPayroll(API!$C$3,API!$C$4,API!$C$5,$C$12,N$8)</f>
        <v>#NAME?</v>
      </c>
      <c r="O12" s="39" t="e">
        <f ca="1">AbraPayroll(API!$C$3,API!$C$4,API!$C$5,$C$12,O$8)</f>
        <v>#NAME?</v>
      </c>
      <c r="P12" s="39" t="e">
        <f ca="1">AbraPayroll(API!$C$3,API!$C$4,API!$C$5,$C$12,P$8)</f>
        <v>#NAME?</v>
      </c>
      <c r="Q12" s="39" t="e">
        <f ca="1">AbraPayroll(API!$C$3,API!$C$4,API!$C$5,$C$12,Q$8)</f>
        <v>#NAME?</v>
      </c>
      <c r="R12" s="39" t="e">
        <f ca="1">AbraPayroll(API!$C$3,API!$C$4,API!$C$5,$C$12,R$8)</f>
        <v>#NAME?</v>
      </c>
      <c r="S12" s="39" t="e">
        <f ca="1">AbraPayroll(API!$C$3,API!$C$4,API!$C$5,$C$12,S$8)</f>
        <v>#NAME?</v>
      </c>
      <c r="T12" s="39" t="e">
        <f ca="1">AbraPayroll(API!$C$3,API!$C$4,API!$C$5,$C$12,T$8)</f>
        <v>#NAME?</v>
      </c>
      <c r="U12" s="39" t="e">
        <f ca="1">AbraPayroll(API!$C$3,API!$C$4,API!$C$5,$C$12,U$8)</f>
        <v>#NAME?</v>
      </c>
      <c r="V12" s="39" t="e">
        <f ca="1">AbraPayroll(API!$C$3,API!$C$4,API!$C$5,$C$12,V$8)</f>
        <v>#NAME?</v>
      </c>
      <c r="W12" s="39" t="e">
        <f ca="1">AbraPayroll(API!$C$3,API!$C$4,API!$C$5,$C$12,W$8)</f>
        <v>#NAME?</v>
      </c>
      <c r="X12" s="39" t="e">
        <f ca="1">AbraPayroll(API!$C$3,API!$C$4,API!$C$5,$C$12,X$8)</f>
        <v>#NAME?</v>
      </c>
      <c r="Y12" s="39" t="e">
        <f ca="1">AbraPayroll(API!$C$3,API!$C$4,API!$C$5,$C$12,Y$8)</f>
        <v>#NAME?</v>
      </c>
      <c r="Z12" s="39">
        <f>AbraPayroll(API!$C$3,API!$C$4,API!$C$5,$C$12,Z$8)</f>
        <v>0</v>
      </c>
      <c r="AA12" s="39">
        <f>AbraPayroll(API!$C$3,API!$C$4,API!$C$5,$C$12,AA$8)</f>
        <v>0</v>
      </c>
      <c r="AB12" s="61"/>
      <c r="AC12" s="61"/>
    </row>
    <row r="13" spans="1:190" ht="15" customHeight="1" x14ac:dyDescent="0.2">
      <c r="B13" s="41" t="s">
        <v>129</v>
      </c>
      <c r="C13" s="131" t="s">
        <v>124</v>
      </c>
      <c r="D13" s="39" t="e">
        <f ca="1">AbraPayroll(API!$C$3,API!$C$4,API!$C$5,$C$13,D$8)</f>
        <v>#NAME?</v>
      </c>
      <c r="E13" s="39" t="e">
        <f ca="1">AbraPayroll(API!$C$3,API!$C$4,API!$C$5,$C$13,E$8)</f>
        <v>#NAME?</v>
      </c>
      <c r="F13" s="39" t="e">
        <f ca="1">AbraPayroll(API!$C$3,API!$C$4,API!$C$5,$C$13,F$8)</f>
        <v>#NAME?</v>
      </c>
      <c r="G13" s="39" t="e">
        <f ca="1">AbraPayroll(API!$C$3,API!$C$4,API!$C$5,$C$13,G$8)</f>
        <v>#NAME?</v>
      </c>
      <c r="H13" s="39" t="e">
        <f ca="1">AbraPayroll(API!$C$3,API!$C$4,API!$C$5,$C$13,H$8)</f>
        <v>#NAME?</v>
      </c>
      <c r="I13" s="39" t="e">
        <f ca="1">AbraPayroll(API!$C$3,API!$C$4,API!$C$5,$C$13,I$8)</f>
        <v>#NAME?</v>
      </c>
      <c r="J13" s="39" t="e">
        <f ca="1">AbraPayroll(API!$C$3,API!$C$4,API!$C$5,$C$13,J$8)</f>
        <v>#NAME?</v>
      </c>
      <c r="K13" s="39" t="e">
        <f ca="1">AbraPayroll(API!$C$3,API!$C$4,API!$C$5,$C$13,K$8)</f>
        <v>#NAME?</v>
      </c>
      <c r="L13" s="39" t="e">
        <f ca="1">AbraPayroll(API!$C$3,API!$C$4,API!$C$5,$C$13,L$8)</f>
        <v>#NAME?</v>
      </c>
      <c r="M13" s="39" t="e">
        <f ca="1">AbraPayroll(API!$C$3,API!$C$4,API!$C$5,$C$13,M$8)</f>
        <v>#NAME?</v>
      </c>
      <c r="N13" s="39" t="e">
        <f ca="1">AbraPayroll(API!$C$3,API!$C$4,API!$C$5,$C$13,N$8)</f>
        <v>#NAME?</v>
      </c>
      <c r="O13" s="39" t="e">
        <f ca="1">AbraPayroll(API!$C$3,API!$C$4,API!$C$5,$C$13,O$8)</f>
        <v>#NAME?</v>
      </c>
      <c r="P13" s="39" t="e">
        <f ca="1">AbraPayroll(API!$C$3,API!$C$4,API!$C$5,$C$13,P$8)</f>
        <v>#NAME?</v>
      </c>
      <c r="Q13" s="39" t="e">
        <f ca="1">AbraPayroll(API!$C$3,API!$C$4,API!$C$5,$C$13,Q$8)</f>
        <v>#NAME?</v>
      </c>
      <c r="R13" s="39" t="e">
        <f ca="1">AbraPayroll(API!$C$3,API!$C$4,API!$C$5,$C$13,R$8)</f>
        <v>#NAME?</v>
      </c>
      <c r="S13" s="39" t="e">
        <f ca="1">AbraPayroll(API!$C$3,API!$C$4,API!$C$5,$C$13,S$8)</f>
        <v>#NAME?</v>
      </c>
      <c r="T13" s="39" t="e">
        <f ca="1">AbraPayroll(API!$C$3,API!$C$4,API!$C$5,$C$13,T$8)</f>
        <v>#NAME?</v>
      </c>
      <c r="U13" s="39" t="e">
        <f ca="1">AbraPayroll(API!$C$3,API!$C$4,API!$C$5,$C$13,U$8)</f>
        <v>#NAME?</v>
      </c>
      <c r="V13" s="39" t="e">
        <f ca="1">AbraPayroll(API!$C$3,API!$C$4,API!$C$5,$C$13,V$8)</f>
        <v>#NAME?</v>
      </c>
      <c r="W13" s="39" t="e">
        <f ca="1">AbraPayroll(API!$C$3,API!$C$4,API!$C$5,$C$13,W$8)</f>
        <v>#NAME?</v>
      </c>
      <c r="X13" s="39" t="e">
        <f ca="1">AbraPayroll(API!$C$3,API!$C$4,API!$C$5,$C$13,X$8)</f>
        <v>#NAME?</v>
      </c>
      <c r="Y13" s="39" t="e">
        <f ca="1">AbraPayroll(API!$C$3,API!$C$4,API!$C$5,$C$13,Y$8)</f>
        <v>#NAME?</v>
      </c>
      <c r="Z13" s="39">
        <f>AbraPayroll(API!$C$3,API!$C$4,API!$C$5,$C$13,Z$8)</f>
        <v>0</v>
      </c>
      <c r="AA13" s="39">
        <f>AbraPayroll(API!$C$3,API!$C$4,API!$C$5,$C$13,AA$8)</f>
        <v>0</v>
      </c>
    </row>
    <row r="14" spans="1:190" s="72" customFormat="1" ht="15" customHeight="1" x14ac:dyDescent="0.2">
      <c r="A14" s="71"/>
      <c r="B14" s="113"/>
      <c r="C14" s="113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  <c r="EA14" s="62"/>
      <c r="EB14" s="62"/>
      <c r="EC14" s="62"/>
      <c r="ED14" s="62"/>
      <c r="EE14" s="62"/>
      <c r="EF14" s="62"/>
      <c r="EG14" s="62"/>
      <c r="EH14" s="62"/>
      <c r="EI14" s="62"/>
      <c r="EJ14" s="62"/>
      <c r="EK14" s="62"/>
      <c r="EL14" s="62"/>
      <c r="EM14" s="62"/>
      <c r="EN14" s="62"/>
      <c r="EO14" s="62"/>
      <c r="EP14" s="62"/>
      <c r="EQ14" s="62"/>
      <c r="ER14" s="62"/>
      <c r="ES14" s="62"/>
      <c r="ET14" s="62"/>
      <c r="EU14" s="62"/>
      <c r="EV14" s="62"/>
      <c r="EW14" s="62"/>
      <c r="EX14" s="62"/>
      <c r="EY14" s="62"/>
      <c r="EZ14" s="62"/>
      <c r="FA14" s="62"/>
      <c r="FB14" s="62"/>
      <c r="FC14" s="62"/>
      <c r="FD14" s="62"/>
      <c r="FE14" s="62"/>
      <c r="FF14" s="62"/>
      <c r="FG14" s="62"/>
      <c r="FH14" s="62"/>
      <c r="FI14" s="62"/>
      <c r="FJ14" s="62"/>
      <c r="FK14" s="62"/>
      <c r="FL14" s="62"/>
      <c r="FM14" s="62"/>
      <c r="FN14" s="62"/>
      <c r="FO14" s="62"/>
      <c r="FP14" s="62"/>
      <c r="FQ14" s="62"/>
      <c r="FR14" s="62"/>
      <c r="FS14" s="62"/>
      <c r="FT14" s="62"/>
      <c r="FU14" s="62"/>
      <c r="FV14" s="62"/>
      <c r="FW14" s="62"/>
      <c r="FX14" s="62"/>
      <c r="FY14" s="62"/>
      <c r="FZ14" s="62"/>
      <c r="GA14" s="62"/>
      <c r="GB14" s="62"/>
      <c r="GC14" s="62"/>
      <c r="GD14" s="62"/>
      <c r="GE14" s="62"/>
      <c r="GF14" s="62"/>
      <c r="GG14" s="62"/>
      <c r="GH14" s="62"/>
    </row>
    <row r="18" spans="2:2" x14ac:dyDescent="0.2">
      <c r="B18" s="122" t="s">
        <v>115</v>
      </c>
    </row>
    <row r="19" spans="2:2" x14ac:dyDescent="0.2">
      <c r="B19" s="122" t="s">
        <v>116</v>
      </c>
    </row>
    <row r="20" spans="2:2" x14ac:dyDescent="0.2">
      <c r="B20" s="122" t="s">
        <v>117</v>
      </c>
    </row>
    <row r="21" spans="2:2" x14ac:dyDescent="0.2">
      <c r="B21" s="122" t="s">
        <v>118</v>
      </c>
    </row>
    <row r="22" spans="2:2" x14ac:dyDescent="0.2">
      <c r="B22" s="122" t="s">
        <v>119</v>
      </c>
    </row>
  </sheetData>
  <mergeCells count="1">
    <mergeCell ref="B6:C7"/>
  </mergeCells>
  <pageMargins left="0.7" right="0.7" top="0.78740157499999996" bottom="0.78740157499999996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8">
              <controlPr defaultSize="0" print="0" autoFill="0" autoPict="0" macro="[0]!Recalculate_10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3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2"/>
  <dimension ref="A1:J17"/>
  <sheetViews>
    <sheetView workbookViewId="0">
      <selection activeCell="O10" sqref="O10"/>
    </sheetView>
  </sheetViews>
  <sheetFormatPr defaultColWidth="8.85546875" defaultRowHeight="15" customHeight="1" x14ac:dyDescent="0.2"/>
  <cols>
    <col min="1" max="1" width="1.7109375" style="84" customWidth="1"/>
    <col min="2" max="3" width="12.7109375" style="84" customWidth="1"/>
    <col min="4" max="4" width="1.7109375" style="84" customWidth="1"/>
    <col min="5" max="6" width="12.7109375" style="84" customWidth="1"/>
    <col min="7" max="7" width="1.7109375" style="84" customWidth="1"/>
    <col min="8" max="9" width="12.7109375" style="84" customWidth="1"/>
    <col min="10" max="16384" width="8.85546875" style="84"/>
  </cols>
  <sheetData>
    <row r="1" spans="1:10" ht="10.35" customHeight="1" thickBot="1" x14ac:dyDescent="0.25">
      <c r="B1" s="87"/>
      <c r="C1" s="87"/>
    </row>
    <row r="2" spans="1:10" ht="15" customHeight="1" x14ac:dyDescent="0.2">
      <c r="A2" s="85"/>
      <c r="B2" s="146" t="s">
        <v>52</v>
      </c>
      <c r="C2" s="147"/>
      <c r="D2" s="91"/>
      <c r="E2" s="146" t="s">
        <v>7</v>
      </c>
      <c r="F2" s="147"/>
      <c r="G2" s="92"/>
      <c r="H2" s="146" t="s">
        <v>8</v>
      </c>
      <c r="I2" s="147"/>
    </row>
    <row r="3" spans="1:10" ht="15" customHeight="1" x14ac:dyDescent="0.2">
      <c r="A3" s="85"/>
      <c r="B3" s="89" t="s">
        <v>53</v>
      </c>
      <c r="C3" s="90" t="s">
        <v>54</v>
      </c>
      <c r="D3" s="86"/>
      <c r="E3" s="89" t="s">
        <v>53</v>
      </c>
      <c r="F3" s="90" t="s">
        <v>54</v>
      </c>
      <c r="H3" s="89" t="s">
        <v>53</v>
      </c>
      <c r="I3" s="90" t="s">
        <v>54</v>
      </c>
    </row>
    <row r="4" spans="1:10" ht="15" customHeight="1" x14ac:dyDescent="0.2">
      <c r="A4" s="85"/>
      <c r="B4" s="98">
        <v>1</v>
      </c>
      <c r="C4" s="99">
        <v>0.06</v>
      </c>
      <c r="D4" s="97"/>
      <c r="E4" s="98">
        <v>1</v>
      </c>
      <c r="F4" s="99">
        <v>0.1</v>
      </c>
      <c r="G4" s="97"/>
      <c r="H4" s="98">
        <v>1</v>
      </c>
      <c r="I4" s="99">
        <v>0.08</v>
      </c>
      <c r="J4" s="86"/>
    </row>
    <row r="5" spans="1:10" ht="15" customHeight="1" x14ac:dyDescent="0.2">
      <c r="A5" s="85"/>
      <c r="B5" s="100">
        <v>2</v>
      </c>
      <c r="C5" s="101">
        <v>0.08</v>
      </c>
      <c r="D5" s="97"/>
      <c r="E5" s="100">
        <v>2</v>
      </c>
      <c r="F5" s="101">
        <v>0.09</v>
      </c>
      <c r="G5" s="97"/>
      <c r="H5" s="100">
        <v>2</v>
      </c>
      <c r="I5" s="101">
        <v>7.0000000000000007E-2</v>
      </c>
      <c r="J5" s="86"/>
    </row>
    <row r="6" spans="1:10" ht="15" customHeight="1" x14ac:dyDescent="0.2">
      <c r="A6" s="85"/>
      <c r="B6" s="100">
        <v>3</v>
      </c>
      <c r="C6" s="101">
        <v>0.09</v>
      </c>
      <c r="D6" s="97"/>
      <c r="E6" s="100">
        <v>3</v>
      </c>
      <c r="F6" s="101">
        <v>0.08</v>
      </c>
      <c r="G6" s="97"/>
      <c r="H6" s="100">
        <v>3</v>
      </c>
      <c r="I6" s="101">
        <v>7.0000000000000007E-2</v>
      </c>
      <c r="J6" s="86"/>
    </row>
    <row r="7" spans="1:10" ht="15" customHeight="1" x14ac:dyDescent="0.2">
      <c r="A7" s="85"/>
      <c r="B7" s="100">
        <v>4</v>
      </c>
      <c r="C7" s="101">
        <v>0.08</v>
      </c>
      <c r="D7" s="97"/>
      <c r="E7" s="100">
        <v>4</v>
      </c>
      <c r="F7" s="101">
        <v>7.0000000000000007E-2</v>
      </c>
      <c r="G7" s="97"/>
      <c r="H7" s="100">
        <v>4</v>
      </c>
      <c r="I7" s="101">
        <v>7.0000000000000007E-2</v>
      </c>
      <c r="J7" s="86"/>
    </row>
    <row r="8" spans="1:10" ht="15" customHeight="1" x14ac:dyDescent="0.2">
      <c r="A8" s="85"/>
      <c r="B8" s="100">
        <v>5</v>
      </c>
      <c r="C8" s="101">
        <v>7.0000000000000007E-2</v>
      </c>
      <c r="D8" s="97"/>
      <c r="E8" s="100">
        <v>5</v>
      </c>
      <c r="F8" s="101">
        <v>7.0000000000000007E-2</v>
      </c>
      <c r="G8" s="97"/>
      <c r="H8" s="100">
        <v>5</v>
      </c>
      <c r="I8" s="101">
        <v>7.0000000000000007E-2</v>
      </c>
      <c r="J8" s="86"/>
    </row>
    <row r="9" spans="1:10" ht="15" customHeight="1" x14ac:dyDescent="0.2">
      <c r="A9" s="85"/>
      <c r="B9" s="100">
        <v>6</v>
      </c>
      <c r="C9" s="101">
        <v>7.0000000000000007E-2</v>
      </c>
      <c r="D9" s="97"/>
      <c r="E9" s="100">
        <v>6</v>
      </c>
      <c r="F9" s="101">
        <v>0.06</v>
      </c>
      <c r="G9" s="97"/>
      <c r="H9" s="100">
        <v>6</v>
      </c>
      <c r="I9" s="101">
        <v>7.0000000000000007E-2</v>
      </c>
      <c r="J9" s="86"/>
    </row>
    <row r="10" spans="1:10" ht="15" customHeight="1" x14ac:dyDescent="0.2">
      <c r="A10" s="85"/>
      <c r="B10" s="100">
        <v>7</v>
      </c>
      <c r="C10" s="101">
        <v>0.08</v>
      </c>
      <c r="D10" s="97"/>
      <c r="E10" s="100">
        <v>7</v>
      </c>
      <c r="F10" s="101">
        <v>0.06</v>
      </c>
      <c r="G10" s="97"/>
      <c r="H10" s="100">
        <v>7</v>
      </c>
      <c r="I10" s="101">
        <v>7.0000000000000007E-2</v>
      </c>
      <c r="J10" s="86"/>
    </row>
    <row r="11" spans="1:10" ht="15" customHeight="1" x14ac:dyDescent="0.2">
      <c r="A11" s="85"/>
      <c r="B11" s="100">
        <v>8</v>
      </c>
      <c r="C11" s="101">
        <v>0.09</v>
      </c>
      <c r="D11" s="97"/>
      <c r="E11" s="100">
        <v>8</v>
      </c>
      <c r="F11" s="101">
        <v>0.06</v>
      </c>
      <c r="G11" s="97"/>
      <c r="H11" s="100">
        <v>8</v>
      </c>
      <c r="I11" s="101">
        <v>0.08</v>
      </c>
      <c r="J11" s="86"/>
    </row>
    <row r="12" spans="1:10" ht="15" customHeight="1" x14ac:dyDescent="0.2">
      <c r="A12" s="85"/>
      <c r="B12" s="100">
        <v>9</v>
      </c>
      <c r="C12" s="101">
        <v>0.1</v>
      </c>
      <c r="D12" s="97"/>
      <c r="E12" s="100">
        <v>9</v>
      </c>
      <c r="F12" s="101">
        <v>7.0000000000000007E-2</v>
      </c>
      <c r="G12" s="97"/>
      <c r="H12" s="100">
        <v>9</v>
      </c>
      <c r="I12" s="101">
        <v>0.09</v>
      </c>
      <c r="J12" s="86"/>
    </row>
    <row r="13" spans="1:10" ht="15" customHeight="1" x14ac:dyDescent="0.2">
      <c r="A13" s="85"/>
      <c r="B13" s="100">
        <v>10</v>
      </c>
      <c r="C13" s="101">
        <v>0.1</v>
      </c>
      <c r="D13" s="97"/>
      <c r="E13" s="100">
        <v>10</v>
      </c>
      <c r="F13" s="101">
        <v>0.09</v>
      </c>
      <c r="G13" s="97"/>
      <c r="H13" s="100">
        <v>10</v>
      </c>
      <c r="I13" s="101">
        <v>0.1</v>
      </c>
      <c r="J13" s="86"/>
    </row>
    <row r="14" spans="1:10" ht="15" customHeight="1" x14ac:dyDescent="0.2">
      <c r="A14" s="85"/>
      <c r="B14" s="100">
        <v>11</v>
      </c>
      <c r="C14" s="101">
        <v>0.13</v>
      </c>
      <c r="D14" s="97"/>
      <c r="E14" s="100">
        <v>11</v>
      </c>
      <c r="F14" s="101">
        <v>0.11</v>
      </c>
      <c r="G14" s="97"/>
      <c r="H14" s="100">
        <v>11</v>
      </c>
      <c r="I14" s="101">
        <v>0.11</v>
      </c>
      <c r="J14" s="86"/>
    </row>
    <row r="15" spans="1:10" ht="15" customHeight="1" x14ac:dyDescent="0.2">
      <c r="A15" s="85"/>
      <c r="B15" s="102">
        <v>12</v>
      </c>
      <c r="C15" s="103">
        <v>0.05</v>
      </c>
      <c r="D15" s="97"/>
      <c r="E15" s="102">
        <v>12</v>
      </c>
      <c r="F15" s="103">
        <v>0.14000000000000001</v>
      </c>
      <c r="G15" s="97"/>
      <c r="H15" s="102">
        <v>12</v>
      </c>
      <c r="I15" s="103">
        <v>0.12</v>
      </c>
      <c r="J15" s="86"/>
    </row>
    <row r="16" spans="1:10" ht="15" customHeight="1" thickBot="1" x14ac:dyDescent="0.25">
      <c r="A16" s="85"/>
      <c r="B16" s="93" t="s">
        <v>40</v>
      </c>
      <c r="C16" s="94">
        <f>SUM(C4:C15)</f>
        <v>1</v>
      </c>
      <c r="D16" s="95"/>
      <c r="E16" s="93" t="s">
        <v>40</v>
      </c>
      <c r="F16" s="94">
        <f>SUM(F4:F15)</f>
        <v>1</v>
      </c>
      <c r="G16" s="96"/>
      <c r="H16" s="93" t="s">
        <v>40</v>
      </c>
      <c r="I16" s="94">
        <f>SUM(I4:I15)</f>
        <v>0.99999999999999989</v>
      </c>
    </row>
    <row r="17" spans="2:3" ht="15" customHeight="1" x14ac:dyDescent="0.2">
      <c r="B17" s="88"/>
      <c r="C17" s="88"/>
    </row>
  </sheetData>
  <mergeCells count="3">
    <mergeCell ref="B2:C2"/>
    <mergeCell ref="E2:F2"/>
    <mergeCell ref="H2:I2"/>
  </mergeCells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3"/>
  <dimension ref="A1:D6"/>
  <sheetViews>
    <sheetView tabSelected="1" workbookViewId="0">
      <selection activeCell="C5" sqref="C5"/>
    </sheetView>
  </sheetViews>
  <sheetFormatPr defaultColWidth="8.85546875" defaultRowHeight="15" customHeight="1" x14ac:dyDescent="0.2"/>
  <cols>
    <col min="1" max="1" width="1.7109375" style="84" customWidth="1"/>
    <col min="2" max="2" width="15.140625" style="84" customWidth="1"/>
    <col min="3" max="3" width="59.85546875" style="84" customWidth="1"/>
    <col min="4" max="16384" width="8.85546875" style="84"/>
  </cols>
  <sheetData>
    <row r="1" spans="1:4" ht="10.35" customHeight="1" thickBot="1" x14ac:dyDescent="0.25"/>
    <row r="2" spans="1:4" ht="15" customHeight="1" x14ac:dyDescent="0.2">
      <c r="B2" s="146" t="s">
        <v>55</v>
      </c>
      <c r="C2" s="147"/>
    </row>
    <row r="3" spans="1:4" ht="15" customHeight="1" x14ac:dyDescent="0.2">
      <c r="A3" s="85"/>
      <c r="B3" s="104" t="s">
        <v>0</v>
      </c>
      <c r="C3" s="107" t="s">
        <v>134</v>
      </c>
      <c r="D3" s="86"/>
    </row>
    <row r="4" spans="1:4" ht="15" customHeight="1" x14ac:dyDescent="0.2">
      <c r="A4" s="85"/>
      <c r="B4" s="105" t="s">
        <v>3</v>
      </c>
      <c r="C4" s="105" t="s">
        <v>132</v>
      </c>
      <c r="D4" s="86"/>
    </row>
    <row r="5" spans="1:4" ht="15" customHeight="1" x14ac:dyDescent="0.2">
      <c r="A5" s="85"/>
      <c r="B5" s="105" t="s">
        <v>4</v>
      </c>
      <c r="C5" s="105" t="s">
        <v>135</v>
      </c>
      <c r="D5" s="86"/>
    </row>
    <row r="6" spans="1:4" ht="15" customHeight="1" x14ac:dyDescent="0.2">
      <c r="B6" s="104" t="s">
        <v>133</v>
      </c>
      <c r="C6" s="133">
        <v>240</v>
      </c>
    </row>
  </sheetData>
  <dataConsolidate/>
  <mergeCells count="1">
    <mergeCell ref="B2:C2"/>
  </mergeCells>
  <hyperlinks>
    <hyperlink ref="C3" r:id="rId1" xr:uid="{00000000-0004-0000-0900-000000000000}"/>
  </hyperlinks>
  <pageMargins left="0.7" right="0.7" top="0.78740157499999996" bottom="0.78740157499999996" header="0.3" footer="0.3"/>
  <pageSetup paperSize="9" orientation="portrait"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10</vt:i4>
      </vt:variant>
    </vt:vector>
  </HeadingPairs>
  <TitlesOfParts>
    <vt:vector size="10" baseType="lpstr">
      <vt:lpstr>Model výnosů</vt:lpstr>
      <vt:lpstr>Účty s vývojem</vt:lpstr>
      <vt:lpstr>Penize stav</vt:lpstr>
      <vt:lpstr>Sklady</vt:lpstr>
      <vt:lpstr>Prodej</vt:lpstr>
      <vt:lpstr>Pohledávky a závazky</vt:lpstr>
      <vt:lpstr>Majetek</vt:lpstr>
      <vt:lpstr>Mzdy</vt:lpstr>
      <vt:lpstr>Sezona</vt:lpstr>
      <vt:lpstr>API</vt:lpstr>
    </vt:vector>
  </TitlesOfParts>
  <Company>ABRA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Jirmann</dc:creator>
  <cp:lastModifiedBy>Josef Melichárek</cp:lastModifiedBy>
  <cp:lastPrinted>2018-07-16T07:49:44Z</cp:lastPrinted>
  <dcterms:created xsi:type="dcterms:W3CDTF">2009-05-28T11:25:29Z</dcterms:created>
  <dcterms:modified xsi:type="dcterms:W3CDTF">2019-08-23T08:58:07Z</dcterms:modified>
</cp:coreProperties>
</file>