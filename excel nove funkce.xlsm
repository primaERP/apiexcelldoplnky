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BD4D1F94-1B06-4431-B7E6-98FC07760652}" xr6:coauthVersionLast="45" xr6:coauthVersionMax="45" xr10:uidLastSave="{00000000-0000-0000-0000-000000000000}"/>
  <bookViews>
    <workbookView xWindow="-28920" yWindow="-8580" windowWidth="29040" windowHeight="15840" tabRatio="674" activeTab="8" xr2:uid="{00000000-000D-0000-FFFF-FFFF00000000}"/>
  </bookViews>
  <sheets>
    <sheet name="API" sheetId="15" r:id="rId1"/>
    <sheet name="Model výnosů" sheetId="1" r:id="rId2"/>
    <sheet name="Účty s vývojem" sheetId="9" r:id="rId3"/>
    <sheet name="Penize stav" sheetId="8" r:id="rId4"/>
    <sheet name="Sklady" sheetId="10" r:id="rId5"/>
    <sheet name="Prodej" sheetId="11" r:id="rId6"/>
    <sheet name="Pohledávky a závazky" sheetId="14" r:id="rId7"/>
    <sheet name="Majetek" sheetId="12" r:id="rId8"/>
    <sheet name="Mzdy" sheetId="13" r:id="rId9"/>
    <sheet name="Sezona" sheetId="7" r:id="rId10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0" i="13" l="1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P7" i="13"/>
  <c r="P6" i="13"/>
  <c r="P8" i="13"/>
  <c r="O7" i="13"/>
  <c r="O6" i="13"/>
  <c r="O8" i="13"/>
  <c r="N7" i="13"/>
  <c r="N6" i="13"/>
  <c r="N8" i="13"/>
  <c r="U8" i="13"/>
  <c r="V8" i="13"/>
  <c r="W8" i="13"/>
  <c r="X8" i="13"/>
  <c r="Y8" i="13"/>
  <c r="Z8" i="13"/>
  <c r="W10" i="13"/>
  <c r="M7" i="13"/>
  <c r="M6" i="13"/>
  <c r="L7" i="13"/>
  <c r="L6" i="13"/>
  <c r="K7" i="13"/>
  <c r="K6" i="13"/>
  <c r="J7" i="13"/>
  <c r="J6" i="13"/>
  <c r="I7" i="13"/>
  <c r="I6" i="13"/>
  <c r="H7" i="13"/>
  <c r="H6" i="13"/>
  <c r="G7" i="13"/>
  <c r="G6" i="13"/>
  <c r="F7" i="13"/>
  <c r="F6" i="13"/>
  <c r="E7" i="13"/>
  <c r="E6" i="13"/>
  <c r="D7" i="13"/>
  <c r="D6" i="13"/>
  <c r="D8" i="13"/>
  <c r="D10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10" i="13"/>
  <c r="O10" i="13"/>
  <c r="Q8" i="13"/>
  <c r="Q10" i="13"/>
  <c r="R8" i="13"/>
  <c r="R10" i="13"/>
  <c r="S8" i="13"/>
  <c r="S10" i="13"/>
  <c r="T8" i="13"/>
  <c r="T10" i="13"/>
  <c r="U10" i="13"/>
  <c r="V10" i="13"/>
  <c r="X10" i="13"/>
  <c r="Y10" i="13"/>
  <c r="Z10" i="13"/>
  <c r="AA8" i="13"/>
  <c r="AA10" i="13"/>
  <c r="AA7" i="9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D9" i="9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O7" i="1"/>
  <c r="O6" i="1"/>
  <c r="N7" i="1"/>
  <c r="N6" i="1"/>
  <c r="M7" i="1"/>
  <c r="M6" i="1"/>
  <c r="L7" i="1"/>
  <c r="L6" i="1"/>
  <c r="K7" i="1"/>
  <c r="K6" i="1"/>
  <c r="J7" i="1"/>
  <c r="J6" i="1"/>
  <c r="J11" i="1"/>
  <c r="K11" i="1"/>
  <c r="L11" i="1"/>
  <c r="M11" i="1"/>
  <c r="N11" i="1"/>
  <c r="O11" i="1"/>
  <c r="AC11" i="1"/>
  <c r="AH11" i="1"/>
  <c r="AI6" i="1"/>
  <c r="AI8" i="1"/>
  <c r="AI11" i="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D7" i="11"/>
  <c r="D6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D9" i="11"/>
  <c r="AA7" i="8"/>
  <c r="AA6" i="8"/>
  <c r="Z7" i="8"/>
  <c r="Z6" i="8"/>
  <c r="Y7" i="8"/>
  <c r="Y6" i="8"/>
  <c r="X7" i="8"/>
  <c r="X6" i="8"/>
  <c r="W7" i="8"/>
  <c r="W6" i="8"/>
  <c r="V7" i="8"/>
  <c r="V6" i="8"/>
  <c r="U7" i="8"/>
  <c r="U6" i="8"/>
  <c r="T7" i="8"/>
  <c r="T6" i="8"/>
  <c r="S7" i="8"/>
  <c r="S6" i="8"/>
  <c r="R7" i="8"/>
  <c r="R6" i="8"/>
  <c r="Q7" i="8"/>
  <c r="Q6" i="8"/>
  <c r="P7" i="8"/>
  <c r="P6" i="8"/>
  <c r="O7" i="8"/>
  <c r="O6" i="8"/>
  <c r="N7" i="8"/>
  <c r="N6" i="8"/>
  <c r="M7" i="8"/>
  <c r="M6" i="8"/>
  <c r="L7" i="8"/>
  <c r="L6" i="8"/>
  <c r="K7" i="8"/>
  <c r="K6" i="8"/>
  <c r="J7" i="8"/>
  <c r="J6" i="8"/>
  <c r="I7" i="8"/>
  <c r="I6" i="8"/>
  <c r="H7" i="8"/>
  <c r="H6" i="8"/>
  <c r="G7" i="8"/>
  <c r="G6" i="8"/>
  <c r="F7" i="8"/>
  <c r="F6" i="8"/>
  <c r="E7" i="8"/>
  <c r="E6" i="8"/>
  <c r="D7" i="8"/>
  <c r="D6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D9" i="8"/>
  <c r="I7" i="1"/>
  <c r="I6" i="1"/>
  <c r="H7" i="1"/>
  <c r="H6" i="1"/>
  <c r="G7" i="1"/>
  <c r="G6" i="1"/>
  <c r="F7" i="1"/>
  <c r="F6" i="1"/>
  <c r="E7" i="1"/>
  <c r="E6" i="1"/>
  <c r="D7" i="1"/>
  <c r="D6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D11" i="1"/>
  <c r="E11" i="1"/>
  <c r="F11" i="1"/>
  <c r="G11" i="1"/>
  <c r="H11" i="1"/>
  <c r="I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D9" i="1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D21" i="14"/>
  <c r="D20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D23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D7" i="14"/>
  <c r="D6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D9" i="14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E7" i="10"/>
  <c r="E6" i="10"/>
  <c r="D7" i="10"/>
  <c r="D6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D15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D9" i="10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D9" i="13"/>
  <c r="D13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E7" i="12"/>
  <c r="E6" i="12"/>
  <c r="D7" i="12"/>
  <c r="D6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D9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D17" i="12"/>
  <c r="E17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D18" i="12"/>
  <c r="E18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E15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D15" i="12"/>
  <c r="AA11" i="11"/>
  <c r="AA8" i="11"/>
  <c r="Z22" i="14"/>
  <c r="AA22" i="14"/>
  <c r="Z11" i="11"/>
  <c r="Z8" i="11"/>
  <c r="AA8" i="10"/>
  <c r="AA8" i="14"/>
  <c r="AA17" i="10"/>
  <c r="AA11" i="10"/>
  <c r="AA11" i="12"/>
  <c r="AA8" i="12"/>
  <c r="Z8" i="14"/>
  <c r="Y11" i="11"/>
  <c r="Y8" i="11"/>
  <c r="Z11" i="12"/>
  <c r="Z17" i="10"/>
  <c r="Z11" i="10"/>
  <c r="Z8" i="10"/>
  <c r="Z8" i="12"/>
  <c r="Y22" i="14"/>
  <c r="Y8" i="14"/>
  <c r="X11" i="11"/>
  <c r="X8" i="11"/>
  <c r="Y11" i="10"/>
  <c r="Y17" i="10"/>
  <c r="Y11" i="12"/>
  <c r="Y8" i="10"/>
  <c r="Y8" i="12"/>
  <c r="AF11" i="9"/>
  <c r="AE11" i="9"/>
  <c r="AA8" i="9"/>
  <c r="AI6" i="9"/>
  <c r="AI7" i="9"/>
  <c r="AJ6" i="9"/>
  <c r="AJ7" i="9"/>
  <c r="AK6" i="9"/>
  <c r="X22" i="14"/>
  <c r="X8" i="14"/>
  <c r="AF11" i="8"/>
  <c r="AE11" i="8"/>
  <c r="AA8" i="8"/>
  <c r="AJ8" i="9"/>
  <c r="AI8" i="9"/>
  <c r="W11" i="11"/>
  <c r="W8" i="11"/>
  <c r="AK7" i="9"/>
  <c r="AL6" i="9"/>
  <c r="AK8" i="9"/>
  <c r="Z8" i="9"/>
  <c r="X17" i="10"/>
  <c r="X11" i="10"/>
  <c r="X11" i="12"/>
  <c r="X8" i="10"/>
  <c r="X8" i="12"/>
  <c r="AH12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I16" i="7"/>
  <c r="F16" i="7"/>
  <c r="C16" i="7"/>
  <c r="AE26" i="1"/>
  <c r="AF26" i="1"/>
  <c r="AI7" i="1"/>
  <c r="AJ6" i="1"/>
  <c r="AJ7" i="1"/>
  <c r="AK6" i="1"/>
  <c r="AK7" i="1"/>
  <c r="AL6" i="1"/>
  <c r="AL7" i="1"/>
  <c r="AM6" i="1"/>
  <c r="AM7" i="1"/>
  <c r="AN6" i="1"/>
  <c r="W22" i="14"/>
  <c r="AL7" i="9"/>
  <c r="AM6" i="9"/>
  <c r="AL8" i="9"/>
  <c r="Y8" i="9"/>
  <c r="W8" i="14"/>
  <c r="AJ8" i="1"/>
  <c r="V11" i="11"/>
  <c r="V8" i="11"/>
  <c r="AM7" i="9"/>
  <c r="AN6" i="9"/>
  <c r="AM8" i="9"/>
  <c r="X8" i="9"/>
  <c r="W17" i="10"/>
  <c r="W11" i="10"/>
  <c r="W11" i="12"/>
  <c r="W8" i="10"/>
  <c r="W8" i="12"/>
  <c r="Z8" i="8"/>
  <c r="AA8" i="1"/>
  <c r="AA26" i="1"/>
  <c r="AK8" i="1"/>
  <c r="V22" i="14"/>
  <c r="AN8" i="9"/>
  <c r="AN7" i="9"/>
  <c r="AO6" i="9"/>
  <c r="W8" i="9"/>
  <c r="V8" i="14"/>
  <c r="AL8" i="1"/>
  <c r="U11" i="11"/>
  <c r="U8" i="11"/>
  <c r="V8" i="9"/>
  <c r="AO8" i="9"/>
  <c r="AO7" i="9"/>
  <c r="AP6" i="9"/>
  <c r="V17" i="10"/>
  <c r="V11" i="10"/>
  <c r="V11" i="12"/>
  <c r="V8" i="10"/>
  <c r="V8" i="12"/>
  <c r="Y8" i="8"/>
  <c r="Z26" i="1"/>
  <c r="Z8" i="1"/>
  <c r="AM8" i="1"/>
  <c r="U22" i="14"/>
  <c r="AP8" i="9"/>
  <c r="AP7" i="9"/>
  <c r="AQ6" i="9"/>
  <c r="U8" i="9"/>
  <c r="U8" i="14"/>
  <c r="AN8" i="1"/>
  <c r="AN7" i="1"/>
  <c r="AO6" i="1"/>
  <c r="T11" i="11"/>
  <c r="T8" i="11"/>
  <c r="T8" i="9"/>
  <c r="AQ8" i="9"/>
  <c r="AQ7" i="9"/>
  <c r="AR6" i="9"/>
  <c r="U11" i="10"/>
  <c r="U17" i="10"/>
  <c r="U11" i="12"/>
  <c r="U8" i="10"/>
  <c r="U8" i="12"/>
  <c r="X8" i="8"/>
  <c r="Y26" i="1"/>
  <c r="Y8" i="1"/>
  <c r="AO7" i="1"/>
  <c r="AP6" i="1"/>
  <c r="AO8" i="1"/>
  <c r="T22" i="14"/>
  <c r="S8" i="9"/>
  <c r="AR7" i="9"/>
  <c r="AS6" i="9"/>
  <c r="AR8" i="9"/>
  <c r="T8" i="14"/>
  <c r="AP8" i="1"/>
  <c r="AP7" i="1"/>
  <c r="AQ6" i="1"/>
  <c r="S11" i="11"/>
  <c r="S8" i="11"/>
  <c r="AS7" i="9"/>
  <c r="AT6" i="9"/>
  <c r="AS8" i="9"/>
  <c r="R8" i="9"/>
  <c r="T11" i="10"/>
  <c r="T17" i="10"/>
  <c r="T11" i="12"/>
  <c r="T8" i="10"/>
  <c r="T8" i="12"/>
  <c r="W8" i="8"/>
  <c r="X26" i="1"/>
  <c r="X8" i="1"/>
  <c r="AQ7" i="1"/>
  <c r="AR6" i="1"/>
  <c r="AQ8" i="1"/>
  <c r="S22" i="14"/>
  <c r="Q8" i="9"/>
  <c r="AT7" i="9"/>
  <c r="AT8" i="9"/>
  <c r="S8" i="14"/>
  <c r="AR8" i="1"/>
  <c r="AR7" i="1"/>
  <c r="AS6" i="1"/>
  <c r="R11" i="11"/>
  <c r="R8" i="11"/>
  <c r="P8" i="9"/>
  <c r="S11" i="10"/>
  <c r="S17" i="10"/>
  <c r="S11" i="12"/>
  <c r="S8" i="10"/>
  <c r="S8" i="12"/>
  <c r="V8" i="8"/>
  <c r="W26" i="1"/>
  <c r="W8" i="1"/>
  <c r="AS7" i="1"/>
  <c r="AT6" i="1"/>
  <c r="AS8" i="1"/>
  <c r="R22" i="14"/>
  <c r="O8" i="9"/>
  <c r="R8" i="14"/>
  <c r="AT8" i="1"/>
  <c r="AT7" i="1"/>
  <c r="Q11" i="11"/>
  <c r="Q8" i="11"/>
  <c r="N8" i="9"/>
  <c r="R11" i="10"/>
  <c r="R17" i="10"/>
  <c r="R11" i="12"/>
  <c r="R8" i="10"/>
  <c r="R8" i="12"/>
  <c r="U8" i="8"/>
  <c r="V26" i="1"/>
  <c r="V8" i="1"/>
  <c r="Q22" i="14"/>
  <c r="M8" i="9"/>
  <c r="Q8" i="14"/>
  <c r="P11" i="11"/>
  <c r="P8" i="11"/>
  <c r="L8" i="9"/>
  <c r="Q17" i="10"/>
  <c r="Q11" i="10"/>
  <c r="Q11" i="12"/>
  <c r="Q8" i="10"/>
  <c r="Q8" i="12"/>
  <c r="T8" i="8"/>
  <c r="U26" i="1"/>
  <c r="U8" i="1"/>
  <c r="P22" i="14"/>
  <c r="K8" i="9"/>
  <c r="P8" i="14"/>
  <c r="O11" i="11"/>
  <c r="O8" i="11"/>
  <c r="J8" i="9"/>
  <c r="P17" i="10"/>
  <c r="P11" i="10"/>
  <c r="P11" i="12"/>
  <c r="P8" i="10"/>
  <c r="P8" i="12"/>
  <c r="S8" i="8"/>
  <c r="T26" i="1"/>
  <c r="T8" i="1"/>
  <c r="O22" i="14"/>
  <c r="I8" i="9"/>
  <c r="O8" i="14"/>
  <c r="N11" i="11"/>
  <c r="N8" i="11"/>
  <c r="H8" i="9"/>
  <c r="O17" i="10"/>
  <c r="O11" i="10"/>
  <c r="O11" i="12"/>
  <c r="O8" i="10"/>
  <c r="O8" i="12"/>
  <c r="R8" i="8"/>
  <c r="S26" i="1"/>
  <c r="S8" i="1"/>
  <c r="N22" i="14"/>
  <c r="G8" i="9"/>
  <c r="N8" i="14"/>
  <c r="M11" i="11"/>
  <c r="M8" i="11"/>
  <c r="F8" i="9"/>
  <c r="N17" i="10"/>
  <c r="N11" i="10"/>
  <c r="N11" i="12"/>
  <c r="N8" i="10"/>
  <c r="N8" i="12"/>
  <c r="Q8" i="8"/>
  <c r="R26" i="1"/>
  <c r="R8" i="1"/>
  <c r="M22" i="14"/>
  <c r="E8" i="9"/>
  <c r="M8" i="14"/>
  <c r="L11" i="11"/>
  <c r="L8" i="11"/>
  <c r="D8" i="9"/>
  <c r="M17" i="10"/>
  <c r="M11" i="10"/>
  <c r="M11" i="12"/>
  <c r="M8" i="10"/>
  <c r="M8" i="12"/>
  <c r="P8" i="8"/>
  <c r="Q26" i="1"/>
  <c r="Q8" i="1"/>
  <c r="L22" i="14"/>
  <c r="D11" i="9"/>
  <c r="L8" i="14"/>
  <c r="K11" i="11"/>
  <c r="K8" i="11"/>
  <c r="E11" i="9"/>
  <c r="L17" i="10"/>
  <c r="L11" i="10"/>
  <c r="L11" i="12"/>
  <c r="L8" i="10"/>
  <c r="L8" i="12"/>
  <c r="O8" i="8"/>
  <c r="AB19" i="1"/>
  <c r="AB9" i="1"/>
  <c r="P26" i="1"/>
  <c r="AB10" i="1"/>
  <c r="AB22" i="1"/>
  <c r="AB15" i="1"/>
  <c r="AB17" i="1"/>
  <c r="AB23" i="1"/>
  <c r="AB24" i="1"/>
  <c r="AB18" i="1"/>
  <c r="AB25" i="1"/>
  <c r="AB21" i="1"/>
  <c r="AB14" i="1"/>
  <c r="AB13" i="1"/>
  <c r="AB20" i="1"/>
  <c r="AB12" i="1"/>
  <c r="AB16" i="1"/>
  <c r="P8" i="1"/>
  <c r="K22" i="14"/>
  <c r="F11" i="9"/>
  <c r="K8" i="14"/>
  <c r="AO24" i="1"/>
  <c r="AN24" i="1"/>
  <c r="AP24" i="1"/>
  <c r="AJ24" i="1"/>
  <c r="AM24" i="1"/>
  <c r="AQ24" i="1"/>
  <c r="AL24" i="1"/>
  <c r="AT24" i="1"/>
  <c r="AS24" i="1"/>
  <c r="AR24" i="1"/>
  <c r="AK24" i="1"/>
  <c r="AI24" i="1"/>
  <c r="AO20" i="1"/>
  <c r="AN20" i="1"/>
  <c r="AP20" i="1"/>
  <c r="AJ20" i="1"/>
  <c r="AQ20" i="1"/>
  <c r="AL20" i="1"/>
  <c r="AT20" i="1"/>
  <c r="AK20" i="1"/>
  <c r="AR20" i="1"/>
  <c r="AS20" i="1"/>
  <c r="AM20" i="1"/>
  <c r="AI20" i="1"/>
  <c r="AR23" i="1"/>
  <c r="AJ23" i="1"/>
  <c r="AP23" i="1"/>
  <c r="AS23" i="1"/>
  <c r="AL23" i="1"/>
  <c r="AK23" i="1"/>
  <c r="AQ23" i="1"/>
  <c r="AM23" i="1"/>
  <c r="AN23" i="1"/>
  <c r="AO23" i="1"/>
  <c r="AI23" i="1"/>
  <c r="AT23" i="1"/>
  <c r="AI13" i="1"/>
  <c r="AR13" i="1"/>
  <c r="AL13" i="1"/>
  <c r="AJ13" i="1"/>
  <c r="AK13" i="1"/>
  <c r="AQ13" i="1"/>
  <c r="AP13" i="1"/>
  <c r="AT13" i="1"/>
  <c r="AS13" i="1"/>
  <c r="AM13" i="1"/>
  <c r="AO13" i="1"/>
  <c r="AN13" i="1"/>
  <c r="AP17" i="1"/>
  <c r="AO17" i="1"/>
  <c r="AM17" i="1"/>
  <c r="AK17" i="1"/>
  <c r="AN17" i="1"/>
  <c r="AI17" i="1"/>
  <c r="AT17" i="1"/>
  <c r="AS17" i="1"/>
  <c r="AR17" i="1"/>
  <c r="AL17" i="1"/>
  <c r="AJ17" i="1"/>
  <c r="AQ17" i="1"/>
  <c r="AN19" i="1"/>
  <c r="AM19" i="1"/>
  <c r="AO19" i="1"/>
  <c r="AI19" i="1"/>
  <c r="AK19" i="1"/>
  <c r="AT19" i="1"/>
  <c r="AS19" i="1"/>
  <c r="AR19" i="1"/>
  <c r="AJ19" i="1"/>
  <c r="AP19" i="1"/>
  <c r="AL19" i="1"/>
  <c r="AQ19" i="1"/>
  <c r="AR15" i="1"/>
  <c r="AJ15" i="1"/>
  <c r="AL15" i="1"/>
  <c r="AN15" i="1"/>
  <c r="AQ15" i="1"/>
  <c r="AT15" i="1"/>
  <c r="AK15" i="1"/>
  <c r="AP15" i="1"/>
  <c r="AO15" i="1"/>
  <c r="AM15" i="1"/>
  <c r="AI15" i="1"/>
  <c r="AS15" i="1"/>
  <c r="AR14" i="1"/>
  <c r="AS14" i="1"/>
  <c r="AO14" i="1"/>
  <c r="AM14" i="1"/>
  <c r="AK14" i="1"/>
  <c r="AJ14" i="1"/>
  <c r="AQ14" i="1"/>
  <c r="AI14" i="1"/>
  <c r="AP14" i="1"/>
  <c r="AL14" i="1"/>
  <c r="AN14" i="1"/>
  <c r="AT14" i="1"/>
  <c r="AR22" i="1"/>
  <c r="AS22" i="1"/>
  <c r="AO22" i="1"/>
  <c r="AI22" i="1"/>
  <c r="AK22" i="1"/>
  <c r="AJ22" i="1"/>
  <c r="AT22" i="1"/>
  <c r="AQ22" i="1"/>
  <c r="AM22" i="1"/>
  <c r="AP22" i="1"/>
  <c r="AN22" i="1"/>
  <c r="AL22" i="1"/>
  <c r="AP21" i="1"/>
  <c r="AO21" i="1"/>
  <c r="AM21" i="1"/>
  <c r="AK21" i="1"/>
  <c r="AN21" i="1"/>
  <c r="AQ21" i="1"/>
  <c r="AI21" i="1"/>
  <c r="AT21" i="1"/>
  <c r="AL21" i="1"/>
  <c r="AR21" i="1"/>
  <c r="AS21" i="1"/>
  <c r="AJ21" i="1"/>
  <c r="AR16" i="1"/>
  <c r="AK16" i="1"/>
  <c r="AM16" i="1"/>
  <c r="AS16" i="1"/>
  <c r="AI16" i="1"/>
  <c r="AQ16" i="1"/>
  <c r="AO16" i="1"/>
  <c r="AN16" i="1"/>
  <c r="AT16" i="1"/>
  <c r="AP16" i="1"/>
  <c r="AJ16" i="1"/>
  <c r="AL16" i="1"/>
  <c r="AP25" i="1"/>
  <c r="AO25" i="1"/>
  <c r="AM25" i="1"/>
  <c r="AK25" i="1"/>
  <c r="AN25" i="1"/>
  <c r="AI25" i="1"/>
  <c r="AT25" i="1"/>
  <c r="AR25" i="1"/>
  <c r="AS25" i="1"/>
  <c r="AL25" i="1"/>
  <c r="AJ25" i="1"/>
  <c r="AQ25" i="1"/>
  <c r="AT12" i="1"/>
  <c r="AO12" i="1"/>
  <c r="AP12" i="1"/>
  <c r="AN12" i="1"/>
  <c r="AL12" i="1"/>
  <c r="AJ12" i="1"/>
  <c r="AS12" i="1"/>
  <c r="AQ12" i="1"/>
  <c r="AR12" i="1"/>
  <c r="AK12" i="1"/>
  <c r="AM12" i="1"/>
  <c r="AI12" i="1"/>
  <c r="AR18" i="1"/>
  <c r="AS18" i="1"/>
  <c r="AO18" i="1"/>
  <c r="AI18" i="1"/>
  <c r="AK18" i="1"/>
  <c r="AM18" i="1"/>
  <c r="AQ18" i="1"/>
  <c r="AT18" i="1"/>
  <c r="AL18" i="1"/>
  <c r="AN18" i="1"/>
  <c r="AP18" i="1"/>
  <c r="AJ18" i="1"/>
  <c r="AB26" i="1"/>
  <c r="J11" i="11"/>
  <c r="J8" i="11"/>
  <c r="G11" i="9"/>
  <c r="K17" i="10"/>
  <c r="K11" i="10"/>
  <c r="K11" i="12"/>
  <c r="K8" i="10"/>
  <c r="K8" i="12"/>
  <c r="N8" i="8"/>
  <c r="AU20" i="1"/>
  <c r="AU12" i="1"/>
  <c r="O26" i="1"/>
  <c r="AU19" i="1"/>
  <c r="AU16" i="1"/>
  <c r="AU17" i="1"/>
  <c r="O8" i="1"/>
  <c r="AU13" i="1"/>
  <c r="AU21" i="1"/>
  <c r="AU22" i="1"/>
  <c r="AU14" i="1"/>
  <c r="AU24" i="1"/>
  <c r="AU25" i="1"/>
  <c r="AU15" i="1"/>
  <c r="AU23" i="1"/>
  <c r="AU18" i="1"/>
  <c r="J22" i="14"/>
  <c r="H11" i="9"/>
  <c r="J8" i="14"/>
  <c r="I11" i="11"/>
  <c r="I8" i="11"/>
  <c r="I11" i="9"/>
  <c r="J17" i="10"/>
  <c r="J11" i="10"/>
  <c r="J11" i="12"/>
  <c r="J8" i="10"/>
  <c r="J8" i="12"/>
  <c r="M8" i="8"/>
  <c r="N26" i="1"/>
  <c r="N8" i="1"/>
  <c r="I22" i="14"/>
  <c r="J11" i="9"/>
  <c r="I8" i="14"/>
  <c r="H11" i="11"/>
  <c r="H8" i="11"/>
  <c r="K11" i="9"/>
  <c r="I11" i="10"/>
  <c r="I17" i="10"/>
  <c r="I11" i="12"/>
  <c r="I8" i="10"/>
  <c r="I8" i="12"/>
  <c r="L8" i="8"/>
  <c r="M26" i="1"/>
  <c r="M8" i="1"/>
  <c r="H22" i="14"/>
  <c r="L11" i="9"/>
  <c r="H8" i="14"/>
  <c r="G11" i="11"/>
  <c r="G8" i="11"/>
  <c r="M11" i="9"/>
  <c r="H11" i="10"/>
  <c r="H17" i="10"/>
  <c r="H11" i="12"/>
  <c r="H8" i="10"/>
  <c r="H8" i="12"/>
  <c r="K8" i="8"/>
  <c r="L26" i="1"/>
  <c r="L8" i="1"/>
  <c r="G22" i="14"/>
  <c r="N11" i="9"/>
  <c r="G8" i="14"/>
  <c r="F11" i="11"/>
  <c r="F8" i="11"/>
  <c r="O11" i="9"/>
  <c r="G17" i="10"/>
  <c r="G11" i="10"/>
  <c r="G11" i="12"/>
  <c r="G8" i="10"/>
  <c r="G8" i="12"/>
  <c r="J8" i="8"/>
  <c r="K26" i="1"/>
  <c r="K8" i="1"/>
  <c r="F22" i="14"/>
  <c r="P11" i="9"/>
  <c r="F8" i="14"/>
  <c r="E11" i="11"/>
  <c r="E8" i="11"/>
  <c r="Q11" i="9"/>
  <c r="F17" i="10"/>
  <c r="F11" i="10"/>
  <c r="F11" i="12"/>
  <c r="F8" i="10"/>
  <c r="F8" i="12"/>
  <c r="I8" i="8"/>
  <c r="AC20" i="1"/>
  <c r="AC15" i="1"/>
  <c r="AC21" i="1"/>
  <c r="AC17" i="1"/>
  <c r="AC19" i="1"/>
  <c r="AC24" i="1"/>
  <c r="AC9" i="1"/>
  <c r="AH9" i="1"/>
  <c r="J26" i="1"/>
  <c r="AC26" i="1"/>
  <c r="AC18" i="1"/>
  <c r="AC22" i="1"/>
  <c r="AC25" i="1"/>
  <c r="AC10" i="1"/>
  <c r="AH10" i="1"/>
  <c r="AC12" i="1"/>
  <c r="AC23" i="1"/>
  <c r="AC14" i="1"/>
  <c r="AC16" i="1"/>
  <c r="AC13" i="1"/>
  <c r="J8" i="1"/>
  <c r="E22" i="14"/>
  <c r="R11" i="9"/>
  <c r="E8" i="14"/>
  <c r="AK9" i="1"/>
  <c r="AO9" i="1"/>
  <c r="AN9" i="1"/>
  <c r="AL9" i="1"/>
  <c r="AI9" i="1"/>
  <c r="AT9" i="1"/>
  <c r="AS9" i="1"/>
  <c r="AR9" i="1"/>
  <c r="AP9" i="1"/>
  <c r="AJ9" i="1"/>
  <c r="AM9" i="1"/>
  <c r="AQ9" i="1"/>
  <c r="AL10" i="1"/>
  <c r="AQ10" i="1"/>
  <c r="AM10" i="1"/>
  <c r="AT10" i="1"/>
  <c r="AN10" i="1"/>
  <c r="AO10" i="1"/>
  <c r="AS10" i="1"/>
  <c r="AP10" i="1"/>
  <c r="AJ10" i="1"/>
  <c r="AK10" i="1"/>
  <c r="AR10" i="1"/>
  <c r="AI10" i="1"/>
  <c r="AQ11" i="1"/>
  <c r="AL11" i="1"/>
  <c r="AN11" i="1"/>
  <c r="AP11" i="1"/>
  <c r="AS11" i="1"/>
  <c r="AO11" i="1"/>
  <c r="AM11" i="1"/>
  <c r="AK11" i="1"/>
  <c r="AJ11" i="1"/>
  <c r="AR11" i="1"/>
  <c r="AT11" i="1"/>
  <c r="D11" i="11"/>
  <c r="D8" i="11"/>
  <c r="S11" i="9"/>
  <c r="E17" i="10"/>
  <c r="E11" i="10"/>
  <c r="E11" i="12"/>
  <c r="E8" i="10"/>
  <c r="E8" i="12"/>
  <c r="H8" i="8"/>
  <c r="AM26" i="1"/>
  <c r="AQ26" i="1"/>
  <c r="AL26" i="1"/>
  <c r="AK26" i="1"/>
  <c r="I26" i="1"/>
  <c r="I8" i="1"/>
  <c r="AP26" i="1"/>
  <c r="AU10" i="1"/>
  <c r="AR26" i="1"/>
  <c r="AU11" i="1"/>
  <c r="AS26" i="1"/>
  <c r="AT26" i="1"/>
  <c r="AJ26" i="1"/>
  <c r="AI26" i="1"/>
  <c r="AU9" i="1"/>
  <c r="AN26" i="1"/>
  <c r="AO26" i="1"/>
  <c r="D22" i="14"/>
  <c r="T11" i="9"/>
  <c r="D8" i="14"/>
  <c r="AU26" i="1"/>
  <c r="AH26" i="1"/>
  <c r="U11" i="9"/>
  <c r="D11" i="10"/>
  <c r="D17" i="10"/>
  <c r="D8" i="10"/>
  <c r="D11" i="12"/>
  <c r="D8" i="12"/>
  <c r="G8" i="8"/>
  <c r="H26" i="1"/>
  <c r="H8" i="1"/>
  <c r="V11" i="9"/>
  <c r="W11" i="9"/>
  <c r="F8" i="8"/>
  <c r="G26" i="1"/>
  <c r="G8" i="1"/>
  <c r="X11" i="9"/>
  <c r="Y11" i="9"/>
  <c r="E8" i="8"/>
  <c r="F26" i="1"/>
  <c r="F8" i="1"/>
  <c r="Z11" i="9"/>
  <c r="AD10" i="9"/>
  <c r="AB10" i="9"/>
  <c r="AC10" i="9"/>
  <c r="AH10" i="9"/>
  <c r="AA11" i="9"/>
  <c r="AD9" i="9"/>
  <c r="AC9" i="9"/>
  <c r="AH9" i="9"/>
  <c r="AB9" i="9"/>
  <c r="D8" i="8"/>
  <c r="E26" i="1"/>
  <c r="E8" i="1"/>
  <c r="AK9" i="9"/>
  <c r="AR9" i="9"/>
  <c r="AQ9" i="9"/>
  <c r="AI9" i="9"/>
  <c r="AP9" i="9"/>
  <c r="AB11" i="9"/>
  <c r="AO9" i="9"/>
  <c r="AJ9" i="9"/>
  <c r="AN9" i="9"/>
  <c r="AM9" i="9"/>
  <c r="AT9" i="9"/>
  <c r="AL9" i="9"/>
  <c r="AS9" i="9"/>
  <c r="AJ10" i="9"/>
  <c r="AQ10" i="9"/>
  <c r="AP10" i="9"/>
  <c r="AO10" i="9"/>
  <c r="AN10" i="9"/>
  <c r="AI10" i="9"/>
  <c r="AM10" i="9"/>
  <c r="AR10" i="9"/>
  <c r="AT10" i="9"/>
  <c r="AL10" i="9"/>
  <c r="AS10" i="9"/>
  <c r="AK10" i="9"/>
  <c r="AD11" i="9"/>
  <c r="AC11" i="9"/>
  <c r="D11" i="8"/>
  <c r="AT11" i="9"/>
  <c r="AJ11" i="9"/>
  <c r="AO11" i="9"/>
  <c r="AS11" i="9"/>
  <c r="AP11" i="9"/>
  <c r="AL11" i="9"/>
  <c r="AI11" i="9"/>
  <c r="AU9" i="9"/>
  <c r="AU10" i="9"/>
  <c r="AQ11" i="9"/>
  <c r="AM11" i="9"/>
  <c r="AR11" i="9"/>
  <c r="AN11" i="9"/>
  <c r="AK11" i="9"/>
  <c r="E11" i="8"/>
  <c r="D26" i="1"/>
  <c r="AD26" i="1"/>
  <c r="AD9" i="1"/>
  <c r="AD16" i="1"/>
  <c r="AD14" i="1"/>
  <c r="AD20" i="1"/>
  <c r="AD17" i="1"/>
  <c r="AD12" i="1"/>
  <c r="AD23" i="1"/>
  <c r="AD22" i="1"/>
  <c r="AD19" i="1"/>
  <c r="AD15" i="1"/>
  <c r="AD13" i="1"/>
  <c r="AD21" i="1"/>
  <c r="AD11" i="1"/>
  <c r="AD18" i="1"/>
  <c r="AD24" i="1"/>
  <c r="AD10" i="1"/>
  <c r="AD25" i="1"/>
  <c r="D8" i="1"/>
  <c r="AU11" i="9"/>
  <c r="AH11" i="9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D9" i="8"/>
  <c r="AB9" i="8"/>
  <c r="AC9" i="8"/>
  <c r="AH9" i="8"/>
  <c r="AD10" i="8"/>
  <c r="AB10" i="8"/>
  <c r="AC10" i="8"/>
  <c r="AH10" i="8"/>
  <c r="AA11" i="8"/>
  <c r="AD11" i="8"/>
  <c r="AC11" i="8"/>
  <c r="AB11" i="8"/>
  <c r="AH11" i="8"/>
</calcChain>
</file>

<file path=xl/sharedStrings.xml><?xml version="1.0" encoding="utf-8"?>
<sst xmlns="http://schemas.openxmlformats.org/spreadsheetml/2006/main" count="209" uniqueCount="135">
  <si>
    <t>Období</t>
  </si>
  <si>
    <t>601</t>
  </si>
  <si>
    <t>Výnosy po skupinách</t>
  </si>
  <si>
    <t>Tržby za vlastní výrobky</t>
  </si>
  <si>
    <t>Tržby z prodeje služeb</t>
  </si>
  <si>
    <t>Tržby za zboží</t>
  </si>
  <si>
    <t>Tržby z prodeje dlouhodobého majetku</t>
  </si>
  <si>
    <t>641</t>
  </si>
  <si>
    <t>604</t>
  </si>
  <si>
    <t>602</t>
  </si>
  <si>
    <t>Tržby z prodeje materiálu</t>
  </si>
  <si>
    <t>Smluvní pokuty a úroky z prodlení</t>
  </si>
  <si>
    <t>Výnosy z odepsaných pohledávek</t>
  </si>
  <si>
    <t>Ostatní provozní výnosy</t>
  </si>
  <si>
    <t>642</t>
  </si>
  <si>
    <t>644</t>
  </si>
  <si>
    <t>646</t>
  </si>
  <si>
    <t>648</t>
  </si>
  <si>
    <t>Tržby z prodeje cenných papírů a podílů</t>
  </si>
  <si>
    <t>Úroky</t>
  </si>
  <si>
    <t>Kursové zisky</t>
  </si>
  <si>
    <t>Výnosy z přecenění cenných papírů</t>
  </si>
  <si>
    <t>Výnosy z dlouhodobého finančního majetku</t>
  </si>
  <si>
    <t>Výnosy z krátkodobého finančního majetku</t>
  </si>
  <si>
    <t>Výnosy z derivátových operací</t>
  </si>
  <si>
    <t>Ostatní finanční výnosy</t>
  </si>
  <si>
    <t>661</t>
  </si>
  <si>
    <t>662</t>
  </si>
  <si>
    <t>663</t>
  </si>
  <si>
    <t>664</t>
  </si>
  <si>
    <t>665</t>
  </si>
  <si>
    <t>666</t>
  </si>
  <si>
    <t>667</t>
  </si>
  <si>
    <t>668</t>
  </si>
  <si>
    <t>Převod provozních výnosů</t>
  </si>
  <si>
    <t>697</t>
  </si>
  <si>
    <t>12 měsíců</t>
  </si>
  <si>
    <t>Celkem</t>
  </si>
  <si>
    <t>Predikce</t>
  </si>
  <si>
    <t>Ručně</t>
  </si>
  <si>
    <t>Změna</t>
  </si>
  <si>
    <t>Růst</t>
  </si>
  <si>
    <t>183 dní</t>
  </si>
  <si>
    <t>365 dní</t>
  </si>
  <si>
    <t>Minimum</t>
  </si>
  <si>
    <t>Maximum</t>
  </si>
  <si>
    <t>Účet</t>
  </si>
  <si>
    <t>Historie</t>
  </si>
  <si>
    <t>-</t>
  </si>
  <si>
    <t>Tržby za vlastní výrobky a služby</t>
  </si>
  <si>
    <t>Měsíc</t>
  </si>
  <si>
    <t>Podíl</t>
  </si>
  <si>
    <t>(údaje v tis. Kč)                         Stav ke dni:</t>
  </si>
  <si>
    <t>a</t>
  </si>
  <si>
    <t>receivable</t>
  </si>
  <si>
    <t>211</t>
  </si>
  <si>
    <t>221</t>
  </si>
  <si>
    <t>Banky</t>
  </si>
  <si>
    <t>Pokladny</t>
  </si>
  <si>
    <t>Peníze celkem</t>
  </si>
  <si>
    <t>Peníze - vývoj</t>
  </si>
  <si>
    <t>Sklady vývoj</t>
  </si>
  <si>
    <t>Menu</t>
  </si>
  <si>
    <t>Menu 1</t>
  </si>
  <si>
    <t>Menu 2</t>
  </si>
  <si>
    <t>Obraty</t>
  </si>
  <si>
    <t>AbraSales</t>
  </si>
  <si>
    <t>Prodej po období</t>
  </si>
  <si>
    <t>Mzdy</t>
  </si>
  <si>
    <t>Majetek</t>
  </si>
  <si>
    <t>typ informace</t>
  </si>
  <si>
    <t>q - počet</t>
  </si>
  <si>
    <t>a - skladová cena</t>
  </si>
  <si>
    <t>typ informace:</t>
  </si>
  <si>
    <t>a - prodejní cena bez DPH</t>
  </si>
  <si>
    <t>t - celkem</t>
  </si>
  <si>
    <t>p - zaplaceno</t>
  </si>
  <si>
    <t>np - nezaplaceno</t>
  </si>
  <si>
    <t>c - dobropisováno</t>
  </si>
  <si>
    <t xml:space="preserve">Pohledávky </t>
  </si>
  <si>
    <t>Závazky</t>
  </si>
  <si>
    <t>Paramatry shodné pro Receivable i Payable:</t>
  </si>
  <si>
    <t xml:space="preserve">Typ </t>
  </si>
  <si>
    <t>t</t>
  </si>
  <si>
    <t>p</t>
  </si>
  <si>
    <t>np</t>
  </si>
  <si>
    <t>c</t>
  </si>
  <si>
    <t>ODPISY</t>
  </si>
  <si>
    <t>Druh</t>
  </si>
  <si>
    <t>a - účetní odpisy</t>
  </si>
  <si>
    <t>t - daňové odpisy</t>
  </si>
  <si>
    <t>Rozdíl</t>
  </si>
  <si>
    <t>tb - daňová vstupní cena</t>
  </si>
  <si>
    <t>ab - účetní vstupní cena</t>
  </si>
  <si>
    <t>tr - daňová zůstatková cena</t>
  </si>
  <si>
    <t>ar - účetní zůstatková cena</t>
  </si>
  <si>
    <t>tb</t>
  </si>
  <si>
    <t>ab</t>
  </si>
  <si>
    <t>tr</t>
  </si>
  <si>
    <t>ar</t>
  </si>
  <si>
    <t>Stavy majetku</t>
  </si>
  <si>
    <t>AbraDepreciation</t>
  </si>
  <si>
    <t>AbraAsset</t>
  </si>
  <si>
    <t>Účetní odpisy</t>
  </si>
  <si>
    <t>Daňové odpisy</t>
  </si>
  <si>
    <t>daňová vstupní cena</t>
  </si>
  <si>
    <t>účetní vstupní cena</t>
  </si>
  <si>
    <t>daňová zůstatková cena</t>
  </si>
  <si>
    <t>účetní zůstatková cena</t>
  </si>
  <si>
    <t>n - počet mzdových listů</t>
  </si>
  <si>
    <t>d - úvazky v hodinách</t>
  </si>
  <si>
    <t>f - fond pracovní doby</t>
  </si>
  <si>
    <t>t - odpracovaná doba</t>
  </si>
  <si>
    <t>g - hrubá mzda</t>
  </si>
  <si>
    <t>typ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</si>
  <si>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</si>
  <si>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</si>
  <si>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</si>
  <si>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</si>
  <si>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</si>
  <si>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</si>
  <si>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</si>
  <si>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</si>
  <si>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</si>
  <si>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</si>
  <si>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</si>
  <si>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</si>
  <si>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</si>
  <si>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</si>
  <si>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</si>
  <si>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</si>
  <si>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</si>
  <si>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https://4a49-abc3-4571eda3e01a1d202429da4e6api.abra.eu/cz</t>
  </si>
  <si>
    <t>JOME</t>
  </si>
  <si>
    <t>Rmck6518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</si>
</sst>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0.0%"/>
    <numFmt numFmtId="170" formatCode="#,##0.000\ _K_č"/>
    <numFmt numFmtId="171" formatCode="yyyy\/mm"/>
  </numFmts>
  <fonts count="23" x14ac:knownFonts="1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2"/>
      <name val="Arial CE"/>
      <family val="2"/>
      <charset val="238"/>
    </font>
    <font>
      <sz val="8"/>
      <name val="Arial CE"/>
      <family val="2"/>
      <charset val="238"/>
    </font>
    <font>
      <sz val="8"/>
      <name val="Arial CE"/>
      <charset val="238"/>
    </font>
    <font>
      <b/>
      <sz val="10"/>
      <color theme="1" tint="0.14999847407452621"/>
      <name val="Arial CE"/>
      <charset val="238"/>
    </font>
    <font>
      <sz val="8"/>
      <color theme="1" tint="0.14999847407452621"/>
      <name val="Arial CE"/>
      <family val="2"/>
      <charset val="238"/>
    </font>
    <font>
      <sz val="8"/>
      <color theme="1" tint="0.14999847407452621"/>
      <name val="Arial CE"/>
      <charset val="238"/>
    </font>
    <font>
      <b/>
      <sz val="11"/>
      <color theme="1" tint="0.14999847407452621"/>
      <name val="Arial CE"/>
      <charset val="238"/>
    </font>
    <font>
      <sz val="8"/>
      <color theme="1" tint="0.14999847407452621"/>
      <name val="Arial"/>
      <family val="2"/>
      <charset val="238"/>
    </font>
    <font>
      <b/>
      <sz val="8"/>
      <color theme="1" tint="0.14999847407452621"/>
      <name val="Arial CE"/>
      <charset val="238"/>
    </font>
    <font>
      <b/>
      <sz val="8"/>
      <name val="Arial"/>
      <family val="2"/>
      <charset val="238"/>
    </font>
    <font>
      <b/>
      <sz val="10"/>
      <name val="Arial"/>
      <family val="2"/>
      <charset val="238"/>
    </font>
    <font>
      <b/>
      <sz val="8"/>
      <name val="Arial CE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1"/>
      <name val="Arial CE"/>
      <charset val="238"/>
    </font>
    <font>
      <b/>
      <i/>
      <sz val="8"/>
      <name val="Arial CE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B76D2"/>
        <bgColor indexed="64"/>
      </patternFill>
    </fill>
  </fills>
  <borders count="7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medium">
        <color theme="0"/>
      </right>
      <top/>
      <bottom style="medium">
        <color theme="0"/>
      </bottom>
      <diagonal/>
    </border>
    <border>
      <left style="thin">
        <color rgb="FFEFFAFF"/>
      </left>
      <right/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indexed="9"/>
      </right>
      <top style="medium">
        <color theme="0"/>
      </top>
      <bottom style="thin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indexed="9"/>
      </right>
      <top style="thin">
        <color theme="0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145">
    <xf numFmtId="0" fontId="0" fillId="0" borderId="0" xfId="0"/>
    <xf numFmtId="166" fontId="7" fillId="3" borderId="0" xfId="0" applyNumberFormat="1" applyFont="1" applyFill="1" applyBorder="1"/>
    <xf numFmtId="166" fontId="6" fillId="3" borderId="0" xfId="0" applyNumberFormat="1" applyFont="1" applyFill="1" applyBorder="1" applyAlignment="1">
      <alignment vertical="center"/>
    </xf>
    <xf numFmtId="166" fontId="8" fillId="3" borderId="0" xfId="0" applyNumberFormat="1" applyFont="1" applyFill="1" applyBorder="1" applyAlignment="1"/>
    <xf numFmtId="166" fontId="9" fillId="3" borderId="0" xfId="0" applyNumberFormat="1" applyFont="1" applyFill="1" applyBorder="1" applyAlignment="1"/>
    <xf numFmtId="0" fontId="10" fillId="3" borderId="0" xfId="0" applyFont="1" applyFill="1" applyBorder="1" applyAlignment="1"/>
    <xf numFmtId="164" fontId="7" fillId="2" borderId="0" xfId="0" applyNumberFormat="1" applyFont="1" applyFill="1" applyBorder="1" applyAlignment="1">
      <alignment horizontal="right" vertical="center"/>
    </xf>
    <xf numFmtId="166" fontId="6" fillId="3" borderId="3" xfId="0" applyNumberFormat="1" applyFont="1" applyFill="1" applyBorder="1" applyAlignment="1">
      <alignment vertical="center"/>
    </xf>
    <xf numFmtId="166" fontId="6" fillId="3" borderId="6" xfId="0" applyNumberFormat="1" applyFont="1" applyFill="1" applyBorder="1"/>
    <xf numFmtId="166" fontId="7" fillId="3" borderId="7" xfId="0" applyNumberFormat="1" applyFont="1" applyFill="1" applyBorder="1"/>
    <xf numFmtId="166" fontId="6" fillId="3" borderId="7" xfId="0" applyNumberFormat="1" applyFont="1" applyFill="1" applyBorder="1" applyAlignment="1">
      <alignment vertical="center"/>
    </xf>
    <xf numFmtId="166" fontId="6" fillId="3" borderId="8" xfId="0" applyNumberFormat="1" applyFont="1" applyFill="1" applyBorder="1" applyAlignment="1">
      <alignment horizontal="center" vertical="center"/>
    </xf>
    <xf numFmtId="166" fontId="6" fillId="3" borderId="7" xfId="0" applyNumberFormat="1" applyFont="1" applyFill="1" applyBorder="1"/>
    <xf numFmtId="166" fontId="6" fillId="3" borderId="8" xfId="0" applyNumberFormat="1" applyFont="1" applyFill="1" applyBorder="1" applyAlignment="1">
      <alignment horizontal="center"/>
    </xf>
    <xf numFmtId="166" fontId="7" fillId="3" borderId="3" xfId="0" applyNumberFormat="1" applyFont="1" applyFill="1" applyBorder="1"/>
    <xf numFmtId="166" fontId="8" fillId="3" borderId="2" xfId="0" applyNumberFormat="1" applyFont="1" applyFill="1" applyBorder="1" applyAlignment="1"/>
    <xf numFmtId="0" fontId="10" fillId="3" borderId="2" xfId="0" applyFont="1" applyFill="1" applyBorder="1" applyAlignment="1"/>
    <xf numFmtId="3" fontId="11" fillId="3" borderId="12" xfId="0" applyNumberFormat="1" applyFont="1" applyFill="1" applyBorder="1" applyAlignment="1"/>
    <xf numFmtId="3" fontId="11" fillId="3" borderId="13" xfId="0" applyNumberFormat="1" applyFont="1" applyFill="1" applyBorder="1" applyAlignment="1"/>
    <xf numFmtId="3" fontId="11" fillId="3" borderId="14" xfId="0" applyNumberFormat="1" applyFont="1" applyFill="1" applyBorder="1" applyAlignment="1"/>
    <xf numFmtId="3" fontId="11" fillId="3" borderId="5" xfId="0" applyNumberFormat="1" applyFont="1" applyFill="1" applyBorder="1" applyAlignment="1"/>
    <xf numFmtId="164" fontId="8" fillId="3" borderId="29" xfId="0" applyNumberFormat="1" applyFont="1" applyFill="1" applyBorder="1"/>
    <xf numFmtId="164" fontId="8" fillId="3" borderId="30" xfId="0" applyNumberFormat="1" applyFont="1" applyFill="1" applyBorder="1"/>
    <xf numFmtId="164" fontId="8" fillId="3" borderId="31" xfId="0" applyNumberFormat="1" applyFont="1" applyFill="1" applyBorder="1"/>
    <xf numFmtId="166" fontId="6" fillId="3" borderId="33" xfId="0" applyNumberFormat="1" applyFont="1" applyFill="1" applyBorder="1" applyAlignment="1">
      <alignment vertical="center"/>
    </xf>
    <xf numFmtId="164" fontId="8" fillId="3" borderId="34" xfId="0" applyNumberFormat="1" applyFont="1" applyFill="1" applyBorder="1"/>
    <xf numFmtId="164" fontId="8" fillId="3" borderId="9" xfId="0" applyNumberFormat="1" applyFont="1" applyFill="1" applyBorder="1"/>
    <xf numFmtId="164" fontId="8" fillId="3" borderId="35" xfId="0" applyNumberFormat="1" applyFont="1" applyFill="1" applyBorder="1"/>
    <xf numFmtId="165" fontId="11" fillId="3" borderId="37" xfId="0" applyNumberFormat="1" applyFont="1" applyFill="1" applyBorder="1" applyAlignment="1">
      <alignment vertical="center"/>
    </xf>
    <xf numFmtId="165" fontId="11" fillId="3" borderId="38" xfId="0" applyNumberFormat="1" applyFont="1" applyFill="1" applyBorder="1" applyAlignment="1">
      <alignment vertical="center"/>
    </xf>
    <xf numFmtId="168" fontId="11" fillId="3" borderId="39" xfId="0" applyNumberFormat="1" applyFont="1" applyFill="1" applyBorder="1"/>
    <xf numFmtId="168" fontId="11" fillId="3" borderId="40" xfId="0" applyNumberFormat="1" applyFont="1" applyFill="1" applyBorder="1"/>
    <xf numFmtId="168" fontId="11" fillId="3" borderId="40" xfId="0" applyNumberFormat="1" applyFont="1" applyFill="1" applyBorder="1" applyAlignment="1">
      <alignment horizontal="right"/>
    </xf>
    <xf numFmtId="168" fontId="11" fillId="3" borderId="41" xfId="0" applyNumberFormat="1" applyFont="1" applyFill="1" applyBorder="1" applyAlignment="1">
      <alignment horizontal="right"/>
    </xf>
    <xf numFmtId="168" fontId="11" fillId="3" borderId="5" xfId="0" applyNumberFormat="1" applyFont="1" applyFill="1" applyBorder="1" applyAlignment="1">
      <alignment horizontal="right"/>
    </xf>
    <xf numFmtId="166" fontId="11" fillId="3" borderId="5" xfId="0" applyNumberFormat="1" applyFont="1" applyFill="1" applyBorder="1" applyAlignment="1">
      <alignment horizontal="right"/>
    </xf>
    <xf numFmtId="49" fontId="8" fillId="0" borderId="21" xfId="0" applyNumberFormat="1" applyFont="1" applyFill="1" applyBorder="1" applyAlignment="1"/>
    <xf numFmtId="49" fontId="8" fillId="0" borderId="22" xfId="0" applyNumberFormat="1" applyFont="1" applyFill="1" applyBorder="1" applyAlignment="1"/>
    <xf numFmtId="3" fontId="8" fillId="0" borderId="22" xfId="0" applyNumberFormat="1" applyFont="1" applyFill="1" applyBorder="1"/>
    <xf numFmtId="49" fontId="8" fillId="0" borderId="23" xfId="0" applyNumberFormat="1" applyFont="1" applyFill="1" applyBorder="1" applyAlignment="1"/>
    <xf numFmtId="49" fontId="8" fillId="0" borderId="24" xfId="0" applyNumberFormat="1" applyFont="1" applyFill="1" applyBorder="1" applyAlignment="1"/>
    <xf numFmtId="3" fontId="8" fillId="0" borderId="24" xfId="0" applyNumberFormat="1" applyFont="1" applyFill="1" applyBorder="1"/>
    <xf numFmtId="49" fontId="8" fillId="0" borderId="26" xfId="0" applyNumberFormat="1" applyFont="1" applyFill="1" applyBorder="1" applyAlignment="1"/>
    <xf numFmtId="49" fontId="8" fillId="0" borderId="27" xfId="0" applyNumberFormat="1" applyFont="1" applyFill="1" applyBorder="1" applyAlignment="1"/>
    <xf numFmtId="3" fontId="8" fillId="0" borderId="27" xfId="0" applyNumberFormat="1" applyFont="1" applyFill="1" applyBorder="1"/>
    <xf numFmtId="3" fontId="8" fillId="0" borderId="42" xfId="0" applyNumberFormat="1" applyFont="1" applyFill="1" applyBorder="1"/>
    <xf numFmtId="3" fontId="8" fillId="0" borderId="43" xfId="0" applyNumberFormat="1" applyFont="1" applyFill="1" applyBorder="1"/>
    <xf numFmtId="168" fontId="11" fillId="3" borderId="47" xfId="0" applyNumberFormat="1" applyFont="1" applyFill="1" applyBorder="1" applyAlignment="1">
      <alignment horizontal="right"/>
    </xf>
    <xf numFmtId="168" fontId="11" fillId="3" borderId="10" xfId="0" applyNumberFormat="1" applyFont="1" applyFill="1" applyBorder="1" applyAlignment="1">
      <alignment horizontal="right"/>
    </xf>
    <xf numFmtId="169" fontId="11" fillId="3" borderId="17" xfId="1" applyNumberFormat="1" applyFont="1" applyFill="1" applyBorder="1" applyAlignment="1">
      <alignment horizontal="right"/>
    </xf>
    <xf numFmtId="169" fontId="11" fillId="3" borderId="18" xfId="1" applyNumberFormat="1" applyFont="1" applyFill="1" applyBorder="1" applyAlignment="1">
      <alignment horizontal="right"/>
    </xf>
    <xf numFmtId="169" fontId="11" fillId="3" borderId="20" xfId="1" applyNumberFormat="1" applyFont="1" applyFill="1" applyBorder="1" applyAlignment="1">
      <alignment horizontal="right"/>
    </xf>
    <xf numFmtId="169" fontId="11" fillId="3" borderId="19" xfId="1" applyNumberFormat="1" applyFont="1" applyFill="1" applyBorder="1" applyAlignment="1">
      <alignment horizontal="right"/>
    </xf>
    <xf numFmtId="166" fontId="7" fillId="3" borderId="8" xfId="0" applyNumberFormat="1" applyFont="1" applyFill="1" applyBorder="1"/>
    <xf numFmtId="166" fontId="7" fillId="3" borderId="16" xfId="0" applyNumberFormat="1" applyFont="1" applyFill="1" applyBorder="1"/>
    <xf numFmtId="166" fontId="4" fillId="0" borderId="4" xfId="0" applyNumberFormat="1" applyFont="1" applyFill="1" applyBorder="1"/>
    <xf numFmtId="164" fontId="4" fillId="0" borderId="4" xfId="0" applyNumberFormat="1" applyFont="1" applyFill="1" applyBorder="1"/>
    <xf numFmtId="164" fontId="5" fillId="0" borderId="4" xfId="0" applyNumberFormat="1" applyFont="1" applyFill="1" applyBorder="1"/>
    <xf numFmtId="166" fontId="4" fillId="0" borderId="4" xfId="0" applyNumberFormat="1" applyFont="1" applyFill="1" applyBorder="1" applyAlignment="1"/>
    <xf numFmtId="0" fontId="3" fillId="0" borderId="4" xfId="0" applyFont="1" applyFill="1" applyBorder="1" applyAlignment="1">
      <alignment vertical="center"/>
    </xf>
    <xf numFmtId="165" fontId="4" fillId="0" borderId="4" xfId="0" applyNumberFormat="1" applyFont="1" applyFill="1" applyBorder="1" applyAlignment="1">
      <alignment horizontal="left"/>
    </xf>
    <xf numFmtId="4" fontId="0" fillId="0" borderId="4" xfId="0" applyNumberFormat="1" applyFill="1" applyBorder="1"/>
    <xf numFmtId="0" fontId="0" fillId="0" borderId="4" xfId="0" applyFill="1" applyBorder="1"/>
    <xf numFmtId="166" fontId="4" fillId="0" borderId="4" xfId="0" applyNumberFormat="1" applyFont="1" applyFill="1" applyBorder="1" applyAlignment="1">
      <alignment horizontal="right"/>
    </xf>
    <xf numFmtId="0" fontId="4" fillId="0" borderId="4" xfId="0" applyFont="1" applyFill="1" applyBorder="1"/>
    <xf numFmtId="164" fontId="3" fillId="0" borderId="4" xfId="0" applyNumberFormat="1" applyFont="1" applyFill="1" applyBorder="1" applyAlignment="1">
      <alignment vertical="center"/>
    </xf>
    <xf numFmtId="164" fontId="5" fillId="0" borderId="4" xfId="0" applyNumberFormat="1" applyFont="1" applyFill="1" applyBorder="1" applyAlignment="1">
      <alignment vertical="center"/>
    </xf>
    <xf numFmtId="0" fontId="3" fillId="0" borderId="4" xfId="0" applyFont="1" applyFill="1" applyBorder="1" applyAlignment="1"/>
    <xf numFmtId="0" fontId="4" fillId="0" borderId="4" xfId="0" applyFont="1" applyFill="1" applyBorder="1" applyAlignment="1"/>
    <xf numFmtId="170" fontId="4" fillId="0" borderId="4" xfId="0" applyNumberFormat="1" applyFont="1" applyFill="1" applyBorder="1"/>
    <xf numFmtId="167" fontId="4" fillId="0" borderId="4" xfId="0" applyNumberFormat="1" applyFont="1" applyFill="1" applyBorder="1"/>
    <xf numFmtId="3" fontId="11" fillId="0" borderId="44" xfId="0" applyNumberFormat="1" applyFont="1" applyFill="1" applyBorder="1"/>
    <xf numFmtId="3" fontId="11" fillId="0" borderId="45" xfId="0" applyNumberFormat="1" applyFont="1" applyFill="1" applyBorder="1"/>
    <xf numFmtId="3" fontId="11" fillId="0" borderId="46" xfId="0" applyNumberFormat="1" applyFont="1" applyFill="1" applyBorder="1"/>
    <xf numFmtId="3" fontId="11" fillId="0" borderId="25" xfId="0" applyNumberFormat="1" applyFont="1" applyFill="1" applyBorder="1"/>
    <xf numFmtId="3" fontId="11" fillId="0" borderId="28" xfId="0" applyNumberFormat="1" applyFont="1" applyFill="1" applyBorder="1"/>
    <xf numFmtId="169" fontId="8" fillId="4" borderId="1" xfId="1" applyNumberFormat="1" applyFont="1" applyFill="1" applyBorder="1" applyAlignment="1">
      <alignment horizontal="right"/>
    </xf>
    <xf numFmtId="169" fontId="8" fillId="4" borderId="4" xfId="1" applyNumberFormat="1" applyFont="1" applyFill="1" applyBorder="1" applyAlignment="1">
      <alignment horizontal="right"/>
    </xf>
    <xf numFmtId="169" fontId="8" fillId="4" borderId="52" xfId="1" applyNumberFormat="1" applyFont="1" applyFill="1" applyBorder="1" applyAlignment="1">
      <alignment horizontal="right"/>
    </xf>
    <xf numFmtId="169" fontId="8" fillId="4" borderId="53" xfId="1" applyNumberFormat="1" applyFont="1" applyFill="1" applyBorder="1" applyAlignment="1">
      <alignment horizontal="right"/>
    </xf>
    <xf numFmtId="0" fontId="0" fillId="0" borderId="4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1" xfId="0" applyBorder="1"/>
    <xf numFmtId="0" fontId="12" fillId="3" borderId="58" xfId="0" applyFont="1" applyFill="1" applyBorder="1" applyAlignment="1">
      <alignment horizontal="right"/>
    </xf>
    <xf numFmtId="0" fontId="12" fillId="3" borderId="53" xfId="0" applyFont="1" applyFill="1" applyBorder="1" applyAlignment="1">
      <alignment horizontal="right"/>
    </xf>
    <xf numFmtId="0" fontId="0" fillId="0" borderId="55" xfId="0" applyBorder="1" applyAlignment="1">
      <alignment vertical="center"/>
    </xf>
    <xf numFmtId="0" fontId="0" fillId="0" borderId="4" xfId="0" applyBorder="1" applyAlignment="1">
      <alignment vertical="center"/>
    </xf>
    <xf numFmtId="0" fontId="12" fillId="3" borderId="59" xfId="0" applyFont="1" applyFill="1" applyBorder="1"/>
    <xf numFmtId="9" fontId="12" fillId="3" borderId="60" xfId="1" applyFont="1" applyFill="1" applyBorder="1"/>
    <xf numFmtId="0" fontId="13" fillId="0" borderId="55" xfId="0" applyFont="1" applyBorder="1"/>
    <xf numFmtId="0" fontId="13" fillId="0" borderId="4" xfId="0" applyFont="1" applyBorder="1"/>
    <xf numFmtId="0" fontId="0" fillId="0" borderId="61" xfId="0" applyBorder="1"/>
    <xf numFmtId="0" fontId="2" fillId="0" borderId="62" xfId="0" applyFont="1" applyBorder="1"/>
    <xf numFmtId="9" fontId="2" fillId="0" borderId="62" xfId="1" applyFont="1" applyBorder="1"/>
    <xf numFmtId="0" fontId="2" fillId="0" borderId="63" xfId="0" applyFont="1" applyBorder="1"/>
    <xf numFmtId="9" fontId="2" fillId="0" borderId="63" xfId="1" applyFont="1" applyBorder="1"/>
    <xf numFmtId="0" fontId="2" fillId="0" borderId="64" xfId="0" applyFont="1" applyBorder="1"/>
    <xf numFmtId="9" fontId="2" fillId="0" borderId="64" xfId="1" applyFont="1" applyBorder="1"/>
    <xf numFmtId="165" fontId="4" fillId="0" borderId="56" xfId="0" applyNumberFormat="1" applyFont="1" applyFill="1" applyBorder="1" applyAlignment="1">
      <alignment horizontal="left"/>
    </xf>
    <xf numFmtId="166" fontId="4" fillId="0" borderId="56" xfId="0" applyNumberFormat="1" applyFont="1" applyFill="1" applyBorder="1"/>
    <xf numFmtId="4" fontId="0" fillId="0" borderId="56" xfId="0" applyNumberFormat="1" applyFill="1" applyBorder="1"/>
    <xf numFmtId="0" fontId="0" fillId="0" borderId="56" xfId="0" applyFill="1" applyBorder="1"/>
    <xf numFmtId="49" fontId="8" fillId="0" borderId="65" xfId="0" applyNumberFormat="1" applyFont="1" applyFill="1" applyBorder="1" applyAlignment="1"/>
    <xf numFmtId="165" fontId="11" fillId="3" borderId="0" xfId="0" applyNumberFormat="1" applyFont="1" applyFill="1" applyBorder="1" applyAlignment="1">
      <alignment horizontal="left"/>
    </xf>
    <xf numFmtId="3" fontId="11" fillId="3" borderId="0" xfId="0" applyNumberFormat="1" applyFont="1" applyFill="1" applyBorder="1" applyAlignment="1"/>
    <xf numFmtId="49" fontId="8" fillId="0" borderId="67" xfId="0" applyNumberFormat="1" applyFont="1" applyFill="1" applyBorder="1" applyAlignment="1"/>
    <xf numFmtId="49" fontId="8" fillId="0" borderId="68" xfId="0" applyNumberFormat="1" applyFont="1" applyFill="1" applyBorder="1" applyAlignment="1"/>
    <xf numFmtId="166" fontId="4" fillId="0" borderId="55" xfId="0" applyNumberFormat="1" applyFont="1" applyFill="1" applyBorder="1"/>
    <xf numFmtId="3" fontId="11" fillId="3" borderId="17" xfId="0" applyNumberFormat="1" applyFont="1" applyFill="1" applyBorder="1" applyAlignment="1"/>
    <xf numFmtId="3" fontId="8" fillId="0" borderId="66" xfId="0" applyNumberFormat="1" applyFont="1" applyFill="1" applyBorder="1"/>
    <xf numFmtId="165" fontId="14" fillId="0" borderId="4" xfId="0" applyNumberFormat="1" applyFont="1" applyFill="1" applyBorder="1" applyAlignment="1">
      <alignment horizontal="left"/>
    </xf>
    <xf numFmtId="4" fontId="5" fillId="0" borderId="4" xfId="0" applyNumberFormat="1" applyFont="1" applyFill="1" applyBorder="1"/>
    <xf numFmtId="165" fontId="15" fillId="0" borderId="4" xfId="0" applyNumberFormat="1" applyFont="1" applyFill="1" applyBorder="1" applyAlignment="1">
      <alignment horizontal="left"/>
    </xf>
    <xf numFmtId="165" fontId="16" fillId="0" borderId="4" xfId="0" applyNumberFormat="1" applyFont="1" applyFill="1" applyBorder="1" applyAlignment="1">
      <alignment horizontal="left"/>
    </xf>
    <xf numFmtId="49" fontId="8" fillId="0" borderId="69" xfId="0" applyNumberFormat="1" applyFont="1" applyFill="1" applyBorder="1" applyAlignment="1"/>
    <xf numFmtId="49" fontId="8" fillId="0" borderId="70" xfId="0" applyNumberFormat="1" applyFont="1" applyFill="1" applyBorder="1" applyAlignment="1"/>
    <xf numFmtId="165" fontId="17" fillId="0" borderId="4" xfId="0" applyNumberFormat="1" applyFont="1" applyFill="1" applyBorder="1" applyAlignment="1">
      <alignment horizontal="left"/>
    </xf>
    <xf numFmtId="49" fontId="8" fillId="0" borderId="71" xfId="0" applyNumberFormat="1" applyFont="1" applyFill="1" applyBorder="1" applyAlignment="1"/>
    <xf numFmtId="165" fontId="18" fillId="0" borderId="4" xfId="0" applyNumberFormat="1" applyFont="1" applyFill="1" applyBorder="1" applyAlignment="1">
      <alignment horizontal="left"/>
    </xf>
    <xf numFmtId="49" fontId="11" fillId="0" borderId="22" xfId="0" applyNumberFormat="1" applyFont="1" applyFill="1" applyBorder="1" applyAlignment="1">
      <alignment horizontal="center"/>
    </xf>
    <xf numFmtId="49" fontId="11" fillId="0" borderId="70" xfId="0" applyNumberFormat="1" applyFont="1" applyFill="1" applyBorder="1" applyAlignment="1">
      <alignment horizontal="center"/>
    </xf>
    <xf numFmtId="49" fontId="11" fillId="0" borderId="24" xfId="0" applyNumberFormat="1" applyFont="1" applyFill="1" applyBorder="1" applyAlignment="1">
      <alignment horizontal="center"/>
    </xf>
    <xf numFmtId="171" fontId="11" fillId="3" borderId="39" xfId="0" applyNumberFormat="1" applyFont="1" applyFill="1" applyBorder="1"/>
    <xf numFmtId="0" fontId="21" fillId="0" borderId="72" xfId="0" applyFont="1" applyBorder="1"/>
    <xf numFmtId="0" fontId="20" fillId="0" borderId="72" xfId="0" applyFont="1" applyBorder="1"/>
    <xf numFmtId="166" fontId="8" fillId="3" borderId="2" xfId="0" applyNumberFormat="1" applyFont="1" applyFill="1" applyBorder="1" applyAlignment="1">
      <alignment horizontal="right" vertical="center"/>
    </xf>
    <xf numFmtId="0" fontId="22" fillId="0" borderId="72" xfId="2" applyBorder="1"/>
    <xf numFmtId="0" fontId="19" fillId="5" borderId="72" xfId="0" applyFont="1" applyFill="1" applyBorder="1" applyAlignment="1">
      <alignment horizontal="center"/>
    </xf>
    <xf numFmtId="0" fontId="20" fillId="5" borderId="72" xfId="0" applyFont="1" applyFill="1" applyBorder="1" applyAlignment="1">
      <alignment horizontal="center"/>
    </xf>
    <xf numFmtId="164" fontId="7" fillId="3" borderId="32" xfId="0" applyNumberFormat="1" applyFont="1" applyFill="1" applyBorder="1" applyAlignment="1">
      <alignment horizontal="center"/>
    </xf>
    <xf numFmtId="164" fontId="7" fillId="3" borderId="36" xfId="0" applyNumberFormat="1" applyFont="1" applyFill="1" applyBorder="1" applyAlignment="1">
      <alignment horizontal="center"/>
    </xf>
    <xf numFmtId="165" fontId="11" fillId="3" borderId="10" xfId="0" applyNumberFormat="1" applyFont="1" applyFill="1" applyBorder="1" applyAlignment="1">
      <alignment horizontal="left"/>
    </xf>
    <xf numFmtId="165" fontId="11" fillId="3" borderId="11" xfId="0" applyNumberFormat="1" applyFont="1" applyFill="1" applyBorder="1" applyAlignment="1">
      <alignment horizontal="left"/>
    </xf>
    <xf numFmtId="164" fontId="8" fillId="3" borderId="48" xfId="0" applyNumberFormat="1" applyFont="1" applyFill="1" applyBorder="1" applyAlignment="1">
      <alignment horizontal="center"/>
    </xf>
    <xf numFmtId="164" fontId="8" fillId="3" borderId="49" xfId="0" applyNumberFormat="1" applyFont="1" applyFill="1" applyBorder="1" applyAlignment="1">
      <alignment horizontal="center"/>
    </xf>
    <xf numFmtId="166" fontId="6" fillId="3" borderId="50" xfId="0" applyNumberFormat="1" applyFont="1" applyFill="1" applyBorder="1" applyAlignment="1">
      <alignment horizontal="center" vertical="center"/>
    </xf>
    <xf numFmtId="166" fontId="6" fillId="3" borderId="51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center"/>
    </xf>
    <xf numFmtId="0" fontId="11" fillId="3" borderId="8" xfId="0" applyNumberFormat="1" applyFont="1" applyFill="1" applyBorder="1" applyAlignment="1">
      <alignment horizontal="center"/>
    </xf>
    <xf numFmtId="0" fontId="11" fillId="3" borderId="15" xfId="0" applyNumberFormat="1" applyFont="1" applyFill="1" applyBorder="1" applyAlignment="1">
      <alignment horizontal="center"/>
    </xf>
    <xf numFmtId="0" fontId="11" fillId="3" borderId="16" xfId="0" applyNumberFormat="1" applyFont="1" applyFill="1" applyBorder="1" applyAlignment="1">
      <alignment horizontal="center"/>
    </xf>
    <xf numFmtId="0" fontId="12" fillId="3" borderId="57" xfId="0" applyFont="1" applyFill="1" applyBorder="1" applyAlignment="1">
      <alignment horizontal="center" vertical="center"/>
    </xf>
    <xf numFmtId="0" fontId="12" fillId="3" borderId="52" xfId="0" applyFont="1" applyFill="1" applyBorder="1" applyAlignment="1">
      <alignment horizontal="center" vertical="center"/>
    </xf>
  </cellXfs>
  <cellStyles count="3">
    <cellStyle name="Hypertextový odkaz" xfId="2" builtinId="8"/>
    <cellStyle name="Normální" xfId="0" builtinId="0"/>
    <cellStyle name="Procenta" xfId="1" builtinId="5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9" defaultPivotStyle="PivotStyleLight16"/>
  <colors>
    <mruColors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cked"/>
        <c:varyColors val="0"/>
        <c:ser>
          <c:idx val="0"/>
          <c:order val="0"/>
          <c:tx>
            <c:strRef>
              <c:f>'Účty s vývojem'!$B$9:$C$9</c:f>
              <c:strCache>
                <c:ptCount val="2"/>
                <c:pt idx="0">
                  <c:v>Pokladny</c:v>
                </c:pt>
                <c:pt idx="1">
                  <c:v>211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41821</c:v>
                </c:pt>
                <c:pt idx="1">
                  <c:v>41852</c:v>
                </c:pt>
                <c:pt idx="2">
                  <c:v>41883</c:v>
                </c:pt>
                <c:pt idx="3">
                  <c:v>41913</c:v>
                </c:pt>
                <c:pt idx="4">
                  <c:v>41944</c:v>
                </c:pt>
                <c:pt idx="5">
                  <c:v>41974</c:v>
                </c:pt>
                <c:pt idx="6">
                  <c:v>42005</c:v>
                </c:pt>
                <c:pt idx="7">
                  <c:v>42036</c:v>
                </c:pt>
                <c:pt idx="8">
                  <c:v>42064</c:v>
                </c:pt>
                <c:pt idx="9">
                  <c:v>42095</c:v>
                </c:pt>
                <c:pt idx="10">
                  <c:v>42125</c:v>
                </c:pt>
                <c:pt idx="11">
                  <c:v>42156</c:v>
                </c:pt>
                <c:pt idx="12">
                  <c:v>42186</c:v>
                </c:pt>
                <c:pt idx="13">
                  <c:v>42217</c:v>
                </c:pt>
                <c:pt idx="14">
                  <c:v>42248</c:v>
                </c:pt>
                <c:pt idx="15">
                  <c:v>42278</c:v>
                </c:pt>
                <c:pt idx="16">
                  <c:v>42309</c:v>
                </c:pt>
                <c:pt idx="17">
                  <c:v>42339</c:v>
                </c:pt>
                <c:pt idx="18">
                  <c:v>42370</c:v>
                </c:pt>
                <c:pt idx="19">
                  <c:v>42401</c:v>
                </c:pt>
                <c:pt idx="20">
                  <c:v>42430</c:v>
                </c:pt>
                <c:pt idx="21">
                  <c:v>42461</c:v>
                </c:pt>
                <c:pt idx="22">
                  <c:v>42491</c:v>
                </c:pt>
                <c:pt idx="23">
                  <c:v>42522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204.6020599999641</c:v>
                </c:pt>
                <c:pt idx="1">
                  <c:v>264.170059999964</c:v>
                </c:pt>
                <c:pt idx="2">
                  <c:v>248.18405999996406</c:v>
                </c:pt>
                <c:pt idx="3">
                  <c:v>227.57134999996401</c:v>
                </c:pt>
                <c:pt idx="4">
                  <c:v>384.77507999998602</c:v>
                </c:pt>
                <c:pt idx="5">
                  <c:v>438.41707999998596</c:v>
                </c:pt>
                <c:pt idx="6">
                  <c:v>202.086189999986</c:v>
                </c:pt>
                <c:pt idx="7">
                  <c:v>225.52718999998601</c:v>
                </c:pt>
                <c:pt idx="8">
                  <c:v>342.00292999998601</c:v>
                </c:pt>
                <c:pt idx="9">
                  <c:v>451.89592999998604</c:v>
                </c:pt>
                <c:pt idx="10">
                  <c:v>517.25692999998603</c:v>
                </c:pt>
                <c:pt idx="11">
                  <c:v>229.09844999998603</c:v>
                </c:pt>
                <c:pt idx="12">
                  <c:v>284.692450000024</c:v>
                </c:pt>
                <c:pt idx="13">
                  <c:v>413.228450000024</c:v>
                </c:pt>
                <c:pt idx="14">
                  <c:v>470.08059000002402</c:v>
                </c:pt>
                <c:pt idx="15">
                  <c:v>549.74230000002399</c:v>
                </c:pt>
                <c:pt idx="16">
                  <c:v>411.502990000024</c:v>
                </c:pt>
                <c:pt idx="17">
                  <c:v>389.92928000002399</c:v>
                </c:pt>
                <c:pt idx="18">
                  <c:v>433.138280000002</c:v>
                </c:pt>
                <c:pt idx="19">
                  <c:v>617.79678000000195</c:v>
                </c:pt>
                <c:pt idx="20">
                  <c:v>501.82972999999708</c:v>
                </c:pt>
                <c:pt idx="21">
                  <c:v>517.82811999999706</c:v>
                </c:pt>
                <c:pt idx="22">
                  <c:v>463.91441999995499</c:v>
                </c:pt>
                <c:pt idx="23">
                  <c:v>412.593319999995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vývojem'!$B$10:$C$10</c:f>
              <c:strCache>
                <c:ptCount val="2"/>
                <c:pt idx="0">
                  <c:v>Banky</c:v>
                </c:pt>
                <c:pt idx="1">
                  <c:v>221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41821</c:v>
                </c:pt>
                <c:pt idx="1">
                  <c:v>41852</c:v>
                </c:pt>
                <c:pt idx="2">
                  <c:v>41883</c:v>
                </c:pt>
                <c:pt idx="3">
                  <c:v>41913</c:v>
                </c:pt>
                <c:pt idx="4">
                  <c:v>41944</c:v>
                </c:pt>
                <c:pt idx="5">
                  <c:v>41974</c:v>
                </c:pt>
                <c:pt idx="6">
                  <c:v>42005</c:v>
                </c:pt>
                <c:pt idx="7">
                  <c:v>42036</c:v>
                </c:pt>
                <c:pt idx="8">
                  <c:v>42064</c:v>
                </c:pt>
                <c:pt idx="9">
                  <c:v>42095</c:v>
                </c:pt>
                <c:pt idx="10">
                  <c:v>42125</c:v>
                </c:pt>
                <c:pt idx="11">
                  <c:v>42156</c:v>
                </c:pt>
                <c:pt idx="12">
                  <c:v>42186</c:v>
                </c:pt>
                <c:pt idx="13">
                  <c:v>42217</c:v>
                </c:pt>
                <c:pt idx="14">
                  <c:v>42248</c:v>
                </c:pt>
                <c:pt idx="15">
                  <c:v>42278</c:v>
                </c:pt>
                <c:pt idx="16">
                  <c:v>42309</c:v>
                </c:pt>
                <c:pt idx="17">
                  <c:v>42339</c:v>
                </c:pt>
                <c:pt idx="18">
                  <c:v>42370</c:v>
                </c:pt>
                <c:pt idx="19">
                  <c:v>42401</c:v>
                </c:pt>
                <c:pt idx="20">
                  <c:v>42430</c:v>
                </c:pt>
                <c:pt idx="21">
                  <c:v>42461</c:v>
                </c:pt>
                <c:pt idx="22">
                  <c:v>42491</c:v>
                </c:pt>
                <c:pt idx="23">
                  <c:v>42522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-144721.292680001</c:v>
                </c:pt>
                <c:pt idx="1">
                  <c:v>-147552.88067000199</c:v>
                </c:pt>
                <c:pt idx="2">
                  <c:v>-179745.01443000202</c:v>
                </c:pt>
                <c:pt idx="3">
                  <c:v>-167529.72629000101</c:v>
                </c:pt>
                <c:pt idx="4">
                  <c:v>-174126.34356000298</c:v>
                </c:pt>
                <c:pt idx="5">
                  <c:v>-170779.07611000098</c:v>
                </c:pt>
                <c:pt idx="6">
                  <c:v>-150361.32405000099</c:v>
                </c:pt>
                <c:pt idx="7">
                  <c:v>-155787.653310002</c:v>
                </c:pt>
                <c:pt idx="8">
                  <c:v>-160804.97200000199</c:v>
                </c:pt>
                <c:pt idx="9">
                  <c:v>-165578.26024000102</c:v>
                </c:pt>
                <c:pt idx="10">
                  <c:v>-172145.05085000099</c:v>
                </c:pt>
                <c:pt idx="11">
                  <c:v>-180411.60660000198</c:v>
                </c:pt>
                <c:pt idx="12">
                  <c:v>-186033.88080000103</c:v>
                </c:pt>
                <c:pt idx="13">
                  <c:v>-192814.58522000202</c:v>
                </c:pt>
                <c:pt idx="14">
                  <c:v>-198597.15307000099</c:v>
                </c:pt>
                <c:pt idx="15">
                  <c:v>-201832.79284000199</c:v>
                </c:pt>
                <c:pt idx="16">
                  <c:v>-202778.82153000301</c:v>
                </c:pt>
                <c:pt idx="17">
                  <c:v>-198288.12908000199</c:v>
                </c:pt>
                <c:pt idx="18">
                  <c:v>-188522.36920000202</c:v>
                </c:pt>
                <c:pt idx="19">
                  <c:v>-196120.12011000203</c:v>
                </c:pt>
                <c:pt idx="20">
                  <c:v>-203721.60157000201</c:v>
                </c:pt>
                <c:pt idx="21">
                  <c:v>-210183.25631000198</c:v>
                </c:pt>
                <c:pt idx="22">
                  <c:v>-211415.74833000201</c:v>
                </c:pt>
                <c:pt idx="23">
                  <c:v>-217327.40851000202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150280"/>
        <c:axId val="2110153768"/>
        <c:axId val="0"/>
      </c:area3D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('Penize stav'!$B$9,'Penize stav'!$B$10)</c:f>
              <c:strCache>
                <c:ptCount val="2"/>
                <c:pt idx="0">
                  <c:v>Pokladny</c:v>
                </c:pt>
                <c:pt idx="1">
                  <c:v>Banky</c:v>
                </c:pt>
              </c:strCache>
            </c:strRef>
          </c:cat>
          <c:val>
            <c:numRef>
              <c:f>('Penize stav'!$AB$9,'Penize stav'!$AB$10)</c:f>
              <c:numCache>
                <c:formatCode>#,##0</c:formatCode>
                <c:ptCount val="2"/>
                <c:pt idx="0">
                  <c:v>5466.276710000092</c:v>
                </c:pt>
                <c:pt idx="1">
                  <c:v>-2407635.8665700229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8-4FD5-B265-CE619605C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0415432"/>
        <c:axId val="2110245784"/>
      </c:barChart>
      <c:catAx>
        <c:axId val="2110415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245784"/>
        <c:crosses val="autoZero"/>
        <c:auto val="1"/>
        <c:lblAlgn val="ctr"/>
        <c:lblOffset val="100"/>
        <c:noMultiLvlLbl val="0"/>
      </c:catAx>
      <c:valAx>
        <c:axId val="211024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41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438149</xdr:colOff>
      <xdr:row>12</xdr:row>
      <xdr:rowOff>0</xdr:rowOff>
    </xdr:from>
    <xdr:to>
      <xdr:col>20</xdr:col>
      <xdr:colOff>409575</xdr:colOff>
      <xdr:row>42</xdr:row>
      <xdr:rowOff>9524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219488</xdr:colOff>
      <xdr:row>5</xdr:row>
      <xdr:rowOff>91109</xdr:rowOff>
    </xdr:from>
    <xdr:to>
      <xdr:col>41</xdr:col>
      <xdr:colOff>501097</xdr:colOff>
      <xdr:row>22</xdr:row>
      <xdr:rowOff>13252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4a49-abc3-4571eda3e01a1d202429da4e6api.abra.eu/cz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C7"/>
  <sheetViews>
    <sheetView showGridLines="0" workbookViewId="0">
      <selection activeCell="C5" sqref="C5"/>
    </sheetView>
  </sheetViews>
  <sheetFormatPr defaultRowHeight="12.75" x14ac:dyDescent="0.2"/>
  <cols>
    <col min="2" max="2" width="29.7109375" customWidth="1"/>
    <col min="3" max="3" width="59.7109375" customWidth="1"/>
  </cols>
  <sheetData>
    <row r="2" spans="2:3" x14ac:dyDescent="0.2">
      <c r="B2" s="129" t="s">
        <v>126</v>
      </c>
      <c r="C2" s="130"/>
    </row>
    <row r="3" spans="2:3" x14ac:dyDescent="0.2">
      <c r="B3" s="125" t="s">
        <v>127</v>
      </c>
      <c r="C3" s="128" t="s">
        <v>132</v>
      </c>
    </row>
    <row r="4" spans="2:3" x14ac:dyDescent="0.2">
      <c r="B4" s="125" t="s">
        <v>128</v>
      </c>
      <c r="C4" s="125" t="s">
        <v>133</v>
      </c>
    </row>
    <row r="5" spans="2:3" x14ac:dyDescent="0.2">
      <c r="B5" s="125" t="s">
        <v>129</v>
      </c>
      <c r="C5" s="126" t="s">
        <v>134</v>
      </c>
    </row>
    <row r="6" spans="2:3" x14ac:dyDescent="0.2">
      <c r="B6" s="125" t="s">
        <v>130</v>
      </c>
      <c r="C6" s="125">
        <v>240</v>
      </c>
    </row>
    <row r="7" spans="2:3" x14ac:dyDescent="0.2">
      <c r="B7" s="125" t="s">
        <v>131</v>
      </c>
      <c r="C7" s="125">
        <v>5</v>
      </c>
    </row>
  </sheetData>
  <mergeCells count="1">
    <mergeCell ref="B2:C2"/>
  </mergeCells>
  <hyperlinks>
    <hyperlink ref="C3" r:id="rId1" xr:uid="{F5085423-9FF4-46CD-B4C6-77B26901DE5F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HC37"/>
  <sheetViews>
    <sheetView zoomScale="85" zoomScaleNormal="85" zoomScalePageLayoutView="130" workbookViewId="0">
      <selection activeCell="AI11" sqref="AI11"/>
    </sheetView>
  </sheetViews>
  <sheetFormatPr defaultColWidth="9.140625" defaultRowHeight="15" customHeight="1" outlineLevelCol="1" x14ac:dyDescent="0.2"/>
  <cols>
    <col min="1" max="1" width="1.7109375" style="59" customWidth="1"/>
    <col min="2" max="2" width="30.28515625" style="60" bestFit="1" customWidth="1"/>
    <col min="3" max="3" width="9.28515625" style="60" customWidth="1"/>
    <col min="4" max="4" width="9.28515625" style="55" customWidth="1" outlineLevel="1"/>
    <col min="5" max="5" width="10.140625" style="55" customWidth="1" outlineLevel="1"/>
    <col min="6" max="9" width="9.28515625" style="55" customWidth="1" outlineLevel="1"/>
    <col min="10" max="10" width="10.42578125" style="55" customWidth="1" outlineLevel="1"/>
    <col min="11" max="11" width="9.28515625" style="55" customWidth="1" outlineLevel="1"/>
    <col min="12" max="12" width="10.28515625" style="55" customWidth="1" outlineLevel="1"/>
    <col min="13" max="14" width="9.28515625" style="55" customWidth="1" outlineLevel="1"/>
    <col min="15" max="15" width="10.42578125" style="55" customWidth="1" outlineLevel="1"/>
    <col min="16" max="16" width="9.28515625" style="55" customWidth="1" outlineLevel="1"/>
    <col min="17" max="17" width="10.140625" style="55" customWidth="1" outlineLevel="1"/>
    <col min="18" max="18" width="9.28515625" style="55" customWidth="1" outlineLevel="1"/>
    <col min="19" max="19" width="10.42578125" style="55" customWidth="1" outlineLevel="1"/>
    <col min="20" max="20" width="9.28515625" style="55" customWidth="1" outlineLevel="1"/>
    <col min="21" max="21" width="9.28515625" style="61" customWidth="1" outlineLevel="1"/>
    <col min="22" max="22" width="11" style="62" customWidth="1" outlineLevel="1"/>
    <col min="23" max="23" width="9.28515625" style="62" customWidth="1" outlineLevel="1"/>
    <col min="24" max="24" width="10.28515625" style="62" customWidth="1" outlineLevel="1"/>
    <col min="25" max="26" width="9.28515625" style="62" customWidth="1" outlineLevel="1"/>
    <col min="27" max="27" width="10.5703125" style="55" customWidth="1" outlineLevel="1"/>
    <col min="28" max="28" width="9.28515625" style="55" customWidth="1"/>
    <col min="29" max="33" width="9.28515625" style="63" customWidth="1" outlineLevel="1"/>
    <col min="34" max="34" width="9.28515625" style="63" customWidth="1"/>
    <col min="35" max="35" width="9.28515625" style="55" customWidth="1" outlineLevel="1"/>
    <col min="36" max="36" width="10.140625" style="55" customWidth="1" outlineLevel="1"/>
    <col min="37" max="40" width="9.28515625" style="55" customWidth="1" outlineLevel="1"/>
    <col min="41" max="41" width="10.140625" style="55" customWidth="1" outlineLevel="1"/>
    <col min="42" max="42" width="9.28515625" style="55" customWidth="1" outlineLevel="1"/>
    <col min="43" max="43" width="10.28515625" style="55" customWidth="1" outlineLevel="1"/>
    <col min="44" max="45" width="9.28515625" style="55" customWidth="1" outlineLevel="1"/>
    <col min="46" max="46" width="11" style="55" customWidth="1" outlineLevel="1"/>
    <col min="47" max="47" width="9.28515625" style="55" customWidth="1"/>
    <col min="48" max="211" width="9.140625" style="55"/>
    <col min="212" max="16384" width="9.140625" style="64"/>
  </cols>
  <sheetData>
    <row r="1" spans="1:50" ht="10.35" customHeight="1" thickBot="1" x14ac:dyDescent="0.25"/>
    <row r="2" spans="1:50" ht="15" customHeight="1" x14ac:dyDescent="0.2">
      <c r="B2" s="8" t="s">
        <v>47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3"/>
      <c r="AC2" s="9"/>
      <c r="AD2" s="10"/>
      <c r="AE2" s="10"/>
      <c r="AF2" s="10"/>
      <c r="AG2" s="10"/>
      <c r="AH2" s="11" t="s">
        <v>40</v>
      </c>
      <c r="AI2" s="12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13" t="s">
        <v>38</v>
      </c>
    </row>
    <row r="3" spans="1:50" ht="15" customHeight="1" x14ac:dyDescent="0.25">
      <c r="B3" s="127" t="s">
        <v>52</v>
      </c>
      <c r="C3" s="6">
        <v>42735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4"/>
      <c r="AC3" s="1"/>
      <c r="AD3" s="2"/>
      <c r="AE3" s="2"/>
      <c r="AF3" s="2"/>
      <c r="AG3" s="2"/>
      <c r="AH3" s="7"/>
      <c r="AI3" s="4"/>
      <c r="AJ3" s="3"/>
      <c r="AK3" s="1"/>
      <c r="AL3" s="1"/>
      <c r="AM3" s="1"/>
      <c r="AN3" s="1"/>
      <c r="AO3" s="1"/>
      <c r="AP3" s="1"/>
      <c r="AQ3" s="1"/>
      <c r="AR3" s="1"/>
      <c r="AS3" s="1"/>
      <c r="AT3" s="1"/>
      <c r="AU3" s="14"/>
    </row>
    <row r="4" spans="1:50" ht="15" customHeight="1" x14ac:dyDescent="0.2">
      <c r="B4" s="15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4"/>
      <c r="AC4" s="1"/>
      <c r="AD4" s="2"/>
      <c r="AE4" s="2"/>
      <c r="AF4" s="2"/>
      <c r="AG4" s="2"/>
      <c r="AH4" s="7"/>
      <c r="AI4" s="3"/>
      <c r="AJ4" s="3"/>
      <c r="AK4" s="1"/>
      <c r="AL4" s="1"/>
      <c r="AM4" s="1"/>
      <c r="AN4" s="1"/>
      <c r="AO4" s="1"/>
      <c r="AP4" s="1"/>
      <c r="AQ4" s="1"/>
      <c r="AR4" s="1"/>
      <c r="AS4" s="1"/>
      <c r="AT4" s="1"/>
      <c r="AU4" s="14"/>
    </row>
    <row r="5" spans="1:50" ht="15" customHeight="1" thickBot="1" x14ac:dyDescent="0.25">
      <c r="B5" s="16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4"/>
      <c r="AC5" s="1"/>
      <c r="AD5" s="2"/>
      <c r="AE5" s="2"/>
      <c r="AF5" s="2"/>
      <c r="AG5" s="2"/>
      <c r="AH5" s="7"/>
      <c r="AI5" s="5"/>
      <c r="AJ5" s="5"/>
      <c r="AK5" s="1"/>
      <c r="AL5" s="1"/>
      <c r="AM5" s="1"/>
      <c r="AN5" s="1"/>
      <c r="AO5" s="1"/>
      <c r="AP5" s="1"/>
      <c r="AQ5" s="1"/>
      <c r="AR5" s="1"/>
      <c r="AS5" s="1"/>
      <c r="AT5" s="1"/>
      <c r="AU5" s="14"/>
    </row>
    <row r="6" spans="1:50" s="56" customFormat="1" ht="15" customHeight="1" x14ac:dyDescent="0.2">
      <c r="A6" s="65"/>
      <c r="B6" s="139"/>
      <c r="C6" s="140"/>
      <c r="D6" s="21">
        <f t="shared" ref="D6:AA6" ca="1" si="0">D7-IF(MONTH(D7)=2,IF(OR(YEAR(D7)=2008,YEAR(D7)=2012,YEAR(D7)=2016),29,28),IF(OR(MONTH(D7)=4,MONTH(D7)=6,MONTH(D7)=9,MONTH(D7)=11),30,31))+1</f>
        <v>42005</v>
      </c>
      <c r="E6" s="22">
        <f t="shared" ca="1" si="0"/>
        <v>42036</v>
      </c>
      <c r="F6" s="22">
        <f t="shared" ca="1" si="0"/>
        <v>42064</v>
      </c>
      <c r="G6" s="22">
        <f t="shared" ca="1" si="0"/>
        <v>42095</v>
      </c>
      <c r="H6" s="22">
        <f t="shared" ca="1" si="0"/>
        <v>42125</v>
      </c>
      <c r="I6" s="22">
        <f t="shared" ca="1" si="0"/>
        <v>42156</v>
      </c>
      <c r="J6" s="22">
        <f t="shared" ca="1" si="0"/>
        <v>42186</v>
      </c>
      <c r="K6" s="22">
        <f t="shared" ca="1" si="0"/>
        <v>42217</v>
      </c>
      <c r="L6" s="22">
        <f t="shared" ca="1" si="0"/>
        <v>42248</v>
      </c>
      <c r="M6" s="22">
        <f t="shared" ca="1" si="0"/>
        <v>42278</v>
      </c>
      <c r="N6" s="22">
        <f t="shared" ca="1" si="0"/>
        <v>42309</v>
      </c>
      <c r="O6" s="22">
        <f t="shared" ca="1" si="0"/>
        <v>42339</v>
      </c>
      <c r="P6" s="22">
        <f t="shared" ca="1" si="0"/>
        <v>42370</v>
      </c>
      <c r="Q6" s="22">
        <f t="shared" ca="1" si="0"/>
        <v>42401</v>
      </c>
      <c r="R6" s="22">
        <f t="shared" ca="1" si="0"/>
        <v>42430</v>
      </c>
      <c r="S6" s="22">
        <f t="shared" ca="1" si="0"/>
        <v>42461</v>
      </c>
      <c r="T6" s="22">
        <f t="shared" ca="1" si="0"/>
        <v>42491</v>
      </c>
      <c r="U6" s="22">
        <f t="shared" ca="1" si="0"/>
        <v>42522</v>
      </c>
      <c r="V6" s="22">
        <f t="shared" ca="1" si="0"/>
        <v>42552</v>
      </c>
      <c r="W6" s="22">
        <f t="shared" ca="1" si="0"/>
        <v>42583</v>
      </c>
      <c r="X6" s="22">
        <f t="shared" ca="1" si="0"/>
        <v>42614</v>
      </c>
      <c r="Y6" s="22">
        <f t="shared" ca="1" si="0"/>
        <v>42644</v>
      </c>
      <c r="Z6" s="22">
        <f t="shared" ca="1" si="0"/>
        <v>42675</v>
      </c>
      <c r="AA6" s="22">
        <f t="shared" ca="1" si="0"/>
        <v>42705</v>
      </c>
      <c r="AB6" s="135"/>
      <c r="AC6" s="10"/>
      <c r="AD6" s="10"/>
      <c r="AE6" s="10"/>
      <c r="AF6" s="10"/>
      <c r="AG6" s="10"/>
      <c r="AH6" s="137"/>
      <c r="AI6" s="21">
        <f ca="1">AA7+1</f>
        <v>42736</v>
      </c>
      <c r="AJ6" s="22">
        <f ca="1">AI7+1</f>
        <v>42767</v>
      </c>
      <c r="AK6" s="22">
        <f ca="1">AJ7+1</f>
        <v>42795</v>
      </c>
      <c r="AL6" s="22">
        <f ca="1">AK7+1</f>
        <v>42826</v>
      </c>
      <c r="AM6" s="22">
        <f ca="1">AL7+1</f>
        <v>42856</v>
      </c>
      <c r="AN6" s="22">
        <f t="shared" ref="AN6:AT6" ca="1" si="1">AM7+1</f>
        <v>42887</v>
      </c>
      <c r="AO6" s="22">
        <f t="shared" ca="1" si="1"/>
        <v>42917</v>
      </c>
      <c r="AP6" s="22">
        <f t="shared" ca="1" si="1"/>
        <v>42948</v>
      </c>
      <c r="AQ6" s="22">
        <f t="shared" ca="1" si="1"/>
        <v>42979</v>
      </c>
      <c r="AR6" s="22">
        <f t="shared" ca="1" si="1"/>
        <v>43009</v>
      </c>
      <c r="AS6" s="22">
        <f t="shared" ca="1" si="1"/>
        <v>43040</v>
      </c>
      <c r="AT6" s="23">
        <f t="shared" ca="1" si="1"/>
        <v>43070</v>
      </c>
      <c r="AU6" s="131"/>
    </row>
    <row r="7" spans="1:50" s="56" customFormat="1" ht="15" customHeight="1" thickBot="1" x14ac:dyDescent="0.25">
      <c r="A7" s="65"/>
      <c r="B7" s="141"/>
      <c r="C7" s="142"/>
      <c r="D7" s="25">
        <f t="shared" ref="D7:Z7" ca="1" si="2">E6-1</f>
        <v>42035</v>
      </c>
      <c r="E7" s="26">
        <f t="shared" ca="1" si="2"/>
        <v>42063</v>
      </c>
      <c r="F7" s="26">
        <f t="shared" ca="1" si="2"/>
        <v>42094</v>
      </c>
      <c r="G7" s="26">
        <f t="shared" ca="1" si="2"/>
        <v>42124</v>
      </c>
      <c r="H7" s="26">
        <f t="shared" ca="1" si="2"/>
        <v>42155</v>
      </c>
      <c r="I7" s="26">
        <f t="shared" ca="1" si="2"/>
        <v>42185</v>
      </c>
      <c r="J7" s="26">
        <f t="shared" ca="1" si="2"/>
        <v>42216</v>
      </c>
      <c r="K7" s="26">
        <f t="shared" ca="1" si="2"/>
        <v>42247</v>
      </c>
      <c r="L7" s="26">
        <f t="shared" ca="1" si="2"/>
        <v>42277</v>
      </c>
      <c r="M7" s="26">
        <f t="shared" ca="1" si="2"/>
        <v>42308</v>
      </c>
      <c r="N7" s="26">
        <f t="shared" ca="1" si="2"/>
        <v>42338</v>
      </c>
      <c r="O7" s="26">
        <f t="shared" ca="1" si="2"/>
        <v>42369</v>
      </c>
      <c r="P7" s="26">
        <f t="shared" ca="1" si="2"/>
        <v>42400</v>
      </c>
      <c r="Q7" s="26">
        <f t="shared" ca="1" si="2"/>
        <v>42429</v>
      </c>
      <c r="R7" s="26">
        <f t="shared" ca="1" si="2"/>
        <v>42460</v>
      </c>
      <c r="S7" s="26">
        <f t="shared" ca="1" si="2"/>
        <v>42490</v>
      </c>
      <c r="T7" s="26">
        <f t="shared" ca="1" si="2"/>
        <v>42521</v>
      </c>
      <c r="U7" s="26">
        <f t="shared" ca="1" si="2"/>
        <v>42551</v>
      </c>
      <c r="V7" s="26">
        <f t="shared" ca="1" si="2"/>
        <v>42582</v>
      </c>
      <c r="W7" s="26">
        <f t="shared" ca="1" si="2"/>
        <v>42613</v>
      </c>
      <c r="X7" s="26">
        <f t="shared" ca="1" si="2"/>
        <v>42643</v>
      </c>
      <c r="Y7" s="26">
        <f t="shared" ca="1" si="2"/>
        <v>42674</v>
      </c>
      <c r="Z7" s="26">
        <f t="shared" ca="1" si="2"/>
        <v>42704</v>
      </c>
      <c r="AA7" s="26">
        <f ca="1">C3</f>
        <v>42735</v>
      </c>
      <c r="AB7" s="136"/>
      <c r="AC7" s="24"/>
      <c r="AD7" s="24"/>
      <c r="AE7" s="24"/>
      <c r="AF7" s="24"/>
      <c r="AG7" s="24"/>
      <c r="AH7" s="138"/>
      <c r="AI7" s="25">
        <f ca="1">AI6+IF(MONTH(AI6)=2,IF(OR(YEAR(AI6)=2008,YEAR(AI6)=2012,YEAR(AI6)=2016),29,28),IF(OR(MONTH(AI6)=4,MONTH(AI6)=6,MONTH(AI6)=9,MONTH(AI6)=11),30,31))-1</f>
        <v>42766</v>
      </c>
      <c r="AJ7" s="26">
        <f ca="1">AJ6+IF(MONTH(AJ6)=2,IF(OR(YEAR(AJ6)=2008,YEAR(AJ6)=2012,YEAR(AJ6)=2016),29,28),IF(OR(MONTH(AJ6)=4,MONTH(AJ6)=6,MONTH(AJ6)=9,MONTH(AJ6)=11),30,31))-1</f>
        <v>42794</v>
      </c>
      <c r="AK7" s="26">
        <f ca="1">AK6+IF(MONTH(AK6)=2,IF(OR(YEAR(AK6)=2008,YEAR(AK6)=2012,YEAR(AK6)=2016),29,28),IF(OR(MONTH(AK6)=4,MONTH(AK6)=6,MONTH(AK6)=9,MONTH(AK6)=11),30,31))-1</f>
        <v>42825</v>
      </c>
      <c r="AL7" s="26">
        <f ca="1">AL6+IF(MONTH(AL6)=2,IF(OR(YEAR(AL6)=2008,YEAR(AL6)=2012,YEAR(AL6)=2016),29,28),IF(OR(MONTH(AL6)=4,MONTH(AL6)=6,MONTH(AL6)=9,MONTH(AL6)=11),30,31))-1</f>
        <v>42855</v>
      </c>
      <c r="AM7" s="26">
        <f ca="1">AM6+IF(MONTH(AM6)=2,IF(OR(YEAR(AM6)=2008,YEAR(AM6)=2012,YEAR(AM6)=2016),29,28),IF(OR(MONTH(AM6)=4,MONTH(AM6)=6,MONTH(AM6)=9,MONTH(AM6)=11),30,31))-1</f>
        <v>42886</v>
      </c>
      <c r="AN7" s="26">
        <f t="shared" ref="AN7:AT7" ca="1" si="3">AN6+IF(MONTH(AN6)=2,IF(OR(YEAR(AN6)=2008,YEAR(AN6)=2012,YEAR(AN6)=2016),29,28),IF(OR(MONTH(AN6)=4,MONTH(AN6)=6,MONTH(AN6)=9,MONTH(AN6)=11),30,31))-1</f>
        <v>42916</v>
      </c>
      <c r="AO7" s="26">
        <f t="shared" ca="1" si="3"/>
        <v>42947</v>
      </c>
      <c r="AP7" s="26">
        <f t="shared" ca="1" si="3"/>
        <v>42978</v>
      </c>
      <c r="AQ7" s="26">
        <f t="shared" ca="1" si="3"/>
        <v>43008</v>
      </c>
      <c r="AR7" s="26">
        <f t="shared" ca="1" si="3"/>
        <v>43039</v>
      </c>
      <c r="AS7" s="26">
        <f t="shared" ca="1" si="3"/>
        <v>43069</v>
      </c>
      <c r="AT7" s="27">
        <f t="shared" ca="1" si="3"/>
        <v>43100</v>
      </c>
      <c r="AU7" s="132"/>
    </row>
    <row r="8" spans="1:50" s="57" customFormat="1" ht="15" customHeight="1" thickBot="1" x14ac:dyDescent="0.25">
      <c r="A8" s="66"/>
      <c r="B8" s="28" t="s">
        <v>0</v>
      </c>
      <c r="C8" s="29" t="s">
        <v>46</v>
      </c>
      <c r="D8" s="30">
        <f t="shared" ref="D8:AA8" ca="1" si="4">D6</f>
        <v>42005</v>
      </c>
      <c r="E8" s="31">
        <f t="shared" ca="1" si="4"/>
        <v>42036</v>
      </c>
      <c r="F8" s="31">
        <f t="shared" ca="1" si="4"/>
        <v>42064</v>
      </c>
      <c r="G8" s="32">
        <f t="shared" ca="1" si="4"/>
        <v>42095</v>
      </c>
      <c r="H8" s="32">
        <f t="shared" ca="1" si="4"/>
        <v>42125</v>
      </c>
      <c r="I8" s="32">
        <f t="shared" ca="1" si="4"/>
        <v>42156</v>
      </c>
      <c r="J8" s="32">
        <f t="shared" ca="1" si="4"/>
        <v>42186</v>
      </c>
      <c r="K8" s="32">
        <f t="shared" ca="1" si="4"/>
        <v>42217</v>
      </c>
      <c r="L8" s="32">
        <f t="shared" ca="1" si="4"/>
        <v>42248</v>
      </c>
      <c r="M8" s="32">
        <f t="shared" ca="1" si="4"/>
        <v>42278</v>
      </c>
      <c r="N8" s="32">
        <f t="shared" ca="1" si="4"/>
        <v>42309</v>
      </c>
      <c r="O8" s="32">
        <f t="shared" ca="1" si="4"/>
        <v>42339</v>
      </c>
      <c r="P8" s="32">
        <f t="shared" ca="1" si="4"/>
        <v>42370</v>
      </c>
      <c r="Q8" s="32">
        <f t="shared" ca="1" si="4"/>
        <v>42401</v>
      </c>
      <c r="R8" s="32">
        <f t="shared" ca="1" si="4"/>
        <v>42430</v>
      </c>
      <c r="S8" s="32">
        <f t="shared" ca="1" si="4"/>
        <v>42461</v>
      </c>
      <c r="T8" s="32">
        <f t="shared" ca="1" si="4"/>
        <v>42491</v>
      </c>
      <c r="U8" s="32">
        <f t="shared" ca="1" si="4"/>
        <v>42522</v>
      </c>
      <c r="V8" s="32">
        <f t="shared" ca="1" si="4"/>
        <v>42552</v>
      </c>
      <c r="W8" s="32">
        <f t="shared" ca="1" si="4"/>
        <v>42583</v>
      </c>
      <c r="X8" s="32">
        <f t="shared" ca="1" si="4"/>
        <v>42614</v>
      </c>
      <c r="Y8" s="32">
        <f t="shared" ca="1" si="4"/>
        <v>42644</v>
      </c>
      <c r="Z8" s="32">
        <f t="shared" ca="1" si="4"/>
        <v>42675</v>
      </c>
      <c r="AA8" s="32">
        <f t="shared" ca="1" si="4"/>
        <v>42705</v>
      </c>
      <c r="AB8" s="47" t="s">
        <v>36</v>
      </c>
      <c r="AC8" s="48" t="s">
        <v>42</v>
      </c>
      <c r="AD8" s="33" t="s">
        <v>43</v>
      </c>
      <c r="AE8" s="33" t="s">
        <v>44</v>
      </c>
      <c r="AF8" s="33" t="s">
        <v>45</v>
      </c>
      <c r="AG8" s="33" t="s">
        <v>39</v>
      </c>
      <c r="AH8" s="47" t="s">
        <v>41</v>
      </c>
      <c r="AI8" s="34">
        <f t="shared" ref="AI8:AT8" ca="1" si="5">AI6</f>
        <v>42736</v>
      </c>
      <c r="AJ8" s="34">
        <f t="shared" ca="1" si="5"/>
        <v>42767</v>
      </c>
      <c r="AK8" s="34">
        <f t="shared" ca="1" si="5"/>
        <v>42795</v>
      </c>
      <c r="AL8" s="34">
        <f t="shared" ca="1" si="5"/>
        <v>42826</v>
      </c>
      <c r="AM8" s="34">
        <f t="shared" ca="1" si="5"/>
        <v>42856</v>
      </c>
      <c r="AN8" s="34">
        <f t="shared" ca="1" si="5"/>
        <v>42887</v>
      </c>
      <c r="AO8" s="34">
        <f t="shared" ca="1" si="5"/>
        <v>42917</v>
      </c>
      <c r="AP8" s="34">
        <f t="shared" ca="1" si="5"/>
        <v>42948</v>
      </c>
      <c r="AQ8" s="34">
        <f t="shared" ca="1" si="5"/>
        <v>42979</v>
      </c>
      <c r="AR8" s="34">
        <f t="shared" ca="1" si="5"/>
        <v>43009</v>
      </c>
      <c r="AS8" s="34">
        <f t="shared" ca="1" si="5"/>
        <v>43040</v>
      </c>
      <c r="AT8" s="34">
        <f t="shared" ca="1" si="5"/>
        <v>43070</v>
      </c>
      <c r="AU8" s="35" t="s">
        <v>37</v>
      </c>
    </row>
    <row r="9" spans="1:50" ht="15" customHeight="1" thickBot="1" x14ac:dyDescent="0.25">
      <c r="B9" s="36" t="s">
        <v>3</v>
      </c>
      <c r="C9" s="37" t="s">
        <v>1</v>
      </c>
      <c r="D9" s="38">
        <f t="shared" ref="D9:M18" ca="1" si="6">AbraTurnover(URL,Username,Password,$C9,D$6,D$7)/1000</f>
        <v>0</v>
      </c>
      <c r="E9" s="38">
        <f t="shared" ca="1" si="6"/>
        <v>0</v>
      </c>
      <c r="F9" s="38">
        <f t="shared" ca="1" si="6"/>
        <v>0</v>
      </c>
      <c r="G9" s="38">
        <f t="shared" ca="1" si="6"/>
        <v>0</v>
      </c>
      <c r="H9" s="38">
        <f t="shared" ca="1" si="6"/>
        <v>0</v>
      </c>
      <c r="I9" s="38">
        <f t="shared" ca="1" si="6"/>
        <v>0</v>
      </c>
      <c r="J9" s="38">
        <f t="shared" ca="1" si="6"/>
        <v>0</v>
      </c>
      <c r="K9" s="38">
        <f t="shared" ca="1" si="6"/>
        <v>0</v>
      </c>
      <c r="L9" s="38">
        <f t="shared" ca="1" si="6"/>
        <v>0</v>
      </c>
      <c r="M9" s="38">
        <f t="shared" ca="1" si="6"/>
        <v>0</v>
      </c>
      <c r="N9" s="38">
        <f t="shared" ref="N9:AA18" ca="1" si="7">AbraTurnover(URL,Username,Password,$C9,N$6,N$7)/1000</f>
        <v>0</v>
      </c>
      <c r="O9" s="38">
        <f t="shared" ca="1" si="7"/>
        <v>0</v>
      </c>
      <c r="P9" s="38">
        <f t="shared" ca="1" si="7"/>
        <v>0</v>
      </c>
      <c r="Q9" s="38">
        <f t="shared" ca="1" si="7"/>
        <v>0</v>
      </c>
      <c r="R9" s="38">
        <f t="shared" ca="1" si="7"/>
        <v>0</v>
      </c>
      <c r="S9" s="38">
        <f t="shared" ca="1" si="7"/>
        <v>0</v>
      </c>
      <c r="T9" s="38">
        <f t="shared" ca="1" si="7"/>
        <v>0</v>
      </c>
      <c r="U9" s="38">
        <f t="shared" ca="1" si="7"/>
        <v>0</v>
      </c>
      <c r="V9" s="38">
        <f t="shared" ca="1" si="7"/>
        <v>0</v>
      </c>
      <c r="W9" s="38">
        <f t="shared" ca="1" si="7"/>
        <v>0</v>
      </c>
      <c r="X9" s="38">
        <f t="shared" ca="1" si="7"/>
        <v>0</v>
      </c>
      <c r="Y9" s="38">
        <f t="shared" ca="1" si="7"/>
        <v>0</v>
      </c>
      <c r="Z9" s="38">
        <f t="shared" ca="1" si="7"/>
        <v>0</v>
      </c>
      <c r="AA9" s="38">
        <f t="shared" ca="1" si="7"/>
        <v>0</v>
      </c>
      <c r="AB9" s="71">
        <f ca="1">SUM(P9:AA9)</f>
        <v>0</v>
      </c>
      <c r="AC9" s="76">
        <f t="shared" ref="AC9:AC25" ca="1" si="8">IF(SUM(J9:O9)+SUM(V9:AA9)&lt;0.001,0,IF(SUM(J9:O9)&lt;0.001,1,IF(SUM(V9:AA9)&lt;0.001,-1,SUM(V9:AA9)/(SUM(J9:O9))-1)))</f>
        <v>0</v>
      </c>
      <c r="AD9" s="76">
        <f t="shared" ref="AD9:AD25" ca="1" si="9">IF(SUM(D9:O9)+SUM(P9:AA9)&lt;0.001,0,IF(SUM(D9:O9)&lt;0.001,1,IF(SUM(P9:AA9)&lt;0.001,-1,SUM(P9:AA9)/(SUM(D9:O9))-1)))</f>
        <v>0</v>
      </c>
      <c r="AE9" s="76">
        <v>-0.5</v>
      </c>
      <c r="AF9" s="76">
        <v>0.5</v>
      </c>
      <c r="AG9" s="76" t="s">
        <v>48</v>
      </c>
      <c r="AH9" s="78">
        <f t="shared" ref="AH9:AH25" ca="1" si="10">IF($AG9&lt;&gt;"-",$AG9,IF($AC9&lt;$AE9,$AE9,IF($AC9&gt;$AF9,$AF9,$AC9)))</f>
        <v>0</v>
      </c>
      <c r="AI9" s="45">
        <f ca="1">$AB9*(1+$AH9)*VLOOKUP(MONTH(AI$8),Sezona!$B$4:$C$15,2)</f>
        <v>0</v>
      </c>
      <c r="AJ9" s="41">
        <f ca="1">$AB9*(1+$AH9)*VLOOKUP(MONTH(AJ$8),Sezona!$B$4:$C$15,2)</f>
        <v>0</v>
      </c>
      <c r="AK9" s="41">
        <f ca="1">$AB9*(1+$AH9)*VLOOKUP(MONTH(AK$8),Sezona!$B$4:$C$15,2)</f>
        <v>0</v>
      </c>
      <c r="AL9" s="41">
        <f ca="1">$AB9*(1+$AH9)*VLOOKUP(MONTH(AL$8),Sezona!$B$4:$C$15,2)</f>
        <v>0</v>
      </c>
      <c r="AM9" s="41">
        <f ca="1">$AB9*(1+$AH9)*VLOOKUP(MONTH(AM$8),Sezona!$B$4:$C$15,2)</f>
        <v>0</v>
      </c>
      <c r="AN9" s="41">
        <f ca="1">$AB9*(1+$AH9)*VLOOKUP(MONTH(AN$8),Sezona!$B$4:$C$15,2)</f>
        <v>0</v>
      </c>
      <c r="AO9" s="41">
        <f ca="1">$AB9*(1+$AH9)*VLOOKUP(MONTH(AO$8),Sezona!$B$4:$C$15,2)</f>
        <v>0</v>
      </c>
      <c r="AP9" s="41">
        <f ca="1">$AB9*(1+$AH9)*VLOOKUP(MONTH(AP$8),Sezona!$B$4:$C$15,2)</f>
        <v>0</v>
      </c>
      <c r="AQ9" s="41">
        <f ca="1">$AB9*(1+$AH9)*VLOOKUP(MONTH(AQ$8),Sezona!$B$4:$C$15,2)</f>
        <v>0</v>
      </c>
      <c r="AR9" s="41">
        <f ca="1">$AB9*(1+$AH9)*VLOOKUP(MONTH(AR$8),Sezona!$B$4:$C$15,2)</f>
        <v>0</v>
      </c>
      <c r="AS9" s="41">
        <f ca="1">$AB9*(1+$AH9)*VLOOKUP(MONTH(AS$8),Sezona!$B$4:$C$15,2)</f>
        <v>0</v>
      </c>
      <c r="AT9" s="41">
        <f ca="1">$AB9*(1+$AH9)*VLOOKUP(MONTH(AT$8),Sezona!$B$4:$C$15,2)</f>
        <v>0</v>
      </c>
      <c r="AU9" s="74">
        <f ca="1">SUM(AI9:AT9)</f>
        <v>0</v>
      </c>
      <c r="AW9" s="57"/>
      <c r="AX9" s="57"/>
    </row>
    <row r="10" spans="1:50" ht="15" customHeight="1" thickBot="1" x14ac:dyDescent="0.25">
      <c r="B10" s="39" t="s">
        <v>4</v>
      </c>
      <c r="C10" s="40" t="s">
        <v>9</v>
      </c>
      <c r="D10" s="38">
        <f t="shared" ca="1" si="6"/>
        <v>10971.59338</v>
      </c>
      <c r="E10" s="38">
        <f t="shared" ca="1" si="6"/>
        <v>12190.168369999999</v>
      </c>
      <c r="F10" s="38">
        <f t="shared" ca="1" si="6"/>
        <v>10809.828230000001</v>
      </c>
      <c r="G10" s="38">
        <f t="shared" ca="1" si="6"/>
        <v>9861.4147899999989</v>
      </c>
      <c r="H10" s="38">
        <f t="shared" ca="1" si="6"/>
        <v>10406.14522</v>
      </c>
      <c r="I10" s="38">
        <f t="shared" ca="1" si="6"/>
        <v>10825.697789999998</v>
      </c>
      <c r="J10" s="38">
        <f t="shared" ca="1" si="6"/>
        <v>10269.749760000001</v>
      </c>
      <c r="K10" s="38">
        <f t="shared" ca="1" si="6"/>
        <v>9334.2040199999992</v>
      </c>
      <c r="L10" s="38">
        <f t="shared" ca="1" si="6"/>
        <v>10067.953039999999</v>
      </c>
      <c r="M10" s="38">
        <f t="shared" ca="1" si="6"/>
        <v>10245.98386</v>
      </c>
      <c r="N10" s="38">
        <f t="shared" ca="1" si="7"/>
        <v>10982.264869999999</v>
      </c>
      <c r="O10" s="38">
        <f t="shared" ca="1" si="7"/>
        <v>13554.1021</v>
      </c>
      <c r="P10" s="38">
        <f t="shared" ca="1" si="7"/>
        <v>12176.45182</v>
      </c>
      <c r="Q10" s="38">
        <f t="shared" ca="1" si="7"/>
        <v>11691.45602</v>
      </c>
      <c r="R10" s="38">
        <f t="shared" ca="1" si="7"/>
        <v>11017.495779999999</v>
      </c>
      <c r="S10" s="38">
        <f t="shared" ca="1" si="7"/>
        <v>11334.81127</v>
      </c>
      <c r="T10" s="38">
        <f t="shared" ca="1" si="7"/>
        <v>11474.586230000001</v>
      </c>
      <c r="U10" s="38">
        <f t="shared" ca="1" si="7"/>
        <v>11281.733850000001</v>
      </c>
      <c r="V10" s="38">
        <f t="shared" ca="1" si="7"/>
        <v>11545.346119999998</v>
      </c>
      <c r="W10" s="38">
        <f t="shared" ca="1" si="7"/>
        <v>11237.745580000001</v>
      </c>
      <c r="X10" s="38">
        <f t="shared" ca="1" si="7"/>
        <v>12342.731179999999</v>
      </c>
      <c r="Y10" s="38">
        <f t="shared" ca="1" si="7"/>
        <v>11941.10701</v>
      </c>
      <c r="Z10" s="38">
        <f t="shared" ca="1" si="7"/>
        <v>15040.916289999999</v>
      </c>
      <c r="AA10" s="38">
        <f t="shared" ca="1" si="7"/>
        <v>15779.86715</v>
      </c>
      <c r="AB10" s="72">
        <f ca="1">SUM(P10:AA10)</f>
        <v>146864.24830000001</v>
      </c>
      <c r="AC10" s="77">
        <f t="shared" ca="1" si="8"/>
        <v>0.20841843766080514</v>
      </c>
      <c r="AD10" s="77">
        <f t="shared" ca="1" si="9"/>
        <v>0.13391956972227836</v>
      </c>
      <c r="AE10" s="77">
        <v>-0.5</v>
      </c>
      <c r="AF10" s="77">
        <v>0.5</v>
      </c>
      <c r="AG10" s="77" t="s">
        <v>48</v>
      </c>
      <c r="AH10" s="79">
        <f t="shared" ca="1" si="10"/>
        <v>0.20841843766080514</v>
      </c>
      <c r="AI10" s="45">
        <f ca="1">$AB10*(1+$AH10)*VLOOKUP(MONTH(AI$8),Sezona!$E$4:$F$15,2)</f>
        <v>17747.346547891455</v>
      </c>
      <c r="AJ10" s="45">
        <f ca="1">$AB10*(1+$AH10)*VLOOKUP(MONTH(AJ$8),Sezona!$E$4:$F$15,2)</f>
        <v>15972.61189310231</v>
      </c>
      <c r="AK10" s="45">
        <f ca="1">$AB10*(1+$AH10)*VLOOKUP(MONTH(AK$8),Sezona!$E$4:$F$15,2)</f>
        <v>14197.877238313165</v>
      </c>
      <c r="AL10" s="45">
        <f ca="1">$AB10*(1+$AH10)*VLOOKUP(MONTH(AL$8),Sezona!$E$4:$F$15,2)</f>
        <v>12423.142583524021</v>
      </c>
      <c r="AM10" s="45">
        <f ca="1">$AB10*(1+$AH10)*VLOOKUP(MONTH(AM$8),Sezona!$E$4:$F$15,2)</f>
        <v>12423.142583524021</v>
      </c>
      <c r="AN10" s="45">
        <f ca="1">$AB10*(1+$AH10)*VLOOKUP(MONTH(AN$8),Sezona!$E$4:$F$15,2)</f>
        <v>10648.407928734872</v>
      </c>
      <c r="AO10" s="45">
        <f ca="1">$AB10*(1+$AH10)*VLOOKUP(MONTH(AO$8),Sezona!$E$4:$F$15,2)</f>
        <v>10648.407928734872</v>
      </c>
      <c r="AP10" s="45">
        <f ca="1">$AB10*(1+$AH10)*VLOOKUP(MONTH(AP$8),Sezona!$E$4:$F$15,2)</f>
        <v>10648.407928734872</v>
      </c>
      <c r="AQ10" s="45">
        <f ca="1">$AB10*(1+$AH10)*VLOOKUP(MONTH(AQ$8),Sezona!$E$4:$F$15,2)</f>
        <v>12423.142583524021</v>
      </c>
      <c r="AR10" s="45">
        <f ca="1">$AB10*(1+$AH10)*VLOOKUP(MONTH(AR$8),Sezona!$E$4:$F$15,2)</f>
        <v>15972.61189310231</v>
      </c>
      <c r="AS10" s="45">
        <f ca="1">$AB10*(1+$AH10)*VLOOKUP(MONTH(AS$8),Sezona!$E$4:$F$15,2)</f>
        <v>19522.081202680602</v>
      </c>
      <c r="AT10" s="45">
        <f ca="1">$AB10*(1+$AH10)*VLOOKUP(MONTH(AT$8),Sezona!$E$4:$F$15,2)</f>
        <v>24846.285167048041</v>
      </c>
      <c r="AU10" s="74">
        <f ca="1">SUM(AI10:AT10)</f>
        <v>177473.46547891456</v>
      </c>
    </row>
    <row r="11" spans="1:50" ht="15" customHeight="1" thickBot="1" x14ac:dyDescent="0.25">
      <c r="B11" s="39" t="s">
        <v>5</v>
      </c>
      <c r="C11" s="40" t="s">
        <v>8</v>
      </c>
      <c r="D11" s="38">
        <f t="shared" ca="1" si="6"/>
        <v>708.18127000000004</v>
      </c>
      <c r="E11" s="38">
        <f t="shared" ca="1" si="6"/>
        <v>763.25078000000008</v>
      </c>
      <c r="F11" s="38">
        <f t="shared" ca="1" si="6"/>
        <v>747.23693000000003</v>
      </c>
      <c r="G11" s="38">
        <f t="shared" ca="1" si="6"/>
        <v>642.28336999999999</v>
      </c>
      <c r="H11" s="38">
        <f t="shared" ca="1" si="6"/>
        <v>900.18232</v>
      </c>
      <c r="I11" s="38">
        <f t="shared" ca="1" si="6"/>
        <v>123.65600000000001</v>
      </c>
      <c r="J11" s="38">
        <f t="shared" ca="1" si="6"/>
        <v>340.24200000000002</v>
      </c>
      <c r="K11" s="38">
        <f t="shared" ca="1" si="6"/>
        <v>302.23219</v>
      </c>
      <c r="L11" s="38">
        <f t="shared" ca="1" si="6"/>
        <v>316.59926000000002</v>
      </c>
      <c r="M11" s="38">
        <f t="shared" ca="1" si="6"/>
        <v>378.99196000000001</v>
      </c>
      <c r="N11" s="38">
        <f t="shared" ca="1" si="7"/>
        <v>2551.9782500000001</v>
      </c>
      <c r="O11" s="38">
        <f t="shared" ca="1" si="7"/>
        <v>834.49444999999992</v>
      </c>
      <c r="P11" s="38">
        <f t="shared" ca="1" si="7"/>
        <v>138.95232000000001</v>
      </c>
      <c r="Q11" s="38">
        <f t="shared" ca="1" si="7"/>
        <v>230.22289999999998</v>
      </c>
      <c r="R11" s="38">
        <f t="shared" ca="1" si="7"/>
        <v>561.02606000000003</v>
      </c>
      <c r="S11" s="38">
        <f t="shared" ca="1" si="7"/>
        <v>247.63200000000001</v>
      </c>
      <c r="T11" s="38">
        <f t="shared" ca="1" si="7"/>
        <v>262.00564000000003</v>
      </c>
      <c r="U11" s="38">
        <f t="shared" ca="1" si="7"/>
        <v>1006.1477199999999</v>
      </c>
      <c r="V11" s="38">
        <f t="shared" ca="1" si="7"/>
        <v>580.73649999999998</v>
      </c>
      <c r="W11" s="38">
        <f t="shared" ca="1" si="7"/>
        <v>645.84749999999997</v>
      </c>
      <c r="X11" s="38">
        <f t="shared" ca="1" si="7"/>
        <v>378.37099000000001</v>
      </c>
      <c r="Y11" s="38">
        <f t="shared" ca="1" si="7"/>
        <v>228.78899999999999</v>
      </c>
      <c r="Z11" s="38">
        <f t="shared" ca="1" si="7"/>
        <v>469.8759</v>
      </c>
      <c r="AA11" s="38">
        <f t="shared" ca="1" si="7"/>
        <v>748.6730500000001</v>
      </c>
      <c r="AB11" s="72">
        <f ca="1">SUM(P11:AA11)</f>
        <v>5498.2795800000004</v>
      </c>
      <c r="AC11" s="77">
        <f ca="1">IF(SUM(J11:O11)+SUM(V11:AA11)&lt;0.001,0,IF(SUM(J11:O11)&lt;0.001,1,IF(SUM(V11:AA11)&lt;0.001,-1,SUM(V11:AA11)/(SUM(J11:O11))-1)))</f>
        <v>-0.35394892179206061</v>
      </c>
      <c r="AD11" s="77">
        <f ca="1">IF(SUM(D11:O11)+SUM(P11:AA11)&lt;0.001,0,IF(SUM(D11:O11)&lt;0.001,1,IF(SUM(P11:AA11)&lt;0.001,-1,SUM(P11:AA11)/(SUM(D11:O11))-1)))</f>
        <v>-0.36135792690681745</v>
      </c>
      <c r="AE11" s="77">
        <v>0.5</v>
      </c>
      <c r="AF11" s="77">
        <v>0.5</v>
      </c>
      <c r="AG11" s="77" t="s">
        <v>48</v>
      </c>
      <c r="AH11" s="79">
        <f t="shared" ca="1" si="10"/>
        <v>0.5</v>
      </c>
      <c r="AI11" s="45">
        <f ca="1">$AB11*(1+$AH11)*VLOOKUP(MONTH(AI$8),Sezona!$B$4:$C$15,2)</f>
        <v>577.31935590000001</v>
      </c>
      <c r="AJ11" s="45">
        <f ca="1">$AB11*(1+$AH11)*VLOOKUP(MONTH(AJ$8),Sezona!$B$4:$C$15,2)</f>
        <v>659.79354960000001</v>
      </c>
      <c r="AK11" s="45">
        <f ca="1">$AB11*(1+$AH11)*VLOOKUP(MONTH(AK$8),Sezona!$B$4:$C$15,2)</f>
        <v>742.26774329999989</v>
      </c>
      <c r="AL11" s="45">
        <f ca="1">$AB11*(1+$AH11)*VLOOKUP(MONTH(AL$8),Sezona!$B$4:$C$15,2)</f>
        <v>659.79354960000001</v>
      </c>
      <c r="AM11" s="45">
        <f ca="1">$AB11*(1+$AH11)*VLOOKUP(MONTH(AM$8),Sezona!$B$4:$C$15,2)</f>
        <v>577.31935590000001</v>
      </c>
      <c r="AN11" s="45">
        <f ca="1">$AB11*(1+$AH11)*VLOOKUP(MONTH(AN$8),Sezona!$B$4:$C$15,2)</f>
        <v>577.31935590000001</v>
      </c>
      <c r="AO11" s="45">
        <f ca="1">$AB11*(1+$AH11)*VLOOKUP(MONTH(AO$8),Sezona!$B$4:$C$15,2)</f>
        <v>659.79354960000001</v>
      </c>
      <c r="AP11" s="45">
        <f ca="1">$AB11*(1+$AH11)*VLOOKUP(MONTH(AP$8),Sezona!$B$4:$C$15,2)</f>
        <v>742.26774329999989</v>
      </c>
      <c r="AQ11" s="45">
        <f ca="1">$AB11*(1+$AH11)*VLOOKUP(MONTH(AQ$8),Sezona!$B$4:$C$15,2)</f>
        <v>824.74193700000001</v>
      </c>
      <c r="AR11" s="45">
        <f ca="1">$AB11*(1+$AH11)*VLOOKUP(MONTH(AR$8),Sezona!$B$4:$C$15,2)</f>
        <v>824.74193700000001</v>
      </c>
      <c r="AS11" s="45">
        <f ca="1">$AB11*(1+$AH11)*VLOOKUP(MONTH(AS$8),Sezona!$B$4:$C$15,2)</f>
        <v>1072.1645180999999</v>
      </c>
      <c r="AT11" s="45">
        <f ca="1">$AB11*(1+$AH11)*VLOOKUP(MONTH(AT$8),Sezona!$B$4:$C$15,2)</f>
        <v>412.3709685</v>
      </c>
      <c r="AU11" s="74">
        <f ca="1">SUM(AI11:AT11)</f>
        <v>8329.8935636999995</v>
      </c>
    </row>
    <row r="12" spans="1:50" ht="15" customHeight="1" thickBot="1" x14ac:dyDescent="0.25">
      <c r="B12" s="39" t="s">
        <v>6</v>
      </c>
      <c r="C12" s="40" t="s">
        <v>7</v>
      </c>
      <c r="D12" s="38">
        <f t="shared" ca="1" si="6"/>
        <v>1074.32</v>
      </c>
      <c r="E12" s="38">
        <f t="shared" ca="1" si="6"/>
        <v>0</v>
      </c>
      <c r="F12" s="38">
        <f t="shared" ca="1" si="6"/>
        <v>0</v>
      </c>
      <c r="G12" s="38">
        <f t="shared" ca="1" si="6"/>
        <v>0</v>
      </c>
      <c r="H12" s="38">
        <f t="shared" ca="1" si="6"/>
        <v>0</v>
      </c>
      <c r="I12" s="38">
        <f t="shared" ca="1" si="6"/>
        <v>0</v>
      </c>
      <c r="J12" s="38">
        <f t="shared" ca="1" si="6"/>
        <v>0</v>
      </c>
      <c r="K12" s="38">
        <f t="shared" ca="1" si="6"/>
        <v>200.14479999999998</v>
      </c>
      <c r="L12" s="38">
        <f t="shared" ca="1" si="6"/>
        <v>0</v>
      </c>
      <c r="M12" s="38">
        <f t="shared" ca="1" si="6"/>
        <v>0</v>
      </c>
      <c r="N12" s="38">
        <f t="shared" ca="1" si="7"/>
        <v>0</v>
      </c>
      <c r="O12" s="38">
        <f t="shared" ca="1" si="7"/>
        <v>3.5539999999999998</v>
      </c>
      <c r="P12" s="38">
        <f t="shared" ca="1" si="7"/>
        <v>32</v>
      </c>
      <c r="Q12" s="38">
        <f t="shared" ca="1" si="7"/>
        <v>0</v>
      </c>
      <c r="R12" s="38">
        <f t="shared" ca="1" si="7"/>
        <v>0</v>
      </c>
      <c r="S12" s="38">
        <f t="shared" ca="1" si="7"/>
        <v>0</v>
      </c>
      <c r="T12" s="38">
        <f t="shared" ca="1" si="7"/>
        <v>0</v>
      </c>
      <c r="U12" s="38">
        <f t="shared" ca="1" si="7"/>
        <v>95.867999999999995</v>
      </c>
      <c r="V12" s="38">
        <f t="shared" ca="1" si="7"/>
        <v>0</v>
      </c>
      <c r="W12" s="38">
        <f t="shared" ca="1" si="7"/>
        <v>0</v>
      </c>
      <c r="X12" s="38">
        <f t="shared" ca="1" si="7"/>
        <v>41.322000000000003</v>
      </c>
      <c r="Y12" s="38">
        <f t="shared" ca="1" si="7"/>
        <v>0</v>
      </c>
      <c r="Z12" s="38">
        <f t="shared" ca="1" si="7"/>
        <v>42.975000000000001</v>
      </c>
      <c r="AA12" s="38">
        <f t="shared" ca="1" si="7"/>
        <v>661.12</v>
      </c>
      <c r="AB12" s="72">
        <f t="shared" ref="AB12:AB25" ca="1" si="11">SUM(P12:AA12)</f>
        <v>873.28499999999997</v>
      </c>
      <c r="AC12" s="77">
        <f t="shared" ca="1" si="8"/>
        <v>2.6594079101104184</v>
      </c>
      <c r="AD12" s="77">
        <f t="shared" ca="1" si="9"/>
        <v>-0.31668845560018366</v>
      </c>
      <c r="AE12" s="77">
        <v>-0.5</v>
      </c>
      <c r="AF12" s="77">
        <v>0.5</v>
      </c>
      <c r="AG12" s="77">
        <v>0</v>
      </c>
      <c r="AH12" s="79">
        <f t="shared" ca="1" si="10"/>
        <v>0</v>
      </c>
      <c r="AI12" s="45">
        <f t="shared" ref="AI12:AP25" ca="1" si="12">$AB12*(1+$AH12)/12</f>
        <v>72.773749999999993</v>
      </c>
      <c r="AJ12" s="41">
        <f t="shared" ca="1" si="12"/>
        <v>72.773749999999993</v>
      </c>
      <c r="AK12" s="41">
        <f t="shared" ca="1" si="12"/>
        <v>72.773749999999993</v>
      </c>
      <c r="AL12" s="41">
        <f t="shared" ca="1" si="12"/>
        <v>72.773749999999993</v>
      </c>
      <c r="AM12" s="41">
        <f t="shared" ca="1" si="12"/>
        <v>72.773749999999993</v>
      </c>
      <c r="AN12" s="41">
        <f t="shared" ca="1" si="12"/>
        <v>72.773749999999993</v>
      </c>
      <c r="AO12" s="41">
        <f t="shared" ca="1" si="12"/>
        <v>72.773749999999993</v>
      </c>
      <c r="AP12" s="41">
        <f t="shared" ca="1" si="12"/>
        <v>72.773749999999993</v>
      </c>
      <c r="AQ12" s="41">
        <f t="shared" ref="AQ12:AT24" ca="1" si="13">$AB12*(1+$AH12)/12</f>
        <v>72.773749999999993</v>
      </c>
      <c r="AR12" s="41">
        <f t="shared" ca="1" si="13"/>
        <v>72.773749999999993</v>
      </c>
      <c r="AS12" s="41">
        <f t="shared" ca="1" si="13"/>
        <v>72.773749999999993</v>
      </c>
      <c r="AT12" s="41">
        <f t="shared" ca="1" si="13"/>
        <v>72.773749999999993</v>
      </c>
      <c r="AU12" s="74">
        <f t="shared" ref="AU12:AU25" ca="1" si="14">SUM(AI12:AT12)</f>
        <v>873.28499999999974</v>
      </c>
    </row>
    <row r="13" spans="1:50" ht="15" customHeight="1" thickBot="1" x14ac:dyDescent="0.25">
      <c r="B13" s="39" t="s">
        <v>10</v>
      </c>
      <c r="C13" s="40" t="s">
        <v>14</v>
      </c>
      <c r="D13" s="38">
        <f t="shared" ca="1" si="6"/>
        <v>0</v>
      </c>
      <c r="E13" s="38">
        <f t="shared" ca="1" si="6"/>
        <v>0</v>
      </c>
      <c r="F13" s="38">
        <f t="shared" ca="1" si="6"/>
        <v>0</v>
      </c>
      <c r="G13" s="38">
        <f t="shared" ca="1" si="6"/>
        <v>0</v>
      </c>
      <c r="H13" s="38">
        <f t="shared" ca="1" si="6"/>
        <v>0</v>
      </c>
      <c r="I13" s="38">
        <f t="shared" ca="1" si="6"/>
        <v>0</v>
      </c>
      <c r="J13" s="38">
        <f t="shared" ca="1" si="6"/>
        <v>0</v>
      </c>
      <c r="K13" s="38">
        <f t="shared" ca="1" si="6"/>
        <v>0</v>
      </c>
      <c r="L13" s="38">
        <f t="shared" ca="1" si="6"/>
        <v>0</v>
      </c>
      <c r="M13" s="38">
        <f t="shared" ca="1" si="6"/>
        <v>0</v>
      </c>
      <c r="N13" s="38">
        <f t="shared" ca="1" si="7"/>
        <v>0</v>
      </c>
      <c r="O13" s="38">
        <f t="shared" ca="1" si="7"/>
        <v>0</v>
      </c>
      <c r="P13" s="38">
        <f t="shared" ca="1" si="7"/>
        <v>0</v>
      </c>
      <c r="Q13" s="38">
        <f t="shared" ca="1" si="7"/>
        <v>0</v>
      </c>
      <c r="R13" s="38">
        <f t="shared" ca="1" si="7"/>
        <v>0</v>
      </c>
      <c r="S13" s="38">
        <f t="shared" ca="1" si="7"/>
        <v>0</v>
      </c>
      <c r="T13" s="38">
        <f t="shared" ca="1" si="7"/>
        <v>0</v>
      </c>
      <c r="U13" s="38">
        <f t="shared" ca="1" si="7"/>
        <v>0</v>
      </c>
      <c r="V13" s="38">
        <f t="shared" ca="1" si="7"/>
        <v>0</v>
      </c>
      <c r="W13" s="38">
        <f t="shared" ca="1" si="7"/>
        <v>0</v>
      </c>
      <c r="X13" s="38">
        <f t="shared" ca="1" si="7"/>
        <v>0</v>
      </c>
      <c r="Y13" s="38">
        <f t="shared" ca="1" si="7"/>
        <v>0</v>
      </c>
      <c r="Z13" s="38">
        <f t="shared" ca="1" si="7"/>
        <v>52.601999999999997</v>
      </c>
      <c r="AA13" s="38">
        <f t="shared" ca="1" si="7"/>
        <v>0</v>
      </c>
      <c r="AB13" s="72">
        <f t="shared" ca="1" si="11"/>
        <v>52.601999999999997</v>
      </c>
      <c r="AC13" s="77">
        <f t="shared" ca="1" si="8"/>
        <v>1</v>
      </c>
      <c r="AD13" s="77">
        <f t="shared" ca="1" si="9"/>
        <v>1</v>
      </c>
      <c r="AE13" s="77">
        <v>-0.5</v>
      </c>
      <c r="AF13" s="77">
        <v>0.5</v>
      </c>
      <c r="AG13" s="77">
        <v>0</v>
      </c>
      <c r="AH13" s="79">
        <f t="shared" ca="1" si="10"/>
        <v>0</v>
      </c>
      <c r="AI13" s="45">
        <f t="shared" ca="1" si="12"/>
        <v>4.3834999999999997</v>
      </c>
      <c r="AJ13" s="41">
        <f t="shared" ca="1" si="12"/>
        <v>4.3834999999999997</v>
      </c>
      <c r="AK13" s="41">
        <f t="shared" ca="1" si="12"/>
        <v>4.3834999999999997</v>
      </c>
      <c r="AL13" s="41">
        <f t="shared" ca="1" si="12"/>
        <v>4.3834999999999997</v>
      </c>
      <c r="AM13" s="41">
        <f t="shared" ca="1" si="12"/>
        <v>4.3834999999999997</v>
      </c>
      <c r="AN13" s="41">
        <f t="shared" ca="1" si="12"/>
        <v>4.3834999999999997</v>
      </c>
      <c r="AO13" s="41">
        <f t="shared" ca="1" si="12"/>
        <v>4.3834999999999997</v>
      </c>
      <c r="AP13" s="41">
        <f t="shared" ca="1" si="12"/>
        <v>4.3834999999999997</v>
      </c>
      <c r="AQ13" s="41">
        <f t="shared" ca="1" si="13"/>
        <v>4.3834999999999997</v>
      </c>
      <c r="AR13" s="41">
        <f t="shared" ca="1" si="13"/>
        <v>4.3834999999999997</v>
      </c>
      <c r="AS13" s="41">
        <f t="shared" ca="1" si="13"/>
        <v>4.3834999999999997</v>
      </c>
      <c r="AT13" s="41">
        <f t="shared" ca="1" si="13"/>
        <v>4.3834999999999997</v>
      </c>
      <c r="AU13" s="74">
        <f t="shared" ca="1" si="14"/>
        <v>52.601999999999983</v>
      </c>
    </row>
    <row r="14" spans="1:50" ht="15" customHeight="1" thickBot="1" x14ac:dyDescent="0.25">
      <c r="B14" s="39" t="s">
        <v>11</v>
      </c>
      <c r="C14" s="40" t="s">
        <v>15</v>
      </c>
      <c r="D14" s="38">
        <f t="shared" ca="1" si="6"/>
        <v>0</v>
      </c>
      <c r="E14" s="38">
        <f t="shared" ca="1" si="6"/>
        <v>0</v>
      </c>
      <c r="F14" s="38">
        <f t="shared" ca="1" si="6"/>
        <v>0</v>
      </c>
      <c r="G14" s="38">
        <f t="shared" ca="1" si="6"/>
        <v>0</v>
      </c>
      <c r="H14" s="38">
        <f t="shared" ca="1" si="6"/>
        <v>0</v>
      </c>
      <c r="I14" s="38">
        <f t="shared" ca="1" si="6"/>
        <v>0</v>
      </c>
      <c r="J14" s="38">
        <f t="shared" ca="1" si="6"/>
        <v>0</v>
      </c>
      <c r="K14" s="38">
        <f t="shared" ca="1" si="6"/>
        <v>0</v>
      </c>
      <c r="L14" s="38">
        <f t="shared" ca="1" si="6"/>
        <v>0</v>
      </c>
      <c r="M14" s="38">
        <f t="shared" ca="1" si="6"/>
        <v>0</v>
      </c>
      <c r="N14" s="38">
        <f t="shared" ca="1" si="7"/>
        <v>0</v>
      </c>
      <c r="O14" s="38">
        <f t="shared" ca="1" si="7"/>
        <v>0</v>
      </c>
      <c r="P14" s="38">
        <f t="shared" ca="1" si="7"/>
        <v>0</v>
      </c>
      <c r="Q14" s="38">
        <f t="shared" ca="1" si="7"/>
        <v>8.6389999999999993</v>
      </c>
      <c r="R14" s="38">
        <f t="shared" ca="1" si="7"/>
        <v>0</v>
      </c>
      <c r="S14" s="38">
        <f t="shared" ca="1" si="7"/>
        <v>0</v>
      </c>
      <c r="T14" s="38">
        <f t="shared" ca="1" si="7"/>
        <v>0</v>
      </c>
      <c r="U14" s="38">
        <f t="shared" ca="1" si="7"/>
        <v>0</v>
      </c>
      <c r="V14" s="38">
        <f t="shared" ca="1" si="7"/>
        <v>0</v>
      </c>
      <c r="W14" s="38">
        <f t="shared" ca="1" si="7"/>
        <v>0</v>
      </c>
      <c r="X14" s="38">
        <f t="shared" ca="1" si="7"/>
        <v>0</v>
      </c>
      <c r="Y14" s="38">
        <f t="shared" ca="1" si="7"/>
        <v>1.27</v>
      </c>
      <c r="Z14" s="38">
        <f t="shared" ca="1" si="7"/>
        <v>0</v>
      </c>
      <c r="AA14" s="38">
        <f t="shared" ca="1" si="7"/>
        <v>6.9854599999999998</v>
      </c>
      <c r="AB14" s="72">
        <f t="shared" ca="1" si="11"/>
        <v>16.894459999999999</v>
      </c>
      <c r="AC14" s="77">
        <f t="shared" ca="1" si="8"/>
        <v>1</v>
      </c>
      <c r="AD14" s="77">
        <f t="shared" ca="1" si="9"/>
        <v>1</v>
      </c>
      <c r="AE14" s="77">
        <v>-0.5</v>
      </c>
      <c r="AF14" s="77">
        <v>0.5</v>
      </c>
      <c r="AG14" s="77">
        <v>-1</v>
      </c>
      <c r="AH14" s="79">
        <f t="shared" ca="1" si="10"/>
        <v>-1</v>
      </c>
      <c r="AI14" s="45">
        <f t="shared" ca="1" si="12"/>
        <v>0</v>
      </c>
      <c r="AJ14" s="41">
        <f t="shared" ca="1" si="12"/>
        <v>0</v>
      </c>
      <c r="AK14" s="41">
        <f t="shared" ca="1" si="12"/>
        <v>0</v>
      </c>
      <c r="AL14" s="41">
        <f t="shared" ca="1" si="12"/>
        <v>0</v>
      </c>
      <c r="AM14" s="41">
        <f t="shared" ca="1" si="12"/>
        <v>0</v>
      </c>
      <c r="AN14" s="41">
        <f t="shared" ca="1" si="12"/>
        <v>0</v>
      </c>
      <c r="AO14" s="41">
        <f t="shared" ca="1" si="12"/>
        <v>0</v>
      </c>
      <c r="AP14" s="41">
        <f t="shared" ca="1" si="12"/>
        <v>0</v>
      </c>
      <c r="AQ14" s="41">
        <f t="shared" ca="1" si="13"/>
        <v>0</v>
      </c>
      <c r="AR14" s="41">
        <f t="shared" ca="1" si="13"/>
        <v>0</v>
      </c>
      <c r="AS14" s="41">
        <f t="shared" ca="1" si="13"/>
        <v>0</v>
      </c>
      <c r="AT14" s="41">
        <f t="shared" ca="1" si="13"/>
        <v>0</v>
      </c>
      <c r="AU14" s="74">
        <f t="shared" ca="1" si="14"/>
        <v>0</v>
      </c>
    </row>
    <row r="15" spans="1:50" ht="15" customHeight="1" thickBot="1" x14ac:dyDescent="0.25">
      <c r="B15" s="39" t="s">
        <v>12</v>
      </c>
      <c r="C15" s="40" t="s">
        <v>16</v>
      </c>
      <c r="D15" s="38">
        <f t="shared" ca="1" si="6"/>
        <v>0</v>
      </c>
      <c r="E15" s="38">
        <f t="shared" ca="1" si="6"/>
        <v>0</v>
      </c>
      <c r="F15" s="38">
        <f t="shared" ca="1" si="6"/>
        <v>0</v>
      </c>
      <c r="G15" s="38">
        <f t="shared" ca="1" si="6"/>
        <v>0</v>
      </c>
      <c r="H15" s="38">
        <f t="shared" ca="1" si="6"/>
        <v>0</v>
      </c>
      <c r="I15" s="38">
        <f t="shared" ca="1" si="6"/>
        <v>0</v>
      </c>
      <c r="J15" s="38">
        <f t="shared" ca="1" si="6"/>
        <v>0</v>
      </c>
      <c r="K15" s="38">
        <f t="shared" ca="1" si="6"/>
        <v>0</v>
      </c>
      <c r="L15" s="38">
        <f t="shared" ca="1" si="6"/>
        <v>0</v>
      </c>
      <c r="M15" s="38">
        <f t="shared" ca="1" si="6"/>
        <v>0</v>
      </c>
      <c r="N15" s="38">
        <f t="shared" ca="1" si="7"/>
        <v>0</v>
      </c>
      <c r="O15" s="38">
        <f t="shared" ca="1" si="7"/>
        <v>0</v>
      </c>
      <c r="P15" s="38">
        <f t="shared" ca="1" si="7"/>
        <v>0</v>
      </c>
      <c r="Q15" s="38">
        <f t="shared" ca="1" si="7"/>
        <v>0</v>
      </c>
      <c r="R15" s="38">
        <f t="shared" ca="1" si="7"/>
        <v>0</v>
      </c>
      <c r="S15" s="38">
        <f t="shared" ca="1" si="7"/>
        <v>0</v>
      </c>
      <c r="T15" s="38">
        <f t="shared" ca="1" si="7"/>
        <v>0</v>
      </c>
      <c r="U15" s="38">
        <f t="shared" ca="1" si="7"/>
        <v>0</v>
      </c>
      <c r="V15" s="38">
        <f t="shared" ca="1" si="7"/>
        <v>0</v>
      </c>
      <c r="W15" s="38">
        <f t="shared" ca="1" si="7"/>
        <v>0</v>
      </c>
      <c r="X15" s="38">
        <f t="shared" ca="1" si="7"/>
        <v>0</v>
      </c>
      <c r="Y15" s="38">
        <f t="shared" ca="1" si="7"/>
        <v>0</v>
      </c>
      <c r="Z15" s="38">
        <f t="shared" ca="1" si="7"/>
        <v>0</v>
      </c>
      <c r="AA15" s="38">
        <f t="shared" ca="1" si="7"/>
        <v>0</v>
      </c>
      <c r="AB15" s="72">
        <f t="shared" ca="1" si="11"/>
        <v>0</v>
      </c>
      <c r="AC15" s="77">
        <f t="shared" ca="1" si="8"/>
        <v>0</v>
      </c>
      <c r="AD15" s="77">
        <f t="shared" ca="1" si="9"/>
        <v>0</v>
      </c>
      <c r="AE15" s="77">
        <v>-0.5</v>
      </c>
      <c r="AF15" s="77">
        <v>0.5</v>
      </c>
      <c r="AG15" s="77">
        <v>0</v>
      </c>
      <c r="AH15" s="79">
        <f t="shared" ca="1" si="10"/>
        <v>0</v>
      </c>
      <c r="AI15" s="45">
        <f t="shared" ca="1" si="12"/>
        <v>0</v>
      </c>
      <c r="AJ15" s="41">
        <f t="shared" ca="1" si="12"/>
        <v>0</v>
      </c>
      <c r="AK15" s="41">
        <f t="shared" ca="1" si="12"/>
        <v>0</v>
      </c>
      <c r="AL15" s="41">
        <f t="shared" ca="1" si="12"/>
        <v>0</v>
      </c>
      <c r="AM15" s="41">
        <f t="shared" ca="1" si="12"/>
        <v>0</v>
      </c>
      <c r="AN15" s="41">
        <f t="shared" ca="1" si="12"/>
        <v>0</v>
      </c>
      <c r="AO15" s="41">
        <f t="shared" ca="1" si="12"/>
        <v>0</v>
      </c>
      <c r="AP15" s="41">
        <f t="shared" ca="1" si="12"/>
        <v>0</v>
      </c>
      <c r="AQ15" s="41">
        <f t="shared" ca="1" si="13"/>
        <v>0</v>
      </c>
      <c r="AR15" s="41">
        <f t="shared" ca="1" si="13"/>
        <v>0</v>
      </c>
      <c r="AS15" s="41">
        <f t="shared" ca="1" si="13"/>
        <v>0</v>
      </c>
      <c r="AT15" s="41">
        <f t="shared" ca="1" si="13"/>
        <v>0</v>
      </c>
      <c r="AU15" s="74">
        <f t="shared" ca="1" si="14"/>
        <v>0</v>
      </c>
    </row>
    <row r="16" spans="1:50" ht="15" customHeight="1" thickBot="1" x14ac:dyDescent="0.25">
      <c r="B16" s="39" t="s">
        <v>13</v>
      </c>
      <c r="C16" s="40" t="s">
        <v>17</v>
      </c>
      <c r="D16" s="38">
        <f t="shared" ca="1" si="6"/>
        <v>81.804640000000006</v>
      </c>
      <c r="E16" s="38">
        <f t="shared" ca="1" si="6"/>
        <v>264.48590999999999</v>
      </c>
      <c r="F16" s="38">
        <f t="shared" ca="1" si="6"/>
        <v>201.17025000000001</v>
      </c>
      <c r="G16" s="38">
        <f t="shared" ca="1" si="6"/>
        <v>229.72810000000001</v>
      </c>
      <c r="H16" s="38">
        <f t="shared" ca="1" si="6"/>
        <v>79.467380000000006</v>
      </c>
      <c r="I16" s="38">
        <f t="shared" ca="1" si="6"/>
        <v>59.983150000000002</v>
      </c>
      <c r="J16" s="38">
        <f t="shared" ca="1" si="6"/>
        <v>102.45948</v>
      </c>
      <c r="K16" s="38">
        <f t="shared" ca="1" si="6"/>
        <v>53.415999999999997</v>
      </c>
      <c r="L16" s="38">
        <f t="shared" ca="1" si="6"/>
        <v>74.671379999999999</v>
      </c>
      <c r="M16" s="38">
        <f t="shared" ca="1" si="6"/>
        <v>45.231919999999995</v>
      </c>
      <c r="N16" s="38">
        <f t="shared" ca="1" si="7"/>
        <v>98.05561999999999</v>
      </c>
      <c r="O16" s="38">
        <f t="shared" ca="1" si="7"/>
        <v>78.85999000000001</v>
      </c>
      <c r="P16" s="38">
        <f t="shared" ca="1" si="7"/>
        <v>67.168759999999992</v>
      </c>
      <c r="Q16" s="38">
        <f t="shared" ca="1" si="7"/>
        <v>67.593580000000003</v>
      </c>
      <c r="R16" s="38">
        <f t="shared" ca="1" si="7"/>
        <v>61.83222</v>
      </c>
      <c r="S16" s="38">
        <f t="shared" ca="1" si="7"/>
        <v>81.790679999999995</v>
      </c>
      <c r="T16" s="38">
        <f t="shared" ca="1" si="7"/>
        <v>28.97241</v>
      </c>
      <c r="U16" s="38">
        <f t="shared" ca="1" si="7"/>
        <v>442.38346999999999</v>
      </c>
      <c r="V16" s="38">
        <f t="shared" ca="1" si="7"/>
        <v>43.776449999999997</v>
      </c>
      <c r="W16" s="38">
        <f t="shared" ca="1" si="7"/>
        <v>41.538820000000001</v>
      </c>
      <c r="X16" s="38">
        <f t="shared" ca="1" si="7"/>
        <v>59.105719999999998</v>
      </c>
      <c r="Y16" s="38">
        <f t="shared" ca="1" si="7"/>
        <v>85.36739</v>
      </c>
      <c r="Z16" s="38">
        <f t="shared" ca="1" si="7"/>
        <v>43.108489999999996</v>
      </c>
      <c r="AA16" s="38">
        <f t="shared" ca="1" si="7"/>
        <v>306.98892000000001</v>
      </c>
      <c r="AB16" s="72">
        <f t="shared" ca="1" si="11"/>
        <v>1329.62691</v>
      </c>
      <c r="AC16" s="77">
        <f t="shared" ca="1" si="8"/>
        <v>0.28096526665594435</v>
      </c>
      <c r="AD16" s="77">
        <f t="shared" ca="1" si="9"/>
        <v>-2.8997246266801557E-2</v>
      </c>
      <c r="AE16" s="77">
        <v>-0.5</v>
      </c>
      <c r="AF16" s="77">
        <v>0.5</v>
      </c>
      <c r="AG16" s="77">
        <v>0</v>
      </c>
      <c r="AH16" s="79">
        <f t="shared" ca="1" si="10"/>
        <v>0</v>
      </c>
      <c r="AI16" s="45">
        <f t="shared" ca="1" si="12"/>
        <v>110.80224249999999</v>
      </c>
      <c r="AJ16" s="41">
        <f t="shared" ca="1" si="12"/>
        <v>110.80224249999999</v>
      </c>
      <c r="AK16" s="41">
        <f t="shared" ca="1" si="12"/>
        <v>110.80224249999999</v>
      </c>
      <c r="AL16" s="41">
        <f t="shared" ca="1" si="12"/>
        <v>110.80224249999999</v>
      </c>
      <c r="AM16" s="41">
        <f t="shared" ca="1" si="12"/>
        <v>110.80224249999999</v>
      </c>
      <c r="AN16" s="41">
        <f t="shared" ca="1" si="12"/>
        <v>110.80224249999999</v>
      </c>
      <c r="AO16" s="41">
        <f t="shared" ca="1" si="12"/>
        <v>110.80224249999999</v>
      </c>
      <c r="AP16" s="41">
        <f t="shared" ca="1" si="12"/>
        <v>110.80224249999999</v>
      </c>
      <c r="AQ16" s="41">
        <f t="shared" ca="1" si="13"/>
        <v>110.80224249999999</v>
      </c>
      <c r="AR16" s="41">
        <f t="shared" ca="1" si="13"/>
        <v>110.80224249999999</v>
      </c>
      <c r="AS16" s="41">
        <f t="shared" ca="1" si="13"/>
        <v>110.80224249999999</v>
      </c>
      <c r="AT16" s="41">
        <f t="shared" ca="1" si="13"/>
        <v>110.80224249999999</v>
      </c>
      <c r="AU16" s="74">
        <f t="shared" ca="1" si="14"/>
        <v>1329.62691</v>
      </c>
    </row>
    <row r="17" spans="1:211" ht="15" customHeight="1" thickBot="1" x14ac:dyDescent="0.25">
      <c r="B17" s="39" t="s">
        <v>18</v>
      </c>
      <c r="C17" s="40" t="s">
        <v>26</v>
      </c>
      <c r="D17" s="38">
        <f t="shared" ca="1" si="6"/>
        <v>0</v>
      </c>
      <c r="E17" s="38">
        <f t="shared" ca="1" si="6"/>
        <v>0</v>
      </c>
      <c r="F17" s="38">
        <f t="shared" ca="1" si="6"/>
        <v>0</v>
      </c>
      <c r="G17" s="38">
        <f t="shared" ca="1" si="6"/>
        <v>0</v>
      </c>
      <c r="H17" s="38">
        <f t="shared" ca="1" si="6"/>
        <v>0</v>
      </c>
      <c r="I17" s="38">
        <f t="shared" ca="1" si="6"/>
        <v>0</v>
      </c>
      <c r="J17" s="38">
        <f t="shared" ca="1" si="6"/>
        <v>0</v>
      </c>
      <c r="K17" s="38">
        <f t="shared" ca="1" si="6"/>
        <v>0</v>
      </c>
      <c r="L17" s="38">
        <f t="shared" ca="1" si="6"/>
        <v>0</v>
      </c>
      <c r="M17" s="38">
        <f t="shared" ca="1" si="6"/>
        <v>0</v>
      </c>
      <c r="N17" s="38">
        <f t="shared" ca="1" si="7"/>
        <v>0</v>
      </c>
      <c r="O17" s="38">
        <f t="shared" ca="1" si="7"/>
        <v>0</v>
      </c>
      <c r="P17" s="38">
        <f t="shared" ca="1" si="7"/>
        <v>0</v>
      </c>
      <c r="Q17" s="38">
        <f t="shared" ca="1" si="7"/>
        <v>0</v>
      </c>
      <c r="R17" s="38">
        <f t="shared" ca="1" si="7"/>
        <v>0</v>
      </c>
      <c r="S17" s="38">
        <f t="shared" ca="1" si="7"/>
        <v>0</v>
      </c>
      <c r="T17" s="38">
        <f t="shared" ca="1" si="7"/>
        <v>0</v>
      </c>
      <c r="U17" s="38">
        <f t="shared" ca="1" si="7"/>
        <v>0</v>
      </c>
      <c r="V17" s="38">
        <f t="shared" ca="1" si="7"/>
        <v>0</v>
      </c>
      <c r="W17" s="38">
        <f t="shared" ca="1" si="7"/>
        <v>0</v>
      </c>
      <c r="X17" s="38">
        <f t="shared" ca="1" si="7"/>
        <v>0</v>
      </c>
      <c r="Y17" s="38">
        <f t="shared" ca="1" si="7"/>
        <v>0</v>
      </c>
      <c r="Z17" s="38">
        <f t="shared" ca="1" si="7"/>
        <v>0</v>
      </c>
      <c r="AA17" s="38">
        <f t="shared" ca="1" si="7"/>
        <v>0</v>
      </c>
      <c r="AB17" s="72">
        <f t="shared" ca="1" si="11"/>
        <v>0</v>
      </c>
      <c r="AC17" s="77">
        <f t="shared" ca="1" si="8"/>
        <v>0</v>
      </c>
      <c r="AD17" s="77">
        <f t="shared" ca="1" si="9"/>
        <v>0</v>
      </c>
      <c r="AE17" s="77">
        <v>-0.5</v>
      </c>
      <c r="AF17" s="77">
        <v>0.5</v>
      </c>
      <c r="AG17" s="77">
        <v>-1</v>
      </c>
      <c r="AH17" s="79">
        <f t="shared" ca="1" si="10"/>
        <v>-1</v>
      </c>
      <c r="AI17" s="45">
        <f t="shared" ca="1" si="12"/>
        <v>0</v>
      </c>
      <c r="AJ17" s="41">
        <f t="shared" ca="1" si="12"/>
        <v>0</v>
      </c>
      <c r="AK17" s="41">
        <f t="shared" ca="1" si="12"/>
        <v>0</v>
      </c>
      <c r="AL17" s="41">
        <f t="shared" ca="1" si="12"/>
        <v>0</v>
      </c>
      <c r="AM17" s="41">
        <f t="shared" ca="1" si="12"/>
        <v>0</v>
      </c>
      <c r="AN17" s="41">
        <f t="shared" ca="1" si="12"/>
        <v>0</v>
      </c>
      <c r="AO17" s="41">
        <f t="shared" ca="1" si="12"/>
        <v>0</v>
      </c>
      <c r="AP17" s="41">
        <f t="shared" ca="1" si="12"/>
        <v>0</v>
      </c>
      <c r="AQ17" s="41">
        <f t="shared" ca="1" si="13"/>
        <v>0</v>
      </c>
      <c r="AR17" s="41">
        <f t="shared" ca="1" si="13"/>
        <v>0</v>
      </c>
      <c r="AS17" s="41">
        <f t="shared" ca="1" si="13"/>
        <v>0</v>
      </c>
      <c r="AT17" s="41">
        <f t="shared" ca="1" si="13"/>
        <v>0</v>
      </c>
      <c r="AU17" s="74">
        <f t="shared" ca="1" si="14"/>
        <v>0</v>
      </c>
    </row>
    <row r="18" spans="1:211" ht="15" customHeight="1" thickBot="1" x14ac:dyDescent="0.25">
      <c r="B18" s="39" t="s">
        <v>19</v>
      </c>
      <c r="C18" s="40" t="s">
        <v>27</v>
      </c>
      <c r="D18" s="38">
        <f t="shared" ca="1" si="6"/>
        <v>11.6373</v>
      </c>
      <c r="E18" s="38">
        <f t="shared" ca="1" si="6"/>
        <v>11.86891</v>
      </c>
      <c r="F18" s="38">
        <f t="shared" ca="1" si="6"/>
        <v>12.07963</v>
      </c>
      <c r="G18" s="38">
        <f t="shared" ca="1" si="6"/>
        <v>11.324440000000001</v>
      </c>
      <c r="H18" s="38">
        <f t="shared" ca="1" si="6"/>
        <v>10.815719999999999</v>
      </c>
      <c r="I18" s="38">
        <f t="shared" ca="1" si="6"/>
        <v>93.836669999999998</v>
      </c>
      <c r="J18" s="38">
        <f t="shared" ca="1" si="6"/>
        <v>9.070549999999999</v>
      </c>
      <c r="K18" s="38">
        <f t="shared" ca="1" si="6"/>
        <v>8.4828500000000009</v>
      </c>
      <c r="L18" s="38">
        <f t="shared" ca="1" si="6"/>
        <v>8.3544300000000007</v>
      </c>
      <c r="M18" s="38">
        <f t="shared" ca="1" si="6"/>
        <v>8.15259</v>
      </c>
      <c r="N18" s="38">
        <f t="shared" ca="1" si="7"/>
        <v>8.0033799999999999</v>
      </c>
      <c r="O18" s="38">
        <f t="shared" ca="1" si="7"/>
        <v>9.4857300000000002</v>
      </c>
      <c r="P18" s="38">
        <f t="shared" ca="1" si="7"/>
        <v>73.405710000000013</v>
      </c>
      <c r="Q18" s="38">
        <f t="shared" ca="1" si="7"/>
        <v>10.996649999999999</v>
      </c>
      <c r="R18" s="38">
        <f t="shared" ca="1" si="7"/>
        <v>10.866879999999998</v>
      </c>
      <c r="S18" s="38">
        <f t="shared" ca="1" si="7"/>
        <v>9.5736000000000008</v>
      </c>
      <c r="T18" s="38">
        <f t="shared" ca="1" si="7"/>
        <v>9.5068799999999989</v>
      </c>
      <c r="U18" s="38">
        <f t="shared" ca="1" si="7"/>
        <v>63.650220000000004</v>
      </c>
      <c r="V18" s="38">
        <f t="shared" ca="1" si="7"/>
        <v>5.58535</v>
      </c>
      <c r="W18" s="38">
        <f t="shared" ca="1" si="7"/>
        <v>4.85982</v>
      </c>
      <c r="X18" s="38">
        <f t="shared" ca="1" si="7"/>
        <v>3.9747199999999996</v>
      </c>
      <c r="Y18" s="38">
        <f t="shared" ca="1" si="7"/>
        <v>3.3685700000000001</v>
      </c>
      <c r="Z18" s="38">
        <f t="shared" ca="1" si="7"/>
        <v>3.2081500000000003</v>
      </c>
      <c r="AA18" s="38">
        <f t="shared" ca="1" si="7"/>
        <v>2.2499000000000002</v>
      </c>
      <c r="AB18" s="72">
        <f t="shared" ca="1" si="11"/>
        <v>201.24645000000001</v>
      </c>
      <c r="AC18" s="77">
        <f t="shared" ca="1" si="8"/>
        <v>-0.549045161032506</v>
      </c>
      <c r="AD18" s="77">
        <f t="shared" ca="1" si="9"/>
        <v>-9.1858096165566838E-3</v>
      </c>
      <c r="AE18" s="77">
        <v>-0.5</v>
      </c>
      <c r="AF18" s="77">
        <v>0.5</v>
      </c>
      <c r="AG18" s="77">
        <v>0</v>
      </c>
      <c r="AH18" s="79">
        <f t="shared" ca="1" si="10"/>
        <v>0</v>
      </c>
      <c r="AI18" s="45">
        <f t="shared" ca="1" si="12"/>
        <v>16.7705375</v>
      </c>
      <c r="AJ18" s="41">
        <f t="shared" ca="1" si="12"/>
        <v>16.7705375</v>
      </c>
      <c r="AK18" s="41">
        <f t="shared" ca="1" si="12"/>
        <v>16.7705375</v>
      </c>
      <c r="AL18" s="41">
        <f t="shared" ca="1" si="12"/>
        <v>16.7705375</v>
      </c>
      <c r="AM18" s="41">
        <f t="shared" ca="1" si="12"/>
        <v>16.7705375</v>
      </c>
      <c r="AN18" s="41">
        <f t="shared" ca="1" si="12"/>
        <v>16.7705375</v>
      </c>
      <c r="AO18" s="41">
        <f t="shared" ca="1" si="12"/>
        <v>16.7705375</v>
      </c>
      <c r="AP18" s="41">
        <f t="shared" ca="1" si="12"/>
        <v>16.7705375</v>
      </c>
      <c r="AQ18" s="41">
        <f t="shared" ca="1" si="13"/>
        <v>16.7705375</v>
      </c>
      <c r="AR18" s="41">
        <f t="shared" ca="1" si="13"/>
        <v>16.7705375</v>
      </c>
      <c r="AS18" s="41">
        <f t="shared" ca="1" si="13"/>
        <v>16.7705375</v>
      </c>
      <c r="AT18" s="41">
        <f t="shared" ca="1" si="13"/>
        <v>16.7705375</v>
      </c>
      <c r="AU18" s="74">
        <f t="shared" ca="1" si="14"/>
        <v>201.24644999999995</v>
      </c>
    </row>
    <row r="19" spans="1:211" ht="15" customHeight="1" thickBot="1" x14ac:dyDescent="0.25">
      <c r="B19" s="39" t="s">
        <v>20</v>
      </c>
      <c r="C19" s="40" t="s">
        <v>28</v>
      </c>
      <c r="D19" s="38">
        <f t="shared" ref="D19:M25" ca="1" si="15">AbraTurnover(URL,Username,Password,$C19,D$6,D$7)/1000</f>
        <v>0</v>
      </c>
      <c r="E19" s="38">
        <f t="shared" ca="1" si="15"/>
        <v>0</v>
      </c>
      <c r="F19" s="38">
        <f t="shared" ca="1" si="15"/>
        <v>0</v>
      </c>
      <c r="G19" s="38">
        <f t="shared" ca="1" si="15"/>
        <v>0</v>
      </c>
      <c r="H19" s="38">
        <f t="shared" ca="1" si="15"/>
        <v>0</v>
      </c>
      <c r="I19" s="38">
        <f t="shared" ca="1" si="15"/>
        <v>64.750950000000003</v>
      </c>
      <c r="J19" s="38">
        <f t="shared" ca="1" si="15"/>
        <v>0</v>
      </c>
      <c r="K19" s="38">
        <f t="shared" ca="1" si="15"/>
        <v>0</v>
      </c>
      <c r="L19" s="38">
        <f t="shared" ca="1" si="15"/>
        <v>0.54596</v>
      </c>
      <c r="M19" s="38">
        <f t="shared" ca="1" si="15"/>
        <v>0</v>
      </c>
      <c r="N19" s="38">
        <f t="shared" ref="N19:AA25" ca="1" si="16">AbraTurnover(URL,Username,Password,$C19,N$6,N$7)/1000</f>
        <v>0</v>
      </c>
      <c r="O19" s="38">
        <f t="shared" ca="1" si="16"/>
        <v>0</v>
      </c>
      <c r="P19" s="38">
        <f t="shared" ca="1" si="16"/>
        <v>0</v>
      </c>
      <c r="Q19" s="38">
        <f t="shared" ca="1" si="16"/>
        <v>0</v>
      </c>
      <c r="R19" s="38">
        <f t="shared" ca="1" si="16"/>
        <v>2.36294</v>
      </c>
      <c r="S19" s="38">
        <f t="shared" ca="1" si="16"/>
        <v>0</v>
      </c>
      <c r="T19" s="38">
        <f t="shared" ca="1" si="16"/>
        <v>1.09E-2</v>
      </c>
      <c r="U19" s="38">
        <f t="shared" ca="1" si="16"/>
        <v>16.121980000000001</v>
      </c>
      <c r="V19" s="38">
        <f t="shared" ca="1" si="16"/>
        <v>-9.7959999999999992E-2</v>
      </c>
      <c r="W19" s="38">
        <f t="shared" ca="1" si="16"/>
        <v>-0.56996000000000002</v>
      </c>
      <c r="X19" s="38">
        <f t="shared" ca="1" si="16"/>
        <v>6.1826999999999996</v>
      </c>
      <c r="Y19" s="38">
        <f t="shared" ca="1" si="16"/>
        <v>0</v>
      </c>
      <c r="Z19" s="38">
        <f t="shared" ca="1" si="16"/>
        <v>2.954E-2</v>
      </c>
      <c r="AA19" s="38">
        <f t="shared" ca="1" si="16"/>
        <v>1.6460000000000002E-2</v>
      </c>
      <c r="AB19" s="72">
        <f ca="1">SUM(P19:AA19)</f>
        <v>24.0566</v>
      </c>
      <c r="AC19" s="77">
        <f t="shared" ca="1" si="8"/>
        <v>9.1853249322294683</v>
      </c>
      <c r="AD19" s="77">
        <f t="shared" ca="1" si="9"/>
        <v>-0.63158134129164756</v>
      </c>
      <c r="AE19" s="77">
        <v>-0.5</v>
      </c>
      <c r="AF19" s="77">
        <v>0.5</v>
      </c>
      <c r="AG19" s="77">
        <v>0</v>
      </c>
      <c r="AH19" s="79">
        <f t="shared" ca="1" si="10"/>
        <v>0</v>
      </c>
      <c r="AI19" s="45">
        <f t="shared" ca="1" si="12"/>
        <v>2.0047166666666665</v>
      </c>
      <c r="AJ19" s="41">
        <f t="shared" ca="1" si="12"/>
        <v>2.0047166666666665</v>
      </c>
      <c r="AK19" s="41">
        <f t="shared" ca="1" si="12"/>
        <v>2.0047166666666665</v>
      </c>
      <c r="AL19" s="41">
        <f t="shared" ca="1" si="12"/>
        <v>2.0047166666666665</v>
      </c>
      <c r="AM19" s="41">
        <f t="shared" ca="1" si="12"/>
        <v>2.0047166666666665</v>
      </c>
      <c r="AN19" s="41">
        <f t="shared" ca="1" si="12"/>
        <v>2.0047166666666665</v>
      </c>
      <c r="AO19" s="41">
        <f t="shared" ca="1" si="12"/>
        <v>2.0047166666666665</v>
      </c>
      <c r="AP19" s="41">
        <f t="shared" ca="1" si="12"/>
        <v>2.0047166666666665</v>
      </c>
      <c r="AQ19" s="41">
        <f t="shared" ca="1" si="13"/>
        <v>2.0047166666666665</v>
      </c>
      <c r="AR19" s="41">
        <f t="shared" ca="1" si="13"/>
        <v>2.0047166666666665</v>
      </c>
      <c r="AS19" s="41">
        <f t="shared" ca="1" si="13"/>
        <v>2.0047166666666665</v>
      </c>
      <c r="AT19" s="41">
        <f t="shared" ca="1" si="13"/>
        <v>2.0047166666666665</v>
      </c>
      <c r="AU19" s="74">
        <f t="shared" ca="1" si="14"/>
        <v>24.0566</v>
      </c>
    </row>
    <row r="20" spans="1:211" ht="15" customHeight="1" thickBot="1" x14ac:dyDescent="0.25">
      <c r="B20" s="39" t="s">
        <v>21</v>
      </c>
      <c r="C20" s="40" t="s">
        <v>29</v>
      </c>
      <c r="D20" s="38">
        <f t="shared" ca="1" si="15"/>
        <v>0</v>
      </c>
      <c r="E20" s="38">
        <f t="shared" ca="1" si="15"/>
        <v>0</v>
      </c>
      <c r="F20" s="38">
        <f t="shared" ca="1" si="15"/>
        <v>0</v>
      </c>
      <c r="G20" s="38">
        <f t="shared" ca="1" si="15"/>
        <v>0</v>
      </c>
      <c r="H20" s="38">
        <f t="shared" ca="1" si="15"/>
        <v>0</v>
      </c>
      <c r="I20" s="38">
        <f t="shared" ca="1" si="15"/>
        <v>0</v>
      </c>
      <c r="J20" s="38">
        <f t="shared" ca="1" si="15"/>
        <v>0</v>
      </c>
      <c r="K20" s="38">
        <f t="shared" ca="1" si="15"/>
        <v>0</v>
      </c>
      <c r="L20" s="38">
        <f t="shared" ca="1" si="15"/>
        <v>0</v>
      </c>
      <c r="M20" s="38">
        <f t="shared" ca="1" si="15"/>
        <v>0</v>
      </c>
      <c r="N20" s="38">
        <f t="shared" ca="1" si="16"/>
        <v>0</v>
      </c>
      <c r="O20" s="38">
        <f t="shared" ca="1" si="16"/>
        <v>0</v>
      </c>
      <c r="P20" s="38">
        <f t="shared" ca="1" si="16"/>
        <v>0</v>
      </c>
      <c r="Q20" s="38">
        <f t="shared" ca="1" si="16"/>
        <v>0</v>
      </c>
      <c r="R20" s="38">
        <f t="shared" ca="1" si="16"/>
        <v>0</v>
      </c>
      <c r="S20" s="38">
        <f t="shared" ca="1" si="16"/>
        <v>0</v>
      </c>
      <c r="T20" s="38">
        <f t="shared" ca="1" si="16"/>
        <v>0</v>
      </c>
      <c r="U20" s="38">
        <f t="shared" ca="1" si="16"/>
        <v>0</v>
      </c>
      <c r="V20" s="38">
        <f t="shared" ca="1" si="16"/>
        <v>0</v>
      </c>
      <c r="W20" s="38">
        <f t="shared" ca="1" si="16"/>
        <v>0</v>
      </c>
      <c r="X20" s="38">
        <f t="shared" ca="1" si="16"/>
        <v>0</v>
      </c>
      <c r="Y20" s="38">
        <f t="shared" ca="1" si="16"/>
        <v>0</v>
      </c>
      <c r="Z20" s="38">
        <f t="shared" ca="1" si="16"/>
        <v>0</v>
      </c>
      <c r="AA20" s="38">
        <f t="shared" ca="1" si="16"/>
        <v>0</v>
      </c>
      <c r="AB20" s="72">
        <f t="shared" ca="1" si="11"/>
        <v>0</v>
      </c>
      <c r="AC20" s="77">
        <f t="shared" ca="1" si="8"/>
        <v>0</v>
      </c>
      <c r="AD20" s="77">
        <f t="shared" ca="1" si="9"/>
        <v>0</v>
      </c>
      <c r="AE20" s="77">
        <v>-0.5</v>
      </c>
      <c r="AF20" s="77">
        <v>0.5</v>
      </c>
      <c r="AG20" s="77">
        <v>0</v>
      </c>
      <c r="AH20" s="79">
        <f t="shared" ca="1" si="10"/>
        <v>0</v>
      </c>
      <c r="AI20" s="45">
        <f t="shared" ca="1" si="12"/>
        <v>0</v>
      </c>
      <c r="AJ20" s="41">
        <f t="shared" ca="1" si="12"/>
        <v>0</v>
      </c>
      <c r="AK20" s="41">
        <f t="shared" ca="1" si="12"/>
        <v>0</v>
      </c>
      <c r="AL20" s="41">
        <f t="shared" ca="1" si="12"/>
        <v>0</v>
      </c>
      <c r="AM20" s="41">
        <f t="shared" ca="1" si="12"/>
        <v>0</v>
      </c>
      <c r="AN20" s="41">
        <f t="shared" ca="1" si="12"/>
        <v>0</v>
      </c>
      <c r="AO20" s="41">
        <f t="shared" ca="1" si="12"/>
        <v>0</v>
      </c>
      <c r="AP20" s="41">
        <f t="shared" ca="1" si="12"/>
        <v>0</v>
      </c>
      <c r="AQ20" s="41">
        <f t="shared" ca="1" si="13"/>
        <v>0</v>
      </c>
      <c r="AR20" s="41">
        <f t="shared" ca="1" si="13"/>
        <v>0</v>
      </c>
      <c r="AS20" s="41">
        <f t="shared" ca="1" si="13"/>
        <v>0</v>
      </c>
      <c r="AT20" s="41">
        <f t="shared" ca="1" si="13"/>
        <v>0</v>
      </c>
      <c r="AU20" s="74">
        <f t="shared" ca="1" si="14"/>
        <v>0</v>
      </c>
    </row>
    <row r="21" spans="1:211" ht="15" customHeight="1" thickBot="1" x14ac:dyDescent="0.25">
      <c r="B21" s="39" t="s">
        <v>22</v>
      </c>
      <c r="C21" s="40" t="s">
        <v>30</v>
      </c>
      <c r="D21" s="38">
        <f t="shared" ca="1" si="15"/>
        <v>0</v>
      </c>
      <c r="E21" s="38">
        <f t="shared" ca="1" si="15"/>
        <v>0</v>
      </c>
      <c r="F21" s="38">
        <f t="shared" ca="1" si="15"/>
        <v>0</v>
      </c>
      <c r="G21" s="38">
        <f t="shared" ca="1" si="15"/>
        <v>0</v>
      </c>
      <c r="H21" s="38">
        <f t="shared" ca="1" si="15"/>
        <v>0</v>
      </c>
      <c r="I21" s="38">
        <f t="shared" ca="1" si="15"/>
        <v>0</v>
      </c>
      <c r="J21" s="38">
        <f t="shared" ca="1" si="15"/>
        <v>0</v>
      </c>
      <c r="K21" s="38">
        <f t="shared" ca="1" si="15"/>
        <v>0</v>
      </c>
      <c r="L21" s="38">
        <f t="shared" ca="1" si="15"/>
        <v>0</v>
      </c>
      <c r="M21" s="38">
        <f t="shared" ca="1" si="15"/>
        <v>0</v>
      </c>
      <c r="N21" s="38">
        <f t="shared" ca="1" si="16"/>
        <v>0</v>
      </c>
      <c r="O21" s="38">
        <f t="shared" ca="1" si="16"/>
        <v>0</v>
      </c>
      <c r="P21" s="38">
        <f t="shared" ca="1" si="16"/>
        <v>0</v>
      </c>
      <c r="Q21" s="38">
        <f t="shared" ca="1" si="16"/>
        <v>0</v>
      </c>
      <c r="R21" s="38">
        <f t="shared" ca="1" si="16"/>
        <v>0</v>
      </c>
      <c r="S21" s="38">
        <f t="shared" ca="1" si="16"/>
        <v>0</v>
      </c>
      <c r="T21" s="38">
        <f t="shared" ca="1" si="16"/>
        <v>0</v>
      </c>
      <c r="U21" s="38">
        <f t="shared" ca="1" si="16"/>
        <v>0</v>
      </c>
      <c r="V21" s="38">
        <f t="shared" ca="1" si="16"/>
        <v>0</v>
      </c>
      <c r="W21" s="38">
        <f t="shared" ca="1" si="16"/>
        <v>0</v>
      </c>
      <c r="X21" s="38">
        <f t="shared" ca="1" si="16"/>
        <v>0</v>
      </c>
      <c r="Y21" s="38">
        <f t="shared" ca="1" si="16"/>
        <v>0</v>
      </c>
      <c r="Z21" s="38">
        <f t="shared" ca="1" si="16"/>
        <v>0</v>
      </c>
      <c r="AA21" s="38">
        <f t="shared" ca="1" si="16"/>
        <v>0</v>
      </c>
      <c r="AB21" s="72">
        <f t="shared" ca="1" si="11"/>
        <v>0</v>
      </c>
      <c r="AC21" s="77">
        <f t="shared" ca="1" si="8"/>
        <v>0</v>
      </c>
      <c r="AD21" s="77">
        <f t="shared" ca="1" si="9"/>
        <v>0</v>
      </c>
      <c r="AE21" s="77">
        <v>-0.5</v>
      </c>
      <c r="AF21" s="77">
        <v>0.5</v>
      </c>
      <c r="AG21" s="77">
        <v>0</v>
      </c>
      <c r="AH21" s="79">
        <f t="shared" ca="1" si="10"/>
        <v>0</v>
      </c>
      <c r="AI21" s="45">
        <f t="shared" ca="1" si="12"/>
        <v>0</v>
      </c>
      <c r="AJ21" s="41">
        <f t="shared" ca="1" si="12"/>
        <v>0</v>
      </c>
      <c r="AK21" s="41">
        <f t="shared" ca="1" si="12"/>
        <v>0</v>
      </c>
      <c r="AL21" s="41">
        <f t="shared" ca="1" si="12"/>
        <v>0</v>
      </c>
      <c r="AM21" s="41">
        <f t="shared" ca="1" si="12"/>
        <v>0</v>
      </c>
      <c r="AN21" s="41">
        <f t="shared" ca="1" si="12"/>
        <v>0</v>
      </c>
      <c r="AO21" s="41">
        <f t="shared" ca="1" si="12"/>
        <v>0</v>
      </c>
      <c r="AP21" s="41">
        <f t="shared" ca="1" si="12"/>
        <v>0</v>
      </c>
      <c r="AQ21" s="41">
        <f t="shared" ca="1" si="13"/>
        <v>0</v>
      </c>
      <c r="AR21" s="41">
        <f t="shared" ca="1" si="13"/>
        <v>0</v>
      </c>
      <c r="AS21" s="41">
        <f t="shared" ca="1" si="13"/>
        <v>0</v>
      </c>
      <c r="AT21" s="41">
        <f t="shared" ca="1" si="13"/>
        <v>0</v>
      </c>
      <c r="AU21" s="74">
        <f t="shared" ca="1" si="14"/>
        <v>0</v>
      </c>
    </row>
    <row r="22" spans="1:211" ht="15" customHeight="1" thickBot="1" x14ac:dyDescent="0.25">
      <c r="B22" s="39" t="s">
        <v>23</v>
      </c>
      <c r="C22" s="40" t="s">
        <v>31</v>
      </c>
      <c r="D22" s="38">
        <f t="shared" ca="1" si="15"/>
        <v>0</v>
      </c>
      <c r="E22" s="38">
        <f t="shared" ca="1" si="15"/>
        <v>0</v>
      </c>
      <c r="F22" s="38">
        <f t="shared" ca="1" si="15"/>
        <v>0</v>
      </c>
      <c r="G22" s="38">
        <f t="shared" ca="1" si="15"/>
        <v>0</v>
      </c>
      <c r="H22" s="38">
        <f t="shared" ca="1" si="15"/>
        <v>0</v>
      </c>
      <c r="I22" s="38">
        <f t="shared" ca="1" si="15"/>
        <v>0</v>
      </c>
      <c r="J22" s="38">
        <f t="shared" ca="1" si="15"/>
        <v>0</v>
      </c>
      <c r="K22" s="38">
        <f t="shared" ca="1" si="15"/>
        <v>0</v>
      </c>
      <c r="L22" s="38">
        <f t="shared" ca="1" si="15"/>
        <v>0</v>
      </c>
      <c r="M22" s="38">
        <f t="shared" ca="1" si="15"/>
        <v>0</v>
      </c>
      <c r="N22" s="38">
        <f t="shared" ca="1" si="16"/>
        <v>0</v>
      </c>
      <c r="O22" s="38">
        <f t="shared" ca="1" si="16"/>
        <v>0</v>
      </c>
      <c r="P22" s="38">
        <f t="shared" ca="1" si="16"/>
        <v>0</v>
      </c>
      <c r="Q22" s="38">
        <f t="shared" ca="1" si="16"/>
        <v>0</v>
      </c>
      <c r="R22" s="38">
        <f t="shared" ca="1" si="16"/>
        <v>0</v>
      </c>
      <c r="S22" s="38">
        <f t="shared" ca="1" si="16"/>
        <v>0</v>
      </c>
      <c r="T22" s="38">
        <f t="shared" ca="1" si="16"/>
        <v>0</v>
      </c>
      <c r="U22" s="38">
        <f t="shared" ca="1" si="16"/>
        <v>0</v>
      </c>
      <c r="V22" s="38">
        <f t="shared" ca="1" si="16"/>
        <v>0</v>
      </c>
      <c r="W22" s="38">
        <f t="shared" ca="1" si="16"/>
        <v>0</v>
      </c>
      <c r="X22" s="38">
        <f t="shared" ca="1" si="16"/>
        <v>0</v>
      </c>
      <c r="Y22" s="38">
        <f t="shared" ca="1" si="16"/>
        <v>0</v>
      </c>
      <c r="Z22" s="38">
        <f t="shared" ca="1" si="16"/>
        <v>0</v>
      </c>
      <c r="AA22" s="38">
        <f t="shared" ca="1" si="16"/>
        <v>0</v>
      </c>
      <c r="AB22" s="72">
        <f t="shared" ca="1" si="11"/>
        <v>0</v>
      </c>
      <c r="AC22" s="77">
        <f t="shared" ca="1" si="8"/>
        <v>0</v>
      </c>
      <c r="AD22" s="77">
        <f t="shared" ca="1" si="9"/>
        <v>0</v>
      </c>
      <c r="AE22" s="77">
        <v>-0.5</v>
      </c>
      <c r="AF22" s="77">
        <v>0.5</v>
      </c>
      <c r="AG22" s="77">
        <v>0</v>
      </c>
      <c r="AH22" s="79">
        <f t="shared" ca="1" si="10"/>
        <v>0</v>
      </c>
      <c r="AI22" s="45">
        <f t="shared" ca="1" si="12"/>
        <v>0</v>
      </c>
      <c r="AJ22" s="41">
        <f t="shared" ca="1" si="12"/>
        <v>0</v>
      </c>
      <c r="AK22" s="41">
        <f t="shared" ca="1" si="12"/>
        <v>0</v>
      </c>
      <c r="AL22" s="41">
        <f t="shared" ca="1" si="12"/>
        <v>0</v>
      </c>
      <c r="AM22" s="41">
        <f t="shared" ca="1" si="12"/>
        <v>0</v>
      </c>
      <c r="AN22" s="41">
        <f t="shared" ca="1" si="12"/>
        <v>0</v>
      </c>
      <c r="AO22" s="41">
        <f t="shared" ca="1" si="12"/>
        <v>0</v>
      </c>
      <c r="AP22" s="41">
        <f t="shared" ca="1" si="12"/>
        <v>0</v>
      </c>
      <c r="AQ22" s="41">
        <f t="shared" ca="1" si="13"/>
        <v>0</v>
      </c>
      <c r="AR22" s="41">
        <f t="shared" ca="1" si="13"/>
        <v>0</v>
      </c>
      <c r="AS22" s="41">
        <f t="shared" ca="1" si="13"/>
        <v>0</v>
      </c>
      <c r="AT22" s="41">
        <f t="shared" ca="1" si="13"/>
        <v>0</v>
      </c>
      <c r="AU22" s="74">
        <f t="shared" ca="1" si="14"/>
        <v>0</v>
      </c>
    </row>
    <row r="23" spans="1:211" ht="15" customHeight="1" thickBot="1" x14ac:dyDescent="0.25">
      <c r="B23" s="39" t="s">
        <v>24</v>
      </c>
      <c r="C23" s="40" t="s">
        <v>32</v>
      </c>
      <c r="D23" s="38">
        <f t="shared" ca="1" si="15"/>
        <v>0</v>
      </c>
      <c r="E23" s="38">
        <f t="shared" ca="1" si="15"/>
        <v>0</v>
      </c>
      <c r="F23" s="38">
        <f t="shared" ca="1" si="15"/>
        <v>0</v>
      </c>
      <c r="G23" s="38">
        <f t="shared" ca="1" si="15"/>
        <v>0</v>
      </c>
      <c r="H23" s="38">
        <f t="shared" ca="1" si="15"/>
        <v>0</v>
      </c>
      <c r="I23" s="38">
        <f t="shared" ca="1" si="15"/>
        <v>0</v>
      </c>
      <c r="J23" s="38">
        <f t="shared" ca="1" si="15"/>
        <v>0</v>
      </c>
      <c r="K23" s="38">
        <f t="shared" ca="1" si="15"/>
        <v>0</v>
      </c>
      <c r="L23" s="38">
        <f t="shared" ca="1" si="15"/>
        <v>0</v>
      </c>
      <c r="M23" s="38">
        <f t="shared" ca="1" si="15"/>
        <v>0</v>
      </c>
      <c r="N23" s="38">
        <f t="shared" ca="1" si="16"/>
        <v>0</v>
      </c>
      <c r="O23" s="38">
        <f t="shared" ca="1" si="16"/>
        <v>0</v>
      </c>
      <c r="P23" s="38">
        <f t="shared" ca="1" si="16"/>
        <v>0</v>
      </c>
      <c r="Q23" s="38">
        <f t="shared" ca="1" si="16"/>
        <v>0</v>
      </c>
      <c r="R23" s="38">
        <f t="shared" ca="1" si="16"/>
        <v>0</v>
      </c>
      <c r="S23" s="38">
        <f t="shared" ca="1" si="16"/>
        <v>0</v>
      </c>
      <c r="T23" s="38">
        <f t="shared" ca="1" si="16"/>
        <v>0</v>
      </c>
      <c r="U23" s="38">
        <f t="shared" ca="1" si="16"/>
        <v>0</v>
      </c>
      <c r="V23" s="38">
        <f t="shared" ca="1" si="16"/>
        <v>0</v>
      </c>
      <c r="W23" s="38">
        <f t="shared" ca="1" si="16"/>
        <v>0</v>
      </c>
      <c r="X23" s="38">
        <f t="shared" ca="1" si="16"/>
        <v>0</v>
      </c>
      <c r="Y23" s="38">
        <f t="shared" ca="1" si="16"/>
        <v>0</v>
      </c>
      <c r="Z23" s="38">
        <f t="shared" ca="1" si="16"/>
        <v>0</v>
      </c>
      <c r="AA23" s="38">
        <f t="shared" ca="1" si="16"/>
        <v>0</v>
      </c>
      <c r="AB23" s="72">
        <f t="shared" ca="1" si="11"/>
        <v>0</v>
      </c>
      <c r="AC23" s="77">
        <f t="shared" ca="1" si="8"/>
        <v>0</v>
      </c>
      <c r="AD23" s="77">
        <f t="shared" ca="1" si="9"/>
        <v>0</v>
      </c>
      <c r="AE23" s="77">
        <v>-0.5</v>
      </c>
      <c r="AF23" s="77">
        <v>0.5</v>
      </c>
      <c r="AG23" s="77">
        <v>0</v>
      </c>
      <c r="AH23" s="79">
        <f t="shared" ca="1" si="10"/>
        <v>0</v>
      </c>
      <c r="AI23" s="45">
        <f t="shared" ca="1" si="12"/>
        <v>0</v>
      </c>
      <c r="AJ23" s="41">
        <f t="shared" ca="1" si="12"/>
        <v>0</v>
      </c>
      <c r="AK23" s="41">
        <f t="shared" ca="1" si="12"/>
        <v>0</v>
      </c>
      <c r="AL23" s="41">
        <f t="shared" ca="1" si="12"/>
        <v>0</v>
      </c>
      <c r="AM23" s="41">
        <f t="shared" ca="1" si="12"/>
        <v>0</v>
      </c>
      <c r="AN23" s="41">
        <f t="shared" ca="1" si="12"/>
        <v>0</v>
      </c>
      <c r="AO23" s="41">
        <f t="shared" ca="1" si="12"/>
        <v>0</v>
      </c>
      <c r="AP23" s="41">
        <f t="shared" ca="1" si="12"/>
        <v>0</v>
      </c>
      <c r="AQ23" s="41">
        <f t="shared" ca="1" si="13"/>
        <v>0</v>
      </c>
      <c r="AR23" s="41">
        <f t="shared" ca="1" si="13"/>
        <v>0</v>
      </c>
      <c r="AS23" s="41">
        <f t="shared" ca="1" si="13"/>
        <v>0</v>
      </c>
      <c r="AT23" s="41">
        <f t="shared" ca="1" si="13"/>
        <v>0</v>
      </c>
      <c r="AU23" s="74">
        <f t="shared" ca="1" si="14"/>
        <v>0</v>
      </c>
    </row>
    <row r="24" spans="1:211" ht="15" customHeight="1" thickBot="1" x14ac:dyDescent="0.25">
      <c r="B24" s="39" t="s">
        <v>25</v>
      </c>
      <c r="C24" s="40" t="s">
        <v>33</v>
      </c>
      <c r="D24" s="38">
        <f t="shared" ca="1" si="15"/>
        <v>0</v>
      </c>
      <c r="E24" s="38">
        <f t="shared" ca="1" si="15"/>
        <v>0</v>
      </c>
      <c r="F24" s="38">
        <f t="shared" ca="1" si="15"/>
        <v>0</v>
      </c>
      <c r="G24" s="38">
        <f t="shared" ca="1" si="15"/>
        <v>0</v>
      </c>
      <c r="H24" s="38">
        <f t="shared" ca="1" si="15"/>
        <v>0</v>
      </c>
      <c r="I24" s="38">
        <f t="shared" ca="1" si="15"/>
        <v>0</v>
      </c>
      <c r="J24" s="38">
        <f t="shared" ca="1" si="15"/>
        <v>0</v>
      </c>
      <c r="K24" s="38">
        <f t="shared" ca="1" si="15"/>
        <v>0</v>
      </c>
      <c r="L24" s="38">
        <f t="shared" ca="1" si="15"/>
        <v>0</v>
      </c>
      <c r="M24" s="38">
        <f t="shared" ca="1" si="15"/>
        <v>0</v>
      </c>
      <c r="N24" s="38">
        <f t="shared" ca="1" si="16"/>
        <v>0</v>
      </c>
      <c r="O24" s="38">
        <f t="shared" ca="1" si="16"/>
        <v>829.70368000000008</v>
      </c>
      <c r="P24" s="38">
        <f t="shared" ca="1" si="16"/>
        <v>0</v>
      </c>
      <c r="Q24" s="38">
        <f t="shared" ca="1" si="16"/>
        <v>0</v>
      </c>
      <c r="R24" s="38">
        <f t="shared" ca="1" si="16"/>
        <v>0</v>
      </c>
      <c r="S24" s="38">
        <f t="shared" ca="1" si="16"/>
        <v>0</v>
      </c>
      <c r="T24" s="38">
        <f t="shared" ca="1" si="16"/>
        <v>0</v>
      </c>
      <c r="U24" s="38">
        <f t="shared" ca="1" si="16"/>
        <v>0</v>
      </c>
      <c r="V24" s="38">
        <f t="shared" ca="1" si="16"/>
        <v>0</v>
      </c>
      <c r="W24" s="38">
        <f t="shared" ca="1" si="16"/>
        <v>0</v>
      </c>
      <c r="X24" s="38">
        <f t="shared" ca="1" si="16"/>
        <v>0</v>
      </c>
      <c r="Y24" s="38">
        <f t="shared" ca="1" si="16"/>
        <v>0</v>
      </c>
      <c r="Z24" s="38">
        <f t="shared" ca="1" si="16"/>
        <v>0</v>
      </c>
      <c r="AA24" s="38">
        <f t="shared" ca="1" si="16"/>
        <v>1121.2223899999999</v>
      </c>
      <c r="AB24" s="72">
        <f t="shared" ca="1" si="11"/>
        <v>1121.2223899999999</v>
      </c>
      <c r="AC24" s="77">
        <f t="shared" ca="1" si="8"/>
        <v>0.35135279862805935</v>
      </c>
      <c r="AD24" s="77">
        <f t="shared" ca="1" si="9"/>
        <v>0.35135279862805935</v>
      </c>
      <c r="AE24" s="77">
        <v>-0.5</v>
      </c>
      <c r="AF24" s="77">
        <v>0.5</v>
      </c>
      <c r="AG24" s="77">
        <v>-1</v>
      </c>
      <c r="AH24" s="79">
        <f t="shared" ca="1" si="10"/>
        <v>-1</v>
      </c>
      <c r="AI24" s="45">
        <f t="shared" ca="1" si="12"/>
        <v>0</v>
      </c>
      <c r="AJ24" s="41">
        <f t="shared" ca="1" si="12"/>
        <v>0</v>
      </c>
      <c r="AK24" s="41">
        <f t="shared" ca="1" si="12"/>
        <v>0</v>
      </c>
      <c r="AL24" s="41">
        <f t="shared" ca="1" si="12"/>
        <v>0</v>
      </c>
      <c r="AM24" s="41">
        <f t="shared" ca="1" si="12"/>
        <v>0</v>
      </c>
      <c r="AN24" s="41">
        <f t="shared" ca="1" si="12"/>
        <v>0</v>
      </c>
      <c r="AO24" s="41">
        <f t="shared" ca="1" si="12"/>
        <v>0</v>
      </c>
      <c r="AP24" s="41">
        <f t="shared" ca="1" si="12"/>
        <v>0</v>
      </c>
      <c r="AQ24" s="41">
        <f t="shared" ca="1" si="13"/>
        <v>0</v>
      </c>
      <c r="AR24" s="41">
        <f t="shared" ca="1" si="13"/>
        <v>0</v>
      </c>
      <c r="AS24" s="41">
        <f t="shared" ca="1" si="13"/>
        <v>0</v>
      </c>
      <c r="AT24" s="41">
        <f t="shared" ca="1" si="13"/>
        <v>0</v>
      </c>
      <c r="AU24" s="74">
        <f t="shared" ca="1" si="14"/>
        <v>0</v>
      </c>
    </row>
    <row r="25" spans="1:211" ht="15" customHeight="1" thickBot="1" x14ac:dyDescent="0.25">
      <c r="B25" s="42" t="s">
        <v>34</v>
      </c>
      <c r="C25" s="43" t="s">
        <v>35</v>
      </c>
      <c r="D25" s="38">
        <f t="shared" ca="1" si="15"/>
        <v>0</v>
      </c>
      <c r="E25" s="38">
        <f t="shared" ca="1" si="15"/>
        <v>0</v>
      </c>
      <c r="F25" s="38">
        <f t="shared" ca="1" si="15"/>
        <v>0</v>
      </c>
      <c r="G25" s="38">
        <f t="shared" ca="1" si="15"/>
        <v>0</v>
      </c>
      <c r="H25" s="38">
        <f t="shared" ca="1" si="15"/>
        <v>0</v>
      </c>
      <c r="I25" s="38">
        <f t="shared" ca="1" si="15"/>
        <v>0</v>
      </c>
      <c r="J25" s="38">
        <f t="shared" ca="1" si="15"/>
        <v>0</v>
      </c>
      <c r="K25" s="38">
        <f t="shared" ca="1" si="15"/>
        <v>0</v>
      </c>
      <c r="L25" s="38">
        <f t="shared" ca="1" si="15"/>
        <v>0</v>
      </c>
      <c r="M25" s="38">
        <f t="shared" ca="1" si="15"/>
        <v>0</v>
      </c>
      <c r="N25" s="38">
        <f t="shared" ca="1" si="16"/>
        <v>0</v>
      </c>
      <c r="O25" s="38">
        <f t="shared" ca="1" si="16"/>
        <v>0</v>
      </c>
      <c r="P25" s="38">
        <f t="shared" ca="1" si="16"/>
        <v>0</v>
      </c>
      <c r="Q25" s="38">
        <f t="shared" ca="1" si="16"/>
        <v>0</v>
      </c>
      <c r="R25" s="38">
        <f t="shared" ca="1" si="16"/>
        <v>0</v>
      </c>
      <c r="S25" s="38">
        <f t="shared" ca="1" si="16"/>
        <v>0</v>
      </c>
      <c r="T25" s="38">
        <f t="shared" ca="1" si="16"/>
        <v>0</v>
      </c>
      <c r="U25" s="38">
        <f t="shared" ca="1" si="16"/>
        <v>0</v>
      </c>
      <c r="V25" s="38">
        <f t="shared" ca="1" si="16"/>
        <v>0</v>
      </c>
      <c r="W25" s="38">
        <f t="shared" ca="1" si="16"/>
        <v>0</v>
      </c>
      <c r="X25" s="38">
        <f t="shared" ca="1" si="16"/>
        <v>0</v>
      </c>
      <c r="Y25" s="38">
        <f t="shared" ca="1" si="16"/>
        <v>0</v>
      </c>
      <c r="Z25" s="38">
        <f t="shared" ca="1" si="16"/>
        <v>0</v>
      </c>
      <c r="AA25" s="38">
        <f t="shared" ca="1" si="16"/>
        <v>0</v>
      </c>
      <c r="AB25" s="73">
        <f t="shared" ca="1" si="11"/>
        <v>0</v>
      </c>
      <c r="AC25" s="77">
        <f t="shared" ca="1" si="8"/>
        <v>0</v>
      </c>
      <c r="AD25" s="77">
        <f t="shared" ca="1" si="9"/>
        <v>0</v>
      </c>
      <c r="AE25" s="77">
        <v>-0.5</v>
      </c>
      <c r="AF25" s="77">
        <v>0.5</v>
      </c>
      <c r="AG25" s="77">
        <v>0</v>
      </c>
      <c r="AH25" s="79">
        <f t="shared" ca="1" si="10"/>
        <v>0</v>
      </c>
      <c r="AI25" s="46">
        <f t="shared" ca="1" si="12"/>
        <v>0</v>
      </c>
      <c r="AJ25" s="44">
        <f t="shared" ca="1" si="12"/>
        <v>0</v>
      </c>
      <c r="AK25" s="44">
        <f t="shared" ca="1" si="12"/>
        <v>0</v>
      </c>
      <c r="AL25" s="44">
        <f t="shared" ca="1" si="12"/>
        <v>0</v>
      </c>
      <c r="AM25" s="44">
        <f t="shared" ca="1" si="12"/>
        <v>0</v>
      </c>
      <c r="AN25" s="44">
        <f t="shared" ca="1" si="12"/>
        <v>0</v>
      </c>
      <c r="AO25" s="44">
        <f t="shared" ca="1" si="12"/>
        <v>0</v>
      </c>
      <c r="AP25" s="44">
        <f t="shared" ca="1" si="12"/>
        <v>0</v>
      </c>
      <c r="AQ25" s="44">
        <f t="shared" ref="AQ25:AT25" ca="1" si="17">$AB25*(1+$AH25)/12</f>
        <v>0</v>
      </c>
      <c r="AR25" s="44">
        <f t="shared" ca="1" si="17"/>
        <v>0</v>
      </c>
      <c r="AS25" s="44">
        <f t="shared" ca="1" si="17"/>
        <v>0</v>
      </c>
      <c r="AT25" s="44">
        <f t="shared" ca="1" si="17"/>
        <v>0</v>
      </c>
      <c r="AU25" s="75">
        <f t="shared" ca="1" si="14"/>
        <v>0</v>
      </c>
    </row>
    <row r="26" spans="1:211" s="68" customFormat="1" ht="15" customHeight="1" thickBot="1" x14ac:dyDescent="0.25">
      <c r="A26" s="67"/>
      <c r="B26" s="133" t="s">
        <v>2</v>
      </c>
      <c r="C26" s="134"/>
      <c r="D26" s="17">
        <f ca="1">SUM(D9:D25)</f>
        <v>12847.53659</v>
      </c>
      <c r="E26" s="18">
        <f t="shared" ref="E26:AA26" ca="1" si="18">SUM(E9:E25)</f>
        <v>13229.773969999998</v>
      </c>
      <c r="F26" s="18">
        <f t="shared" ca="1" si="18"/>
        <v>11770.315040000001</v>
      </c>
      <c r="G26" s="18">
        <f t="shared" ca="1" si="18"/>
        <v>10744.750699999999</v>
      </c>
      <c r="H26" s="18">
        <f t="shared" ca="1" si="18"/>
        <v>11396.610640000001</v>
      </c>
      <c r="I26" s="18">
        <f t="shared" ca="1" si="18"/>
        <v>11167.924559999999</v>
      </c>
      <c r="J26" s="18">
        <f t="shared" ca="1" si="18"/>
        <v>10721.521790000001</v>
      </c>
      <c r="K26" s="18">
        <f t="shared" ca="1" si="18"/>
        <v>9898.4798599999995</v>
      </c>
      <c r="L26" s="18">
        <f t="shared" ca="1" si="18"/>
        <v>10468.124069999998</v>
      </c>
      <c r="M26" s="18">
        <f t="shared" ca="1" si="18"/>
        <v>10678.36033</v>
      </c>
      <c r="N26" s="18">
        <f t="shared" ca="1" si="18"/>
        <v>13640.302119999998</v>
      </c>
      <c r="O26" s="18">
        <f t="shared" ca="1" si="18"/>
        <v>15310.199950000002</v>
      </c>
      <c r="P26" s="18">
        <f t="shared" ca="1" si="18"/>
        <v>12487.978610000002</v>
      </c>
      <c r="Q26" s="18">
        <f t="shared" ca="1" si="18"/>
        <v>12008.908149999999</v>
      </c>
      <c r="R26" s="18">
        <f t="shared" ca="1" si="18"/>
        <v>11653.58388</v>
      </c>
      <c r="S26" s="18">
        <f t="shared" ca="1" si="18"/>
        <v>11673.80755</v>
      </c>
      <c r="T26" s="18">
        <f t="shared" ca="1" si="18"/>
        <v>11775.082060000001</v>
      </c>
      <c r="U26" s="18">
        <f t="shared" ca="1" si="18"/>
        <v>12905.905240000002</v>
      </c>
      <c r="V26" s="18">
        <f t="shared" ca="1" si="18"/>
        <v>12175.346459999997</v>
      </c>
      <c r="W26" s="18">
        <f t="shared" ca="1" si="18"/>
        <v>11929.421759999999</v>
      </c>
      <c r="X26" s="18">
        <f t="shared" ca="1" si="18"/>
        <v>12831.687309999998</v>
      </c>
      <c r="Y26" s="18">
        <f t="shared" ca="1" si="18"/>
        <v>12259.901970000001</v>
      </c>
      <c r="Z26" s="18">
        <f t="shared" ca="1" si="18"/>
        <v>15652.715370000002</v>
      </c>
      <c r="AA26" s="18">
        <f t="shared" ca="1" si="18"/>
        <v>18627.123329999995</v>
      </c>
      <c r="AB26" s="19">
        <f ca="1">SUM(AB9:AB25)</f>
        <v>155981.46169000005</v>
      </c>
      <c r="AC26" s="49">
        <f ca="1">IF(SUM(J26:O26)+SUM(V26:AA26)&lt;0.001,0,IF(SUM(J26:O26)&lt;0.001,1,IF(SUM(V26:AA26)&lt;0.001,-1,SUM(V26:AA26)/(SUM(J26:O26))-1)))</f>
        <v>0.18042635043150912</v>
      </c>
      <c r="AD26" s="50">
        <f ca="1">IF(SUM(D26:O26)+SUM(P26:AA26)&lt;0.001,0,IF(SUM(D26:O26)&lt;0.001,1,IF(SUM(P26:AA26)&lt;0.001,-1,SUM(P26:AA26)/(SUM(D26:O26))-1)))</f>
        <v>9.9437332080010821E-2</v>
      </c>
      <c r="AE26" s="50">
        <f ca="1">AVERAGE(AE9:AE25)</f>
        <v>-0.44117647058823528</v>
      </c>
      <c r="AF26" s="50">
        <f ca="1">AVERAGE(AF9:AF25)</f>
        <v>0.5</v>
      </c>
      <c r="AG26" s="51" t="s">
        <v>48</v>
      </c>
      <c r="AH26" s="52">
        <f ca="1">IF(AB26&lt;&gt;0,AU26/AB26-1,0)</f>
        <v>0.20709329148878886</v>
      </c>
      <c r="AI26" s="20">
        <f t="shared" ref="AI26:AP26" ca="1" si="19">SUM(AI9:AI25)</f>
        <v>18531.400650458123</v>
      </c>
      <c r="AJ26" s="20">
        <f t="shared" ca="1" si="19"/>
        <v>16839.14018936898</v>
      </c>
      <c r="AK26" s="20">
        <f t="shared" ca="1" si="19"/>
        <v>15146.879728279831</v>
      </c>
      <c r="AL26" s="20">
        <f t="shared" ca="1" si="19"/>
        <v>13289.670879790689</v>
      </c>
      <c r="AM26" s="20">
        <f t="shared" ca="1" si="19"/>
        <v>13207.196686090687</v>
      </c>
      <c r="AN26" s="20">
        <f t="shared" ca="1" si="19"/>
        <v>11432.462031301538</v>
      </c>
      <c r="AO26" s="20">
        <f t="shared" ca="1" si="19"/>
        <v>11514.936225001538</v>
      </c>
      <c r="AP26" s="20">
        <f t="shared" ca="1" si="19"/>
        <v>11597.410418701538</v>
      </c>
      <c r="AQ26" s="20">
        <f t="shared" ref="AQ26:AT26" ca="1" si="20">SUM(AQ9:AQ25)</f>
        <v>13454.619267190688</v>
      </c>
      <c r="AR26" s="20">
        <f t="shared" ca="1" si="20"/>
        <v>17004.08857676898</v>
      </c>
      <c r="AS26" s="20">
        <f t="shared" ca="1" si="20"/>
        <v>20800.980467447269</v>
      </c>
      <c r="AT26" s="20">
        <f t="shared" ca="1" si="20"/>
        <v>25465.39088221471</v>
      </c>
      <c r="AU26" s="20">
        <f ca="1">SUM(AU9:AU25)</f>
        <v>188284.17600261458</v>
      </c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8"/>
      <c r="BL26" s="58"/>
      <c r="BM26" s="58"/>
      <c r="BN26" s="58"/>
      <c r="BO26" s="58"/>
      <c r="BP26" s="58"/>
      <c r="BQ26" s="58"/>
      <c r="BR26" s="58"/>
      <c r="BS26" s="58"/>
      <c r="BT26" s="58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CU26" s="58"/>
      <c r="CV26" s="58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  <c r="DW26" s="58"/>
      <c r="DX26" s="58"/>
      <c r="DY26" s="58"/>
      <c r="DZ26" s="58"/>
      <c r="EA26" s="58"/>
      <c r="EB26" s="58"/>
      <c r="EC26" s="58"/>
      <c r="ED26" s="58"/>
      <c r="EE26" s="58"/>
      <c r="EF26" s="58"/>
      <c r="EG26" s="58"/>
      <c r="EH26" s="58"/>
      <c r="EI26" s="58"/>
      <c r="EJ26" s="58"/>
      <c r="EK26" s="58"/>
      <c r="EL26" s="58"/>
      <c r="EM26" s="58"/>
      <c r="EN26" s="58"/>
      <c r="EO26" s="58"/>
      <c r="EP26" s="58"/>
      <c r="EQ26" s="58"/>
      <c r="ER26" s="58"/>
      <c r="ES26" s="58"/>
      <c r="ET26" s="58"/>
      <c r="EU26" s="58"/>
      <c r="EV26" s="58"/>
      <c r="EW26" s="58"/>
      <c r="EX26" s="58"/>
      <c r="EY26" s="58"/>
      <c r="EZ26" s="58"/>
      <c r="FA26" s="58"/>
      <c r="FB26" s="58"/>
      <c r="FC26" s="58"/>
      <c r="FD26" s="58"/>
      <c r="FE26" s="58"/>
      <c r="FF26" s="58"/>
      <c r="FG26" s="58"/>
      <c r="FH26" s="58"/>
      <c r="FI26" s="58"/>
      <c r="FJ26" s="58"/>
      <c r="FK26" s="58"/>
      <c r="FL26" s="58"/>
      <c r="FM26" s="58"/>
      <c r="FN26" s="58"/>
      <c r="FO26" s="58"/>
      <c r="FP26" s="58"/>
      <c r="FQ26" s="58"/>
      <c r="FR26" s="58"/>
      <c r="FS26" s="58"/>
      <c r="FT26" s="58"/>
      <c r="FU26" s="58"/>
      <c r="FV26" s="58"/>
      <c r="FW26" s="58"/>
      <c r="FX26" s="58"/>
      <c r="FY26" s="58"/>
      <c r="FZ26" s="58"/>
      <c r="GA26" s="58"/>
      <c r="GB26" s="58"/>
      <c r="GC26" s="58"/>
      <c r="GD26" s="58"/>
      <c r="GE26" s="58"/>
      <c r="GF26" s="58"/>
      <c r="GG26" s="58"/>
      <c r="GH26" s="58"/>
      <c r="GI26" s="58"/>
      <c r="GJ26" s="58"/>
      <c r="GK26" s="58"/>
      <c r="GL26" s="58"/>
      <c r="GM26" s="58"/>
      <c r="GN26" s="58"/>
      <c r="GO26" s="58"/>
      <c r="GP26" s="58"/>
      <c r="GQ26" s="58"/>
      <c r="GR26" s="58"/>
      <c r="GS26" s="58"/>
      <c r="GT26" s="58"/>
      <c r="GU26" s="58"/>
      <c r="GV26" s="58"/>
      <c r="GW26" s="58"/>
      <c r="GX26" s="58"/>
      <c r="GY26" s="58"/>
      <c r="GZ26" s="58"/>
      <c r="HA26" s="58"/>
      <c r="HB26" s="58"/>
      <c r="HC26" s="58"/>
    </row>
    <row r="27" spans="1:211" ht="15" customHeight="1" x14ac:dyDescent="0.2"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</row>
    <row r="28" spans="1:211" ht="15" customHeight="1" thickBot="1" x14ac:dyDescent="0.25">
      <c r="D28" s="70"/>
      <c r="AA28" s="62"/>
      <c r="AB28" s="62"/>
      <c r="AC28" s="62"/>
      <c r="AH28" s="44"/>
    </row>
    <row r="29" spans="1:211" ht="15" customHeight="1" x14ac:dyDescent="0.2">
      <c r="AA29" s="62"/>
      <c r="AB29" s="62"/>
      <c r="AC29" s="62"/>
    </row>
    <row r="30" spans="1:211" ht="15" customHeight="1" x14ac:dyDescent="0.2">
      <c r="AA30" s="62"/>
      <c r="AB30" s="62"/>
      <c r="AC30" s="62"/>
    </row>
    <row r="31" spans="1:211" ht="15" customHeight="1" x14ac:dyDescent="0.2">
      <c r="AA31" s="62"/>
      <c r="AB31" s="62"/>
      <c r="AC31" s="62"/>
    </row>
    <row r="32" spans="1:211" ht="15" customHeight="1" x14ac:dyDescent="0.2">
      <c r="AA32" s="62"/>
      <c r="AB32" s="62"/>
      <c r="AC32" s="62"/>
    </row>
    <row r="33" spans="27:29" ht="15" customHeight="1" x14ac:dyDescent="0.2">
      <c r="AA33" s="62"/>
      <c r="AB33" s="62"/>
      <c r="AC33" s="62"/>
    </row>
    <row r="34" spans="27:29" ht="15" customHeight="1" x14ac:dyDescent="0.2">
      <c r="AA34" s="62"/>
      <c r="AB34" s="62"/>
      <c r="AC34" s="62"/>
    </row>
    <row r="35" spans="27:29" ht="15" customHeight="1" x14ac:dyDescent="0.2">
      <c r="AA35" s="62"/>
      <c r="AB35" s="62"/>
      <c r="AC35" s="62"/>
    </row>
    <row r="36" spans="27:29" ht="15" customHeight="1" x14ac:dyDescent="0.2">
      <c r="AA36" s="62"/>
      <c r="AB36" s="62"/>
      <c r="AC36" s="62"/>
    </row>
    <row r="37" spans="27:29" ht="15" customHeight="1" x14ac:dyDescent="0.2">
      <c r="AA37" s="62"/>
      <c r="AB37" s="62"/>
      <c r="AC37" s="62"/>
    </row>
  </sheetData>
  <mergeCells count="5">
    <mergeCell ref="AU6:AU7"/>
    <mergeCell ref="B26:C26"/>
    <mergeCell ref="AB6:AB7"/>
    <mergeCell ref="AH6:AH7"/>
    <mergeCell ref="B6:C7"/>
  </mergeCells>
  <phoneticPr fontId="2" type="noConversion"/>
  <conditionalFormatting sqref="AC9:AH26">
    <cfRule type="cellIs" dxfId="5" priority="7" operator="greaterThan">
      <formula>0.5</formula>
    </cfRule>
    <cfRule type="cellIs" dxfId="4" priority="8" operator="lessThan">
      <formula>-0.5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ignoredErrors>
    <ignoredError sqref="C9 C10:C25" numberStoredAsText="1"/>
    <ignoredError sqref="AI10:AU10" formula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HC12"/>
  <sheetViews>
    <sheetView workbookViewId="0">
      <selection activeCell="M9" sqref="M9"/>
    </sheetView>
  </sheetViews>
  <sheetFormatPr defaultColWidth="9.140625" defaultRowHeight="15" outlineLevelCol="1" x14ac:dyDescent="0.2"/>
  <cols>
    <col min="1" max="1" width="1.7109375" style="59" customWidth="1"/>
    <col min="2" max="2" width="30.28515625" style="60" bestFit="1" customWidth="1"/>
    <col min="3" max="3" width="9.28515625" style="60" customWidth="1"/>
    <col min="4" max="4" width="10.85546875" style="55" customWidth="1" outlineLevel="1"/>
    <col min="5" max="5" width="10.140625" style="55" customWidth="1" outlineLevel="1"/>
    <col min="6" max="8" width="9.28515625" style="55" customWidth="1" outlineLevel="1"/>
    <col min="9" max="9" width="10.85546875" style="55" customWidth="1" outlineLevel="1"/>
    <col min="10" max="10" width="10.140625" style="55" bestFit="1" customWidth="1" outlineLevel="1"/>
    <col min="11" max="11" width="9.28515625" style="55" customWidth="1" outlineLevel="1"/>
    <col min="12" max="12" width="10.28515625" style="55" customWidth="1" outlineLevel="1"/>
    <col min="13" max="14" width="9.28515625" style="55" customWidth="1" outlineLevel="1"/>
    <col min="15" max="15" width="9.85546875" style="55" bestFit="1" customWidth="1" outlineLevel="1"/>
    <col min="16" max="16" width="10.28515625" style="55" customWidth="1" outlineLevel="1"/>
    <col min="17" max="17" width="10.140625" style="55" customWidth="1" outlineLevel="1"/>
    <col min="18" max="20" width="9.28515625" style="55" customWidth="1" outlineLevel="1"/>
    <col min="21" max="21" width="10.42578125" style="61" customWidth="1" outlineLevel="1"/>
    <col min="22" max="22" width="10.140625" style="62" bestFit="1" customWidth="1" outlineLevel="1"/>
    <col min="23" max="23" width="9.28515625" style="62" customWidth="1" outlineLevel="1"/>
    <col min="24" max="24" width="10.28515625" style="62" customWidth="1" outlineLevel="1"/>
    <col min="25" max="26" width="9.28515625" style="62" customWidth="1" outlineLevel="1"/>
    <col min="27" max="27" width="9.85546875" style="55" bestFit="1" customWidth="1" outlineLevel="1"/>
    <col min="28" max="28" width="9.28515625" style="55" customWidth="1"/>
    <col min="29" max="33" width="9.28515625" style="63" hidden="1" customWidth="1" outlineLevel="1"/>
    <col min="34" max="34" width="9.28515625" style="63" customWidth="1" collapsed="1"/>
    <col min="35" max="35" width="9.28515625" style="55" hidden="1" customWidth="1" outlineLevel="1"/>
    <col min="36" max="36" width="10.140625" style="55" hidden="1" customWidth="1" outlineLevel="1"/>
    <col min="37" max="42" width="9.28515625" style="55" hidden="1" customWidth="1" outlineLevel="1"/>
    <col min="43" max="43" width="10.28515625" style="55" hidden="1" customWidth="1" outlineLevel="1"/>
    <col min="44" max="46" width="9.28515625" style="55" hidden="1" customWidth="1" outlineLevel="1"/>
    <col min="47" max="47" width="9.28515625" style="55" customWidth="1" collapsed="1"/>
    <col min="48" max="211" width="9.140625" style="55"/>
    <col min="212" max="16384" width="9.140625" style="64"/>
  </cols>
  <sheetData>
    <row r="1" spans="1:211" ht="10.35" customHeight="1" thickBot="1" x14ac:dyDescent="0.25"/>
    <row r="2" spans="1:211" ht="15" customHeight="1" x14ac:dyDescent="0.2">
      <c r="B2" s="8" t="s">
        <v>60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3"/>
      <c r="AC2" s="9"/>
      <c r="AD2" s="10"/>
      <c r="AE2" s="10"/>
      <c r="AF2" s="10"/>
      <c r="AG2" s="10"/>
      <c r="AH2" s="11" t="s">
        <v>40</v>
      </c>
      <c r="AI2" s="12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13" t="s">
        <v>38</v>
      </c>
    </row>
    <row r="3" spans="1:211" ht="15" customHeight="1" x14ac:dyDescent="0.25">
      <c r="B3" s="127" t="s">
        <v>52</v>
      </c>
      <c r="C3" s="6">
        <v>42551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4"/>
      <c r="AC3" s="1"/>
      <c r="AD3" s="2"/>
      <c r="AE3" s="2"/>
      <c r="AF3" s="2"/>
      <c r="AG3" s="2"/>
      <c r="AH3" s="7"/>
      <c r="AI3" s="4"/>
      <c r="AJ3" s="3"/>
      <c r="AK3" s="1"/>
      <c r="AL3" s="1"/>
      <c r="AM3" s="1"/>
      <c r="AN3" s="1"/>
      <c r="AO3" s="1"/>
      <c r="AP3" s="1"/>
      <c r="AQ3" s="1"/>
      <c r="AR3" s="1"/>
      <c r="AS3" s="1"/>
      <c r="AT3" s="1"/>
      <c r="AU3" s="14"/>
    </row>
    <row r="4" spans="1:211" ht="15" customHeight="1" x14ac:dyDescent="0.2">
      <c r="B4" s="15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4"/>
      <c r="AC4" s="1"/>
      <c r="AD4" s="2"/>
      <c r="AE4" s="2"/>
      <c r="AF4" s="2"/>
      <c r="AG4" s="2"/>
      <c r="AH4" s="7"/>
      <c r="AI4" s="3"/>
      <c r="AJ4" s="3"/>
      <c r="AK4" s="1"/>
      <c r="AL4" s="1"/>
      <c r="AM4" s="1"/>
      <c r="AN4" s="1"/>
      <c r="AO4" s="1"/>
      <c r="AP4" s="1"/>
      <c r="AQ4" s="1"/>
      <c r="AR4" s="1"/>
      <c r="AS4" s="1"/>
      <c r="AT4" s="1"/>
      <c r="AU4" s="14"/>
    </row>
    <row r="5" spans="1:211" ht="12" customHeight="1" thickBot="1" x14ac:dyDescent="0.25">
      <c r="B5" s="16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4"/>
      <c r="AC5" s="1"/>
      <c r="AD5" s="2"/>
      <c r="AE5" s="2"/>
      <c r="AF5" s="2"/>
      <c r="AG5" s="2"/>
      <c r="AH5" s="7"/>
      <c r="AI5" s="5"/>
      <c r="AJ5" s="5"/>
      <c r="AK5" s="1"/>
      <c r="AL5" s="1"/>
      <c r="AM5" s="1"/>
      <c r="AN5" s="1"/>
      <c r="AO5" s="1"/>
      <c r="AP5" s="1"/>
      <c r="AQ5" s="1"/>
      <c r="AR5" s="1"/>
      <c r="AS5" s="1"/>
      <c r="AT5" s="1"/>
      <c r="AU5" s="14"/>
    </row>
    <row r="6" spans="1:211" s="56" customFormat="1" ht="12" customHeight="1" x14ac:dyDescent="0.2">
      <c r="A6" s="65"/>
      <c r="B6" s="139"/>
      <c r="C6" s="140"/>
      <c r="D6" s="21">
        <f ca="1">D7-IF(MONTH(D7)=2,IF(OR(YEAR(D7)=2008,YEAR(D7)=2012,YEAR(D7)=2016),29,28),IF(OR(MONTH(D7)=4,MONTH(D7)=6,MONTH(D7)=9,MONTH(D7)=11),30,31))+1</f>
        <v>41821</v>
      </c>
      <c r="E6" s="22">
        <f t="shared" ref="E6:AA6" ca="1" si="0">E7-IF(MONTH(E7)=2,IF(OR(YEAR(E7)=2008,YEAR(E7)=2012,YEAR(E7)=2016),29,28),IF(OR(MONTH(E7)=4,MONTH(E7)=6,MONTH(E7)=9,MONTH(E7)=11),30,31))+1</f>
        <v>41852</v>
      </c>
      <c r="F6" s="22">
        <f t="shared" ca="1" si="0"/>
        <v>41883</v>
      </c>
      <c r="G6" s="22">
        <f t="shared" ca="1" si="0"/>
        <v>41913</v>
      </c>
      <c r="H6" s="22">
        <f t="shared" ca="1" si="0"/>
        <v>41944</v>
      </c>
      <c r="I6" s="22">
        <f t="shared" ca="1" si="0"/>
        <v>41974</v>
      </c>
      <c r="J6" s="22">
        <f t="shared" ca="1" si="0"/>
        <v>42005</v>
      </c>
      <c r="K6" s="22">
        <f t="shared" ca="1" si="0"/>
        <v>42036</v>
      </c>
      <c r="L6" s="22">
        <f t="shared" ca="1" si="0"/>
        <v>42064</v>
      </c>
      <c r="M6" s="22">
        <f t="shared" ca="1" si="0"/>
        <v>42095</v>
      </c>
      <c r="N6" s="22">
        <f t="shared" ca="1" si="0"/>
        <v>42125</v>
      </c>
      <c r="O6" s="22">
        <f t="shared" ca="1" si="0"/>
        <v>42156</v>
      </c>
      <c r="P6" s="22">
        <f t="shared" ca="1" si="0"/>
        <v>42186</v>
      </c>
      <c r="Q6" s="22">
        <f t="shared" ca="1" si="0"/>
        <v>42217</v>
      </c>
      <c r="R6" s="22">
        <f t="shared" ca="1" si="0"/>
        <v>42248</v>
      </c>
      <c r="S6" s="22">
        <f t="shared" ca="1" si="0"/>
        <v>42278</v>
      </c>
      <c r="T6" s="22">
        <f t="shared" ca="1" si="0"/>
        <v>42309</v>
      </c>
      <c r="U6" s="22">
        <f t="shared" ca="1" si="0"/>
        <v>42339</v>
      </c>
      <c r="V6" s="22">
        <f t="shared" ca="1" si="0"/>
        <v>42370</v>
      </c>
      <c r="W6" s="22">
        <f t="shared" ca="1" si="0"/>
        <v>42401</v>
      </c>
      <c r="X6" s="22">
        <f t="shared" ca="1" si="0"/>
        <v>42430</v>
      </c>
      <c r="Y6" s="22">
        <f t="shared" ca="1" si="0"/>
        <v>42461</v>
      </c>
      <c r="Z6" s="22">
        <f t="shared" ca="1" si="0"/>
        <v>42491</v>
      </c>
      <c r="AA6" s="22">
        <f t="shared" ca="1" si="0"/>
        <v>42522</v>
      </c>
      <c r="AB6" s="135"/>
      <c r="AC6" s="10"/>
      <c r="AD6" s="10"/>
      <c r="AE6" s="10"/>
      <c r="AF6" s="10"/>
      <c r="AG6" s="10"/>
      <c r="AH6" s="137"/>
      <c r="AI6" s="21">
        <f ca="1">AA7+1</f>
        <v>42552</v>
      </c>
      <c r="AJ6" s="22">
        <f ca="1">AI7+1</f>
        <v>42583</v>
      </c>
      <c r="AK6" s="22">
        <f ca="1">AJ7+1</f>
        <v>42614</v>
      </c>
      <c r="AL6" s="22">
        <f ca="1">AK7+1</f>
        <v>42644</v>
      </c>
      <c r="AM6" s="22">
        <f ca="1">AL7+1</f>
        <v>42675</v>
      </c>
      <c r="AN6" s="22">
        <f t="shared" ref="AN6:AT6" ca="1" si="1">AM7+1</f>
        <v>42705</v>
      </c>
      <c r="AO6" s="22">
        <f t="shared" ca="1" si="1"/>
        <v>42736</v>
      </c>
      <c r="AP6" s="22">
        <f t="shared" ca="1" si="1"/>
        <v>42767</v>
      </c>
      <c r="AQ6" s="22">
        <f t="shared" ca="1" si="1"/>
        <v>42795</v>
      </c>
      <c r="AR6" s="22">
        <f t="shared" ca="1" si="1"/>
        <v>42826</v>
      </c>
      <c r="AS6" s="22">
        <f t="shared" ca="1" si="1"/>
        <v>42856</v>
      </c>
      <c r="AT6" s="23">
        <f t="shared" ca="1" si="1"/>
        <v>42887</v>
      </c>
      <c r="AU6" s="131"/>
    </row>
    <row r="7" spans="1:211" s="56" customFormat="1" ht="12" customHeight="1" thickBot="1" x14ac:dyDescent="0.25">
      <c r="A7" s="65"/>
      <c r="B7" s="141"/>
      <c r="C7" s="142"/>
      <c r="D7" s="25">
        <f t="shared" ref="D7:Z7" ca="1" si="2">E6-1</f>
        <v>41851</v>
      </c>
      <c r="E7" s="26">
        <f t="shared" ca="1" si="2"/>
        <v>41882</v>
      </c>
      <c r="F7" s="26">
        <f t="shared" ca="1" si="2"/>
        <v>41912</v>
      </c>
      <c r="G7" s="26">
        <f t="shared" ca="1" si="2"/>
        <v>41943</v>
      </c>
      <c r="H7" s="26">
        <f t="shared" ca="1" si="2"/>
        <v>41973</v>
      </c>
      <c r="I7" s="26">
        <f t="shared" ca="1" si="2"/>
        <v>42004</v>
      </c>
      <c r="J7" s="26">
        <f t="shared" ca="1" si="2"/>
        <v>42035</v>
      </c>
      <c r="K7" s="26">
        <f t="shared" ca="1" si="2"/>
        <v>42063</v>
      </c>
      <c r="L7" s="26">
        <f t="shared" ca="1" si="2"/>
        <v>42094</v>
      </c>
      <c r="M7" s="26">
        <f t="shared" ca="1" si="2"/>
        <v>42124</v>
      </c>
      <c r="N7" s="26">
        <f t="shared" ca="1" si="2"/>
        <v>42155</v>
      </c>
      <c r="O7" s="26">
        <f t="shared" ca="1" si="2"/>
        <v>42185</v>
      </c>
      <c r="P7" s="26">
        <f t="shared" ca="1" si="2"/>
        <v>42216</v>
      </c>
      <c r="Q7" s="26">
        <f t="shared" ca="1" si="2"/>
        <v>42247</v>
      </c>
      <c r="R7" s="26">
        <f t="shared" ca="1" si="2"/>
        <v>42277</v>
      </c>
      <c r="S7" s="26">
        <f t="shared" ca="1" si="2"/>
        <v>42308</v>
      </c>
      <c r="T7" s="26">
        <f t="shared" ca="1" si="2"/>
        <v>42338</v>
      </c>
      <c r="U7" s="26">
        <f t="shared" ca="1" si="2"/>
        <v>42369</v>
      </c>
      <c r="V7" s="26">
        <f t="shared" ca="1" si="2"/>
        <v>42400</v>
      </c>
      <c r="W7" s="26">
        <f t="shared" ca="1" si="2"/>
        <v>42429</v>
      </c>
      <c r="X7" s="26">
        <f t="shared" ca="1" si="2"/>
        <v>42460</v>
      </c>
      <c r="Y7" s="26">
        <f t="shared" ca="1" si="2"/>
        <v>42490</v>
      </c>
      <c r="Z7" s="26">
        <f t="shared" ca="1" si="2"/>
        <v>42521</v>
      </c>
      <c r="AA7" s="26">
        <f ca="1">C3</f>
        <v>42551</v>
      </c>
      <c r="AB7" s="136"/>
      <c r="AC7" s="24"/>
      <c r="AD7" s="24"/>
      <c r="AE7" s="24"/>
      <c r="AF7" s="24"/>
      <c r="AG7" s="24"/>
      <c r="AH7" s="138"/>
      <c r="AI7" s="25">
        <f ca="1">AI6+IF(MONTH(AI6)=2,IF(OR(YEAR(AI6)=2008,YEAR(AI6)=2012,YEAR(AI6)=2016),29,28),IF(OR(MONTH(AI6)=4,MONTH(AI6)=6,MONTH(AI6)=9,MONTH(AI6)=11),30,31))-1</f>
        <v>42582</v>
      </c>
      <c r="AJ7" s="26">
        <f ca="1">AJ6+IF(MONTH(AJ6)=2,IF(OR(YEAR(AJ6)=2008,YEAR(AJ6)=2012,YEAR(AJ6)=2016),29,28),IF(OR(MONTH(AJ6)=4,MONTH(AJ6)=6,MONTH(AJ6)=9,MONTH(AJ6)=11),30,31))-1</f>
        <v>42613</v>
      </c>
      <c r="AK7" s="26">
        <f ca="1">AK6+IF(MONTH(AK6)=2,IF(OR(YEAR(AK6)=2008,YEAR(AK6)=2012,YEAR(AK6)=2016),29,28),IF(OR(MONTH(AK6)=4,MONTH(AK6)=6,MONTH(AK6)=9,MONTH(AK6)=11),30,31))-1</f>
        <v>42643</v>
      </c>
      <c r="AL7" s="26">
        <f ca="1">AL6+IF(MONTH(AL6)=2,IF(OR(YEAR(AL6)=2008,YEAR(AL6)=2012,YEAR(AL6)=2016),29,28),IF(OR(MONTH(AL6)=4,MONTH(AL6)=6,MONTH(AL6)=9,MONTH(AL6)=11),30,31))-1</f>
        <v>42674</v>
      </c>
      <c r="AM7" s="26">
        <f ca="1">AM6+IF(MONTH(AM6)=2,IF(OR(YEAR(AM6)=2008,YEAR(AM6)=2012,YEAR(AM6)=2016),29,28),IF(OR(MONTH(AM6)=4,MONTH(AM6)=6,MONTH(AM6)=9,MONTH(AM6)=11),30,31))-1</f>
        <v>42704</v>
      </c>
      <c r="AN7" s="26">
        <f t="shared" ref="AN7:AT7" ca="1" si="3">AN6+IF(MONTH(AN6)=2,IF(OR(YEAR(AN6)=2008,YEAR(AN6)=2012,YEAR(AN6)=2016),29,28),IF(OR(MONTH(AN6)=4,MONTH(AN6)=6,MONTH(AN6)=9,MONTH(AN6)=11),30,31))-1</f>
        <v>42735</v>
      </c>
      <c r="AO7" s="26">
        <f t="shared" ca="1" si="3"/>
        <v>42766</v>
      </c>
      <c r="AP7" s="26">
        <f t="shared" ca="1" si="3"/>
        <v>42794</v>
      </c>
      <c r="AQ7" s="26">
        <f t="shared" ca="1" si="3"/>
        <v>42825</v>
      </c>
      <c r="AR7" s="26">
        <f t="shared" ca="1" si="3"/>
        <v>42855</v>
      </c>
      <c r="AS7" s="26">
        <f t="shared" ca="1" si="3"/>
        <v>42886</v>
      </c>
      <c r="AT7" s="27">
        <f t="shared" ca="1" si="3"/>
        <v>42916</v>
      </c>
      <c r="AU7" s="132"/>
    </row>
    <row r="8" spans="1:211" s="57" customFormat="1" ht="12" customHeight="1" thickBot="1" x14ac:dyDescent="0.25">
      <c r="A8" s="66"/>
      <c r="B8" s="28" t="s">
        <v>0</v>
      </c>
      <c r="C8" s="29" t="s">
        <v>46</v>
      </c>
      <c r="D8" s="30">
        <f t="shared" ref="D8:AA8" ca="1" si="4">D6</f>
        <v>41821</v>
      </c>
      <c r="E8" s="31">
        <f t="shared" ca="1" si="4"/>
        <v>41852</v>
      </c>
      <c r="F8" s="31">
        <f t="shared" ca="1" si="4"/>
        <v>41883</v>
      </c>
      <c r="G8" s="32">
        <f t="shared" ca="1" si="4"/>
        <v>41913</v>
      </c>
      <c r="H8" s="32">
        <f t="shared" ca="1" si="4"/>
        <v>41944</v>
      </c>
      <c r="I8" s="32">
        <f t="shared" ca="1" si="4"/>
        <v>41974</v>
      </c>
      <c r="J8" s="32">
        <f t="shared" ca="1" si="4"/>
        <v>42005</v>
      </c>
      <c r="K8" s="32">
        <f t="shared" ca="1" si="4"/>
        <v>42036</v>
      </c>
      <c r="L8" s="32">
        <f t="shared" ca="1" si="4"/>
        <v>42064</v>
      </c>
      <c r="M8" s="32">
        <f t="shared" ca="1" si="4"/>
        <v>42095</v>
      </c>
      <c r="N8" s="32">
        <f t="shared" ca="1" si="4"/>
        <v>42125</v>
      </c>
      <c r="O8" s="32">
        <f t="shared" ca="1" si="4"/>
        <v>42156</v>
      </c>
      <c r="P8" s="32">
        <f t="shared" ca="1" si="4"/>
        <v>42186</v>
      </c>
      <c r="Q8" s="32">
        <f t="shared" ca="1" si="4"/>
        <v>42217</v>
      </c>
      <c r="R8" s="32">
        <f t="shared" ca="1" si="4"/>
        <v>42248</v>
      </c>
      <c r="S8" s="32">
        <f t="shared" ca="1" si="4"/>
        <v>42278</v>
      </c>
      <c r="T8" s="32">
        <f t="shared" ca="1" si="4"/>
        <v>42309</v>
      </c>
      <c r="U8" s="32">
        <f t="shared" ca="1" si="4"/>
        <v>42339</v>
      </c>
      <c r="V8" s="32">
        <f t="shared" ca="1" si="4"/>
        <v>42370</v>
      </c>
      <c r="W8" s="32">
        <f t="shared" ca="1" si="4"/>
        <v>42401</v>
      </c>
      <c r="X8" s="32">
        <f t="shared" ca="1" si="4"/>
        <v>42430</v>
      </c>
      <c r="Y8" s="32">
        <f t="shared" ca="1" si="4"/>
        <v>42461</v>
      </c>
      <c r="Z8" s="32">
        <f t="shared" ca="1" si="4"/>
        <v>42491</v>
      </c>
      <c r="AA8" s="32">
        <f t="shared" ca="1" si="4"/>
        <v>42522</v>
      </c>
      <c r="AB8" s="47" t="s">
        <v>36</v>
      </c>
      <c r="AC8" s="48" t="s">
        <v>42</v>
      </c>
      <c r="AD8" s="33" t="s">
        <v>43</v>
      </c>
      <c r="AE8" s="33" t="s">
        <v>44</v>
      </c>
      <c r="AF8" s="33" t="s">
        <v>45</v>
      </c>
      <c r="AG8" s="33" t="s">
        <v>39</v>
      </c>
      <c r="AH8" s="47" t="s">
        <v>41</v>
      </c>
      <c r="AI8" s="34">
        <f t="shared" ref="AI8:AT8" ca="1" si="5">AI6</f>
        <v>42552</v>
      </c>
      <c r="AJ8" s="34">
        <f t="shared" ca="1" si="5"/>
        <v>42583</v>
      </c>
      <c r="AK8" s="34">
        <f t="shared" ca="1" si="5"/>
        <v>42614</v>
      </c>
      <c r="AL8" s="34">
        <f t="shared" ca="1" si="5"/>
        <v>42644</v>
      </c>
      <c r="AM8" s="34">
        <f t="shared" ca="1" si="5"/>
        <v>42675</v>
      </c>
      <c r="AN8" s="34">
        <f t="shared" ca="1" si="5"/>
        <v>42705</v>
      </c>
      <c r="AO8" s="34">
        <f t="shared" ca="1" si="5"/>
        <v>42736</v>
      </c>
      <c r="AP8" s="34">
        <f t="shared" ca="1" si="5"/>
        <v>42767</v>
      </c>
      <c r="AQ8" s="34">
        <f t="shared" ca="1" si="5"/>
        <v>42795</v>
      </c>
      <c r="AR8" s="34">
        <f t="shared" ca="1" si="5"/>
        <v>42826</v>
      </c>
      <c r="AS8" s="34">
        <f t="shared" ca="1" si="5"/>
        <v>42856</v>
      </c>
      <c r="AT8" s="34">
        <f t="shared" ca="1" si="5"/>
        <v>42887</v>
      </c>
      <c r="AU8" s="35" t="s">
        <v>37</v>
      </c>
    </row>
    <row r="9" spans="1:211" ht="15" customHeight="1" thickBot="1" x14ac:dyDescent="0.25">
      <c r="B9" s="36" t="s">
        <v>58</v>
      </c>
      <c r="C9" s="37" t="s">
        <v>55</v>
      </c>
      <c r="D9" s="38">
        <f t="shared" ref="D9:M10" ca="1" si="6">AbraBalance(URL,Username,Password,$C9,(D$6-1))/1000+AbraTurnover(URL,Username,Password,$C9,D$6,D$7)/1000</f>
        <v>204.6020599999641</v>
      </c>
      <c r="E9" s="38">
        <f t="shared" ca="1" si="6"/>
        <v>264.170059999964</v>
      </c>
      <c r="F9" s="38">
        <f t="shared" ca="1" si="6"/>
        <v>248.18405999996406</v>
      </c>
      <c r="G9" s="38">
        <f t="shared" ca="1" si="6"/>
        <v>227.57134999996401</v>
      </c>
      <c r="H9" s="38">
        <f t="shared" ca="1" si="6"/>
        <v>384.77507999998602</v>
      </c>
      <c r="I9" s="38">
        <f t="shared" ca="1" si="6"/>
        <v>438.41707999998596</v>
      </c>
      <c r="J9" s="38">
        <f t="shared" ca="1" si="6"/>
        <v>202.086189999986</v>
      </c>
      <c r="K9" s="38">
        <f t="shared" ca="1" si="6"/>
        <v>225.52718999998601</v>
      </c>
      <c r="L9" s="38">
        <f t="shared" ca="1" si="6"/>
        <v>342.00292999998601</v>
      </c>
      <c r="M9" s="38">
        <f t="shared" ca="1" si="6"/>
        <v>451.89592999998604</v>
      </c>
      <c r="N9" s="38">
        <f t="shared" ref="N9:AA10" ca="1" si="7">AbraBalance(URL,Username,Password,$C9,(N$6-1))/1000+AbraTurnover(URL,Username,Password,$C9,N$6,N$7)/1000</f>
        <v>517.25692999998603</v>
      </c>
      <c r="O9" s="38">
        <f t="shared" ca="1" si="7"/>
        <v>229.09844999998603</v>
      </c>
      <c r="P9" s="38">
        <f t="shared" ca="1" si="7"/>
        <v>284.692450000024</v>
      </c>
      <c r="Q9" s="38">
        <f t="shared" ca="1" si="7"/>
        <v>413.228450000024</v>
      </c>
      <c r="R9" s="38">
        <f t="shared" ca="1" si="7"/>
        <v>470.08059000002402</v>
      </c>
      <c r="S9" s="38">
        <f t="shared" ca="1" si="7"/>
        <v>549.74230000002399</v>
      </c>
      <c r="T9" s="38">
        <f t="shared" ca="1" si="7"/>
        <v>411.502990000024</v>
      </c>
      <c r="U9" s="38">
        <f t="shared" ca="1" si="7"/>
        <v>389.92928000002399</v>
      </c>
      <c r="V9" s="38">
        <f t="shared" ca="1" si="7"/>
        <v>433.138280000002</v>
      </c>
      <c r="W9" s="38">
        <f t="shared" ca="1" si="7"/>
        <v>617.79678000000195</v>
      </c>
      <c r="X9" s="38">
        <f t="shared" ca="1" si="7"/>
        <v>501.82972999999708</v>
      </c>
      <c r="Y9" s="38">
        <f t="shared" ca="1" si="7"/>
        <v>517.82811999999706</v>
      </c>
      <c r="Z9" s="38">
        <f t="shared" ca="1" si="7"/>
        <v>463.91441999995499</v>
      </c>
      <c r="AA9" s="38">
        <f t="shared" ca="1" si="7"/>
        <v>412.593319999995</v>
      </c>
      <c r="AB9" s="71" t="b">
        <f ca="1">Prodej!AB9=SUM(P9:AA9)</f>
        <v>0</v>
      </c>
      <c r="AC9" s="76">
        <f t="shared" ref="AC9:AC10" ca="1" si="8">IF(SUM(J9:O9)+SUM(V9:AA9)&lt;0.001,0,IF(SUM(J9:O9)&lt;0.001,1,IF(SUM(V9:AA9)&lt;0.001,-1,SUM(V9:AA9)/(SUM(J9:O9))-1)))</f>
        <v>0.49761123159294307</v>
      </c>
      <c r="AD9" s="76">
        <f t="shared" ref="AD9:AD10" ca="1" si="9">IF(SUM(D9:O9)+SUM(P9:AA9)&lt;0.001,0,IF(SUM(D9:O9)&lt;0.001,1,IF(SUM(P9:AA9)&lt;0.001,-1,SUM(P9:AA9)/(SUM(D9:O9))-1)))</f>
        <v>0.46329780470328963</v>
      </c>
      <c r="AE9" s="76">
        <v>-0.5</v>
      </c>
      <c r="AF9" s="76">
        <v>0.5</v>
      </c>
      <c r="AG9" s="76" t="s">
        <v>48</v>
      </c>
      <c r="AH9" s="78">
        <f t="shared" ref="AH9:AH10" ca="1" si="10">IF($AG9&lt;&gt;"-",$AG9,IF($AC9&lt;$AE9,$AE9,IF($AC9&gt;$AF9,$AF9,$AC9)))</f>
        <v>0.49761123159294307</v>
      </c>
      <c r="AI9" s="45">
        <f ca="1">$AB9*(1+$AH9)*VLOOKUP(MONTH(AI$8),Sezona!$B$4:$C$15,2)</f>
        <v>0</v>
      </c>
      <c r="AJ9" s="41">
        <f ca="1">$AB9*(1+$AH9)*VLOOKUP(MONTH(AJ$8),Sezona!$B$4:$C$15,2)</f>
        <v>0</v>
      </c>
      <c r="AK9" s="41">
        <f ca="1">$AB9*(1+$AH9)*VLOOKUP(MONTH(AK$8),Sezona!$B$4:$C$15,2)</f>
        <v>0</v>
      </c>
      <c r="AL9" s="41">
        <f ca="1">$AB9*(1+$AH9)*VLOOKUP(MONTH(AL$8),Sezona!$B$4:$C$15,2)</f>
        <v>0</v>
      </c>
      <c r="AM9" s="41">
        <f ca="1">$AB9*(1+$AH9)*VLOOKUP(MONTH(AM$8),Sezona!$B$4:$C$15,2)</f>
        <v>0</v>
      </c>
      <c r="AN9" s="41">
        <f ca="1">$AB9*(1+$AH9)*VLOOKUP(MONTH(AN$8),Sezona!$B$4:$C$15,2)</f>
        <v>0</v>
      </c>
      <c r="AO9" s="41">
        <f ca="1">$AB9*(1+$AH9)*VLOOKUP(MONTH(AO$8),Sezona!$B$4:$C$15,2)</f>
        <v>0</v>
      </c>
      <c r="AP9" s="41">
        <f ca="1">$AB9*(1+$AH9)*VLOOKUP(MONTH(AP$8),Sezona!$B$4:$C$15,2)</f>
        <v>0</v>
      </c>
      <c r="AQ9" s="41">
        <f ca="1">$AB9*(1+$AH9)*VLOOKUP(MONTH(AQ$8),Sezona!$B$4:$C$15,2)</f>
        <v>0</v>
      </c>
      <c r="AR9" s="41">
        <f ca="1">$AB9*(1+$AH9)*VLOOKUP(MONTH(AR$8),Sezona!$B$4:$C$15,2)</f>
        <v>0</v>
      </c>
      <c r="AS9" s="41">
        <f ca="1">$AB9*(1+$AH9)*VLOOKUP(MONTH(AS$8),Sezona!$B$4:$C$15,2)</f>
        <v>0</v>
      </c>
      <c r="AT9" s="41">
        <f ca="1">$AB9*(1+$AH9)*VLOOKUP(MONTH(AT$8),Sezona!$B$4:$C$15,2)</f>
        <v>0</v>
      </c>
      <c r="AU9" s="74">
        <f ca="1">SUM(AI9:AT9)</f>
        <v>0</v>
      </c>
      <c r="AW9" s="57"/>
      <c r="AX9" s="57"/>
    </row>
    <row r="10" spans="1:211" ht="15" customHeight="1" thickBot="1" x14ac:dyDescent="0.25">
      <c r="B10" s="39" t="s">
        <v>57</v>
      </c>
      <c r="C10" s="40" t="s">
        <v>56</v>
      </c>
      <c r="D10" s="38">
        <f t="shared" ca="1" si="6"/>
        <v>-144721.292680001</v>
      </c>
      <c r="E10" s="38">
        <f t="shared" ca="1" si="6"/>
        <v>-147552.88067000199</v>
      </c>
      <c r="F10" s="38">
        <f t="shared" ca="1" si="6"/>
        <v>-179745.01443000202</v>
      </c>
      <c r="G10" s="38">
        <f t="shared" ca="1" si="6"/>
        <v>-167529.72629000101</v>
      </c>
      <c r="H10" s="38">
        <f t="shared" ca="1" si="6"/>
        <v>-174126.34356000298</v>
      </c>
      <c r="I10" s="38">
        <f t="shared" ca="1" si="6"/>
        <v>-170779.07611000098</v>
      </c>
      <c r="J10" s="38">
        <f t="shared" ca="1" si="6"/>
        <v>-150361.32405000099</v>
      </c>
      <c r="K10" s="38">
        <f t="shared" ca="1" si="6"/>
        <v>-155787.653310002</v>
      </c>
      <c r="L10" s="38">
        <f t="shared" ca="1" si="6"/>
        <v>-160804.97200000199</v>
      </c>
      <c r="M10" s="38">
        <f t="shared" ca="1" si="6"/>
        <v>-165578.26024000102</v>
      </c>
      <c r="N10" s="38">
        <f t="shared" ca="1" si="7"/>
        <v>-172145.05085000099</v>
      </c>
      <c r="O10" s="38">
        <f t="shared" ca="1" si="7"/>
        <v>-180411.60660000198</v>
      </c>
      <c r="P10" s="38">
        <f t="shared" ca="1" si="7"/>
        <v>-186033.88080000103</v>
      </c>
      <c r="Q10" s="38">
        <f t="shared" ca="1" si="7"/>
        <v>-192814.58522000202</v>
      </c>
      <c r="R10" s="38">
        <f t="shared" ca="1" si="7"/>
        <v>-198597.15307000099</v>
      </c>
      <c r="S10" s="38">
        <f t="shared" ca="1" si="7"/>
        <v>-201832.79284000199</v>
      </c>
      <c r="T10" s="38">
        <f t="shared" ca="1" si="7"/>
        <v>-202778.82153000301</v>
      </c>
      <c r="U10" s="38">
        <f t="shared" ca="1" si="7"/>
        <v>-198288.12908000199</v>
      </c>
      <c r="V10" s="38">
        <f t="shared" ca="1" si="7"/>
        <v>-188522.36920000202</v>
      </c>
      <c r="W10" s="38">
        <f t="shared" ca="1" si="7"/>
        <v>-196120.12011000203</v>
      </c>
      <c r="X10" s="38">
        <f t="shared" ca="1" si="7"/>
        <v>-203721.60157000201</v>
      </c>
      <c r="Y10" s="38">
        <f t="shared" ca="1" si="7"/>
        <v>-210183.25631000198</v>
      </c>
      <c r="Z10" s="38">
        <f t="shared" ca="1" si="7"/>
        <v>-211415.74833000201</v>
      </c>
      <c r="AA10" s="38">
        <f t="shared" ca="1" si="7"/>
        <v>-217327.40851000202</v>
      </c>
      <c r="AB10" s="72">
        <f ca="1">SUM(P10:AA10)</f>
        <v>-2407635.8665700229</v>
      </c>
      <c r="AC10" s="77">
        <f t="shared" ca="1" si="8"/>
        <v>0</v>
      </c>
      <c r="AD10" s="77">
        <f t="shared" ca="1" si="9"/>
        <v>0</v>
      </c>
      <c r="AE10" s="77">
        <v>-0.5</v>
      </c>
      <c r="AF10" s="77">
        <v>0.5</v>
      </c>
      <c r="AG10" s="77" t="s">
        <v>48</v>
      </c>
      <c r="AH10" s="79">
        <f t="shared" ca="1" si="10"/>
        <v>0</v>
      </c>
      <c r="AI10" s="45">
        <f ca="1">$AB10*(1+$AH10)*VLOOKUP(MONTH(AI$8),Sezona!$E$4:$F$15,2)</f>
        <v>-144458.15199420135</v>
      </c>
      <c r="AJ10" s="45">
        <f ca="1">$AB10*(1+$AH10)*VLOOKUP(MONTH(AJ$8),Sezona!$E$4:$F$15,2)</f>
        <v>-144458.15199420135</v>
      </c>
      <c r="AK10" s="45">
        <f ca="1">$AB10*(1+$AH10)*VLOOKUP(MONTH(AK$8),Sezona!$E$4:$F$15,2)</f>
        <v>-168534.51065990163</v>
      </c>
      <c r="AL10" s="45">
        <f ca="1">$AB10*(1+$AH10)*VLOOKUP(MONTH(AL$8),Sezona!$E$4:$F$15,2)</f>
        <v>-216687.22799130206</v>
      </c>
      <c r="AM10" s="45">
        <f ca="1">$AB10*(1+$AH10)*VLOOKUP(MONTH(AM$8),Sezona!$E$4:$F$15,2)</f>
        <v>-264839.94532270252</v>
      </c>
      <c r="AN10" s="45">
        <f ca="1">$AB10*(1+$AH10)*VLOOKUP(MONTH(AN$8),Sezona!$E$4:$F$15,2)</f>
        <v>-337069.02131980326</v>
      </c>
      <c r="AO10" s="45">
        <f ca="1">$AB10*(1+$AH10)*VLOOKUP(MONTH(AO$8),Sezona!$E$4:$F$15,2)</f>
        <v>-240763.58665700231</v>
      </c>
      <c r="AP10" s="45">
        <f ca="1">$AB10*(1+$AH10)*VLOOKUP(MONTH(AP$8),Sezona!$E$4:$F$15,2)</f>
        <v>-216687.22799130206</v>
      </c>
      <c r="AQ10" s="45">
        <f ca="1">$AB10*(1+$AH10)*VLOOKUP(MONTH(AQ$8),Sezona!$E$4:$F$15,2)</f>
        <v>-192610.86932560185</v>
      </c>
      <c r="AR10" s="45">
        <f ca="1">$AB10*(1+$AH10)*VLOOKUP(MONTH(AR$8),Sezona!$E$4:$F$15,2)</f>
        <v>-168534.51065990163</v>
      </c>
      <c r="AS10" s="45">
        <f ca="1">$AB10*(1+$AH10)*VLOOKUP(MONTH(AS$8),Sezona!$E$4:$F$15,2)</f>
        <v>-168534.51065990163</v>
      </c>
      <c r="AT10" s="45">
        <f ca="1">$AB10*(1+$AH10)*VLOOKUP(MONTH(AT$8),Sezona!$E$4:$F$15,2)</f>
        <v>-144458.15199420135</v>
      </c>
      <c r="AU10" s="74">
        <f ca="1">SUM(AI10:AT10)</f>
        <v>-2407635.8665700229</v>
      </c>
    </row>
    <row r="11" spans="1:211" s="68" customFormat="1" ht="15" customHeight="1" thickBot="1" x14ac:dyDescent="0.25">
      <c r="A11" s="67"/>
      <c r="B11" s="133" t="s">
        <v>59</v>
      </c>
      <c r="C11" s="134"/>
      <c r="D11" s="17">
        <f t="shared" ref="D11:AB11" ca="1" si="11">SUM(D9:D10)</f>
        <v>-144516.69062000103</v>
      </c>
      <c r="E11" s="18">
        <f t="shared" ca="1" si="11"/>
        <v>-147288.71061000202</v>
      </c>
      <c r="F11" s="18">
        <f t="shared" ca="1" si="11"/>
        <v>-179496.83037000205</v>
      </c>
      <c r="G11" s="18">
        <f t="shared" ca="1" si="11"/>
        <v>-167302.15494000106</v>
      </c>
      <c r="H11" s="18">
        <f t="shared" ca="1" si="11"/>
        <v>-173741.56848000298</v>
      </c>
      <c r="I11" s="18">
        <f t="shared" ca="1" si="11"/>
        <v>-170340.659030001</v>
      </c>
      <c r="J11" s="18">
        <f t="shared" ca="1" si="11"/>
        <v>-150159.23786000101</v>
      </c>
      <c r="K11" s="18">
        <f t="shared" ca="1" si="11"/>
        <v>-155562.12612000201</v>
      </c>
      <c r="L11" s="18">
        <f t="shared" ca="1" si="11"/>
        <v>-160462.969070002</v>
      </c>
      <c r="M11" s="18">
        <f t="shared" ca="1" si="11"/>
        <v>-165126.36431000102</v>
      </c>
      <c r="N11" s="18">
        <f t="shared" ca="1" si="11"/>
        <v>-171627.79392000102</v>
      </c>
      <c r="O11" s="18">
        <f t="shared" ca="1" si="11"/>
        <v>-180182.50815000199</v>
      </c>
      <c r="P11" s="18">
        <f t="shared" ca="1" si="11"/>
        <v>-185749.188350001</v>
      </c>
      <c r="Q11" s="18">
        <f t="shared" ca="1" si="11"/>
        <v>-192401.35677000199</v>
      </c>
      <c r="R11" s="18">
        <f t="shared" ca="1" si="11"/>
        <v>-198127.07248000096</v>
      </c>
      <c r="S11" s="18">
        <f t="shared" ca="1" si="11"/>
        <v>-201283.05054000198</v>
      </c>
      <c r="T11" s="18">
        <f t="shared" ca="1" si="11"/>
        <v>-202367.31854000298</v>
      </c>
      <c r="U11" s="18">
        <f t="shared" ca="1" si="11"/>
        <v>-197898.19980000198</v>
      </c>
      <c r="V11" s="18">
        <f t="shared" ca="1" si="11"/>
        <v>-188089.23092000201</v>
      </c>
      <c r="W11" s="18">
        <f t="shared" ca="1" si="11"/>
        <v>-195502.32333000202</v>
      </c>
      <c r="X11" s="18">
        <f t="shared" ca="1" si="11"/>
        <v>-203219.77184000201</v>
      </c>
      <c r="Y11" s="18">
        <f t="shared" ca="1" si="11"/>
        <v>-209665.42819000199</v>
      </c>
      <c r="Z11" s="18">
        <f t="shared" ca="1" si="11"/>
        <v>-210951.83391000205</v>
      </c>
      <c r="AA11" s="18">
        <f t="shared" ca="1" si="11"/>
        <v>-216914.81519000203</v>
      </c>
      <c r="AB11" s="19">
        <f t="shared" ca="1" si="11"/>
        <v>-2407635.8665700229</v>
      </c>
      <c r="AC11" s="49">
        <f ca="1">IF(SUM(J11:O11)+SUM(V11:AA11)&lt;0.001,0,IF(SUM(J11:O11)&lt;0.001,1,IF(SUM(V11:AA11)&lt;0.001,-1,SUM(V11:AA11)/(SUM(J11:O11))-1)))</f>
        <v>0</v>
      </c>
      <c r="AD11" s="50">
        <f ca="1">IF(SUM(D11:O11)+SUM(P11:AA11)&lt;0.001,0,IF(SUM(D11:O11)&lt;0.001,1,IF(SUM(P11:AA11)&lt;0.001,-1,SUM(P11:AA11)/(SUM(D11:O11))-1)))</f>
        <v>0</v>
      </c>
      <c r="AE11" s="50">
        <f ca="1">AVERAGE(AE9:AE10)</f>
        <v>-0.5</v>
      </c>
      <c r="AF11" s="50">
        <f ca="1">AVERAGE(AF9:AF10)</f>
        <v>0.5</v>
      </c>
      <c r="AG11" s="51" t="s">
        <v>48</v>
      </c>
      <c r="AH11" s="52">
        <f ca="1">IF(AB11&lt;&gt;0,AU11/AB11-1,0)</f>
        <v>0</v>
      </c>
      <c r="AI11" s="20">
        <f t="shared" ref="AI11:AU11" ca="1" si="12">SUM(AI9:AI10)</f>
        <v>-144458.15199420135</v>
      </c>
      <c r="AJ11" s="20">
        <f t="shared" ca="1" si="12"/>
        <v>-144458.15199420135</v>
      </c>
      <c r="AK11" s="20">
        <f t="shared" ca="1" si="12"/>
        <v>-168534.51065990163</v>
      </c>
      <c r="AL11" s="20">
        <f t="shared" ca="1" si="12"/>
        <v>-216687.22799130206</v>
      </c>
      <c r="AM11" s="20">
        <f t="shared" ca="1" si="12"/>
        <v>-264839.94532270252</v>
      </c>
      <c r="AN11" s="20">
        <f t="shared" ca="1" si="12"/>
        <v>-337069.02131980326</v>
      </c>
      <c r="AO11" s="20">
        <f t="shared" ca="1" si="12"/>
        <v>-240763.58665700231</v>
      </c>
      <c r="AP11" s="20">
        <f t="shared" ca="1" si="12"/>
        <v>-216687.22799130206</v>
      </c>
      <c r="AQ11" s="20">
        <f t="shared" ca="1" si="12"/>
        <v>-192610.86932560185</v>
      </c>
      <c r="AR11" s="20">
        <f t="shared" ca="1" si="12"/>
        <v>-168534.51065990163</v>
      </c>
      <c r="AS11" s="20">
        <f t="shared" ca="1" si="12"/>
        <v>-168534.51065990163</v>
      </c>
      <c r="AT11" s="20">
        <f t="shared" ca="1" si="12"/>
        <v>-144458.15199420135</v>
      </c>
      <c r="AU11" s="20">
        <f t="shared" ca="1" si="12"/>
        <v>-2407635.8665700229</v>
      </c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8"/>
      <c r="CP11" s="58"/>
      <c r="CQ11" s="58"/>
      <c r="CR11" s="58"/>
      <c r="CS11" s="58"/>
      <c r="CT11" s="58"/>
      <c r="CU11" s="58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8"/>
      <c r="DT11" s="58"/>
      <c r="DU11" s="58"/>
      <c r="DV11" s="58"/>
      <c r="DW11" s="58"/>
      <c r="DX11" s="58"/>
      <c r="DY11" s="58"/>
      <c r="DZ11" s="58"/>
      <c r="EA11" s="58"/>
      <c r="EB11" s="58"/>
      <c r="EC11" s="58"/>
      <c r="ED11" s="58"/>
      <c r="EE11" s="58"/>
      <c r="EF11" s="58"/>
      <c r="EG11" s="58"/>
      <c r="EH11" s="58"/>
      <c r="EI11" s="58"/>
      <c r="EJ11" s="58"/>
      <c r="EK11" s="58"/>
      <c r="EL11" s="58"/>
      <c r="EM11" s="58"/>
      <c r="EN11" s="58"/>
      <c r="EO11" s="58"/>
      <c r="EP11" s="58"/>
      <c r="EQ11" s="58"/>
      <c r="ER11" s="58"/>
      <c r="ES11" s="58"/>
      <c r="ET11" s="58"/>
      <c r="EU11" s="58"/>
      <c r="EV11" s="58"/>
      <c r="EW11" s="58"/>
      <c r="EX11" s="58"/>
      <c r="EY11" s="58"/>
      <c r="EZ11" s="58"/>
      <c r="FA11" s="58"/>
      <c r="FB11" s="58"/>
      <c r="FC11" s="58"/>
      <c r="FD11" s="58"/>
      <c r="FE11" s="58"/>
      <c r="FF11" s="58"/>
      <c r="FG11" s="58"/>
      <c r="FH11" s="58"/>
      <c r="FI11" s="58"/>
      <c r="FJ11" s="58"/>
      <c r="FK11" s="58"/>
      <c r="FL11" s="58"/>
      <c r="FM11" s="58"/>
      <c r="FN11" s="58"/>
      <c r="FO11" s="58"/>
      <c r="FP11" s="58"/>
      <c r="FQ11" s="58"/>
      <c r="FR11" s="58"/>
      <c r="FS11" s="58"/>
      <c r="FT11" s="58"/>
      <c r="FU11" s="58"/>
      <c r="FV11" s="58"/>
      <c r="FW11" s="58"/>
      <c r="FX11" s="58"/>
      <c r="FY11" s="58"/>
      <c r="FZ11" s="58"/>
      <c r="GA11" s="58"/>
      <c r="GB11" s="58"/>
      <c r="GC11" s="58"/>
      <c r="GD11" s="58"/>
      <c r="GE11" s="58"/>
      <c r="GF11" s="58"/>
      <c r="GG11" s="58"/>
      <c r="GH11" s="58"/>
      <c r="GI11" s="58"/>
      <c r="GJ11" s="58"/>
      <c r="GK11" s="58"/>
      <c r="GL11" s="58"/>
      <c r="GM11" s="58"/>
      <c r="GN11" s="58"/>
      <c r="GO11" s="58"/>
      <c r="GP11" s="58"/>
      <c r="GQ11" s="58"/>
      <c r="GR11" s="58"/>
      <c r="GS11" s="58"/>
      <c r="GT11" s="58"/>
      <c r="GU11" s="58"/>
      <c r="GV11" s="58"/>
      <c r="GW11" s="58"/>
      <c r="GX11" s="58"/>
      <c r="GY11" s="58"/>
      <c r="GZ11" s="58"/>
      <c r="HA11" s="58"/>
      <c r="HB11" s="58"/>
      <c r="HC11" s="58"/>
    </row>
    <row r="12" spans="1:211" ht="15" customHeight="1" x14ac:dyDescent="0.2"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55" t="s">
        <v>54</v>
      </c>
    </row>
  </sheetData>
  <mergeCells count="5">
    <mergeCell ref="B6:C7"/>
    <mergeCell ref="AB6:AB7"/>
    <mergeCell ref="AH6:AH7"/>
    <mergeCell ref="AU6:AU7"/>
    <mergeCell ref="B11:C11"/>
  </mergeCells>
  <conditionalFormatting sqref="AC9:AH11">
    <cfRule type="cellIs" dxfId="3" priority="1" operator="greaterThan">
      <formula>0.5</formula>
    </cfRule>
    <cfRule type="cellIs" dxfId="2" priority="2" operator="lessThan">
      <formula>-0.5</formula>
    </cfRule>
  </conditionalFormatting>
  <pageMargins left="0.7" right="0.7" top="0.78740157499999996" bottom="0.78740157499999996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GO12"/>
  <sheetViews>
    <sheetView zoomScale="115" zoomScaleNormal="115" zoomScalePageLayoutView="115" workbookViewId="0">
      <selection activeCell="D14" sqref="D14"/>
    </sheetView>
  </sheetViews>
  <sheetFormatPr defaultColWidth="9.140625" defaultRowHeight="15" outlineLevelCol="1" x14ac:dyDescent="0.2"/>
  <cols>
    <col min="1" max="1" width="1.7109375" style="59" customWidth="1"/>
    <col min="2" max="2" width="30.28515625" style="60" bestFit="1" customWidth="1"/>
    <col min="3" max="3" width="9.28515625" style="60" customWidth="1"/>
    <col min="4" max="4" width="9.28515625" style="55" customWidth="1" outlineLevel="1"/>
    <col min="5" max="5" width="10.140625" style="55" customWidth="1" outlineLevel="1"/>
    <col min="6" max="11" width="9.28515625" style="55" customWidth="1" outlineLevel="1"/>
    <col min="12" max="12" width="10.28515625" style="55" customWidth="1" outlineLevel="1"/>
    <col min="13" max="16" width="9.28515625" style="55" customWidth="1" outlineLevel="1"/>
    <col min="17" max="17" width="10.140625" style="55" customWidth="1" outlineLevel="1"/>
    <col min="18" max="20" width="9.28515625" style="55" customWidth="1" outlineLevel="1"/>
    <col min="21" max="21" width="9.28515625" style="61" customWidth="1" outlineLevel="1"/>
    <col min="22" max="23" width="9.28515625" style="62" customWidth="1" outlineLevel="1"/>
    <col min="24" max="24" width="10.28515625" style="62" customWidth="1" outlineLevel="1"/>
    <col min="25" max="26" width="9.28515625" style="62" customWidth="1" outlineLevel="1"/>
    <col min="27" max="27" width="9.28515625" style="55" customWidth="1" outlineLevel="1"/>
    <col min="28" max="28" width="9.28515625" style="55" customWidth="1"/>
    <col min="29" max="33" width="9.28515625" style="63" customWidth="1" outlineLevel="1"/>
    <col min="34" max="34" width="11.7109375" style="63" customWidth="1"/>
    <col min="35" max="197" width="9.140625" style="55"/>
    <col min="198" max="16384" width="9.140625" style="64"/>
  </cols>
  <sheetData>
    <row r="1" spans="1:197" ht="10.35" customHeight="1" thickBot="1" x14ac:dyDescent="0.25"/>
    <row r="2" spans="1:197" ht="15" customHeight="1" x14ac:dyDescent="0.2">
      <c r="B2" s="8" t="s">
        <v>60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3"/>
      <c r="AC2" s="9"/>
      <c r="AD2" s="10"/>
      <c r="AE2" s="10"/>
      <c r="AF2" s="10"/>
      <c r="AG2" s="10"/>
      <c r="AH2" s="11" t="s">
        <v>40</v>
      </c>
    </row>
    <row r="3" spans="1:197" ht="15" customHeight="1" x14ac:dyDescent="0.2">
      <c r="B3" s="127" t="s">
        <v>52</v>
      </c>
      <c r="C3" s="6">
        <v>42551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4"/>
      <c r="AC3" s="1"/>
      <c r="AD3" s="2"/>
      <c r="AE3" s="2"/>
      <c r="AF3" s="2"/>
      <c r="AG3" s="2"/>
      <c r="AH3" s="7"/>
    </row>
    <row r="4" spans="1:197" ht="15" customHeight="1" x14ac:dyDescent="0.2">
      <c r="B4" s="15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4"/>
      <c r="AC4" s="1"/>
      <c r="AD4" s="2"/>
      <c r="AE4" s="2"/>
      <c r="AF4" s="2"/>
      <c r="AG4" s="2"/>
      <c r="AH4" s="7"/>
    </row>
    <row r="5" spans="1:197" ht="12" customHeight="1" thickBot="1" x14ac:dyDescent="0.25">
      <c r="B5" s="16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4"/>
      <c r="AC5" s="1"/>
      <c r="AD5" s="2"/>
      <c r="AE5" s="2"/>
      <c r="AF5" s="2"/>
      <c r="AG5" s="2"/>
      <c r="AH5" s="7"/>
    </row>
    <row r="6" spans="1:197" s="56" customFormat="1" ht="12" customHeight="1" x14ac:dyDescent="0.2">
      <c r="A6" s="65"/>
      <c r="B6" s="139"/>
      <c r="C6" s="140"/>
      <c r="D6" s="21">
        <f ca="1">D7-IF(MONTH(D7)=2,IF(OR(YEAR(D7)=2008,YEAR(D7)=2012,YEAR(D7)=2016),29,28),IF(OR(MONTH(D7)=4,MONTH(D7)=6,MONTH(D7)=9,MONTH(D7)=11),30,31))+1</f>
        <v>41821</v>
      </c>
      <c r="E6" s="22">
        <f t="shared" ref="E6:AA6" ca="1" si="0">E7-IF(MONTH(E7)=2,IF(OR(YEAR(E7)=2008,YEAR(E7)=2012,YEAR(E7)=2016),29,28),IF(OR(MONTH(E7)=4,MONTH(E7)=6,MONTH(E7)=9,MONTH(E7)=11),30,31))+1</f>
        <v>41852</v>
      </c>
      <c r="F6" s="22">
        <f t="shared" ca="1" si="0"/>
        <v>41883</v>
      </c>
      <c r="G6" s="22">
        <f t="shared" ca="1" si="0"/>
        <v>41913</v>
      </c>
      <c r="H6" s="22">
        <f t="shared" ca="1" si="0"/>
        <v>41944</v>
      </c>
      <c r="I6" s="22">
        <f t="shared" ca="1" si="0"/>
        <v>41974</v>
      </c>
      <c r="J6" s="22">
        <f t="shared" ca="1" si="0"/>
        <v>42005</v>
      </c>
      <c r="K6" s="22">
        <f t="shared" ca="1" si="0"/>
        <v>42036</v>
      </c>
      <c r="L6" s="22">
        <f t="shared" ca="1" si="0"/>
        <v>42064</v>
      </c>
      <c r="M6" s="22">
        <f t="shared" ca="1" si="0"/>
        <v>42095</v>
      </c>
      <c r="N6" s="22">
        <f t="shared" ca="1" si="0"/>
        <v>42125</v>
      </c>
      <c r="O6" s="22">
        <f t="shared" ca="1" si="0"/>
        <v>42156</v>
      </c>
      <c r="P6" s="22">
        <f t="shared" ca="1" si="0"/>
        <v>42186</v>
      </c>
      <c r="Q6" s="22">
        <f t="shared" ca="1" si="0"/>
        <v>42217</v>
      </c>
      <c r="R6" s="22">
        <f t="shared" ca="1" si="0"/>
        <v>42248</v>
      </c>
      <c r="S6" s="22">
        <f t="shared" ca="1" si="0"/>
        <v>42278</v>
      </c>
      <c r="T6" s="22">
        <f t="shared" ca="1" si="0"/>
        <v>42309</v>
      </c>
      <c r="U6" s="22">
        <f t="shared" ca="1" si="0"/>
        <v>42339</v>
      </c>
      <c r="V6" s="22">
        <f t="shared" ca="1" si="0"/>
        <v>42370</v>
      </c>
      <c r="W6" s="22">
        <f t="shared" ca="1" si="0"/>
        <v>42401</v>
      </c>
      <c r="X6" s="22">
        <f t="shared" ca="1" si="0"/>
        <v>42430</v>
      </c>
      <c r="Y6" s="22">
        <f t="shared" ca="1" si="0"/>
        <v>42461</v>
      </c>
      <c r="Z6" s="22">
        <f t="shared" ca="1" si="0"/>
        <v>42491</v>
      </c>
      <c r="AA6" s="22">
        <f t="shared" ca="1" si="0"/>
        <v>42522</v>
      </c>
      <c r="AB6" s="135"/>
      <c r="AC6" s="10"/>
      <c r="AD6" s="10"/>
      <c r="AE6" s="10"/>
      <c r="AF6" s="10"/>
      <c r="AG6" s="10"/>
      <c r="AH6" s="137"/>
    </row>
    <row r="7" spans="1:197" s="56" customFormat="1" ht="12" customHeight="1" thickBot="1" x14ac:dyDescent="0.25">
      <c r="A7" s="65"/>
      <c r="B7" s="141"/>
      <c r="C7" s="142"/>
      <c r="D7" s="25">
        <f t="shared" ref="D7:Z7" ca="1" si="1">E6-1</f>
        <v>41851</v>
      </c>
      <c r="E7" s="26">
        <f t="shared" ca="1" si="1"/>
        <v>41882</v>
      </c>
      <c r="F7" s="26">
        <f t="shared" ca="1" si="1"/>
        <v>41912</v>
      </c>
      <c r="G7" s="26">
        <f t="shared" ca="1" si="1"/>
        <v>41943</v>
      </c>
      <c r="H7" s="26">
        <f t="shared" ca="1" si="1"/>
        <v>41973</v>
      </c>
      <c r="I7" s="26">
        <f t="shared" ca="1" si="1"/>
        <v>42004</v>
      </c>
      <c r="J7" s="26">
        <f t="shared" ca="1" si="1"/>
        <v>42035</v>
      </c>
      <c r="K7" s="26">
        <f t="shared" ca="1" si="1"/>
        <v>42063</v>
      </c>
      <c r="L7" s="26">
        <f t="shared" ca="1" si="1"/>
        <v>42094</v>
      </c>
      <c r="M7" s="26">
        <f t="shared" ca="1" si="1"/>
        <v>42124</v>
      </c>
      <c r="N7" s="26">
        <f t="shared" ca="1" si="1"/>
        <v>42155</v>
      </c>
      <c r="O7" s="26">
        <f t="shared" ca="1" si="1"/>
        <v>42185</v>
      </c>
      <c r="P7" s="26">
        <f t="shared" ca="1" si="1"/>
        <v>42216</v>
      </c>
      <c r="Q7" s="26">
        <f t="shared" ca="1" si="1"/>
        <v>42247</v>
      </c>
      <c r="R7" s="26">
        <f t="shared" ca="1" si="1"/>
        <v>42277</v>
      </c>
      <c r="S7" s="26">
        <f t="shared" ca="1" si="1"/>
        <v>42308</v>
      </c>
      <c r="T7" s="26">
        <f t="shared" ca="1" si="1"/>
        <v>42338</v>
      </c>
      <c r="U7" s="26">
        <f t="shared" ca="1" si="1"/>
        <v>42369</v>
      </c>
      <c r="V7" s="26">
        <f t="shared" ca="1" si="1"/>
        <v>42400</v>
      </c>
      <c r="W7" s="26">
        <f t="shared" ca="1" si="1"/>
        <v>42429</v>
      </c>
      <c r="X7" s="26">
        <f t="shared" ca="1" si="1"/>
        <v>42460</v>
      </c>
      <c r="Y7" s="26">
        <f t="shared" ca="1" si="1"/>
        <v>42490</v>
      </c>
      <c r="Z7" s="26">
        <f t="shared" ca="1" si="1"/>
        <v>42521</v>
      </c>
      <c r="AA7" s="26">
        <f ca="1">C3</f>
        <v>42551</v>
      </c>
      <c r="AB7" s="136"/>
      <c r="AC7" s="24"/>
      <c r="AD7" s="24"/>
      <c r="AE7" s="24"/>
      <c r="AF7" s="24"/>
      <c r="AG7" s="24"/>
      <c r="AH7" s="138"/>
    </row>
    <row r="8" spans="1:197" s="57" customFormat="1" ht="12" customHeight="1" thickBot="1" x14ac:dyDescent="0.25">
      <c r="A8" s="66"/>
      <c r="B8" s="28" t="s">
        <v>0</v>
      </c>
      <c r="C8" s="29" t="s">
        <v>46</v>
      </c>
      <c r="D8" s="30">
        <f t="shared" ref="D8:AA8" ca="1" si="2">D6</f>
        <v>41821</v>
      </c>
      <c r="E8" s="31">
        <f t="shared" ca="1" si="2"/>
        <v>41852</v>
      </c>
      <c r="F8" s="31">
        <f t="shared" ca="1" si="2"/>
        <v>41883</v>
      </c>
      <c r="G8" s="32">
        <f t="shared" ca="1" si="2"/>
        <v>41913</v>
      </c>
      <c r="H8" s="32">
        <f t="shared" ca="1" si="2"/>
        <v>41944</v>
      </c>
      <c r="I8" s="32">
        <f t="shared" ca="1" si="2"/>
        <v>41974</v>
      </c>
      <c r="J8" s="32">
        <f t="shared" ca="1" si="2"/>
        <v>42005</v>
      </c>
      <c r="K8" s="32">
        <f t="shared" ca="1" si="2"/>
        <v>42036</v>
      </c>
      <c r="L8" s="32">
        <f t="shared" ca="1" si="2"/>
        <v>42064</v>
      </c>
      <c r="M8" s="32">
        <f t="shared" ca="1" si="2"/>
        <v>42095</v>
      </c>
      <c r="N8" s="32">
        <f t="shared" ca="1" si="2"/>
        <v>42125</v>
      </c>
      <c r="O8" s="32">
        <f t="shared" ca="1" si="2"/>
        <v>42156</v>
      </c>
      <c r="P8" s="32">
        <f t="shared" ca="1" si="2"/>
        <v>42186</v>
      </c>
      <c r="Q8" s="32">
        <f t="shared" ca="1" si="2"/>
        <v>42217</v>
      </c>
      <c r="R8" s="32">
        <f t="shared" ca="1" si="2"/>
        <v>42248</v>
      </c>
      <c r="S8" s="32">
        <f t="shared" ca="1" si="2"/>
        <v>42278</v>
      </c>
      <c r="T8" s="32">
        <f t="shared" ca="1" si="2"/>
        <v>42309</v>
      </c>
      <c r="U8" s="32">
        <f t="shared" ca="1" si="2"/>
        <v>42339</v>
      </c>
      <c r="V8" s="32">
        <f t="shared" ca="1" si="2"/>
        <v>42370</v>
      </c>
      <c r="W8" s="32">
        <f t="shared" ca="1" si="2"/>
        <v>42401</v>
      </c>
      <c r="X8" s="32">
        <f t="shared" ca="1" si="2"/>
        <v>42430</v>
      </c>
      <c r="Y8" s="32">
        <f t="shared" ca="1" si="2"/>
        <v>42461</v>
      </c>
      <c r="Z8" s="32">
        <f t="shared" ca="1" si="2"/>
        <v>42491</v>
      </c>
      <c r="AA8" s="32">
        <f t="shared" ca="1" si="2"/>
        <v>42522</v>
      </c>
      <c r="AB8" s="47" t="s">
        <v>36</v>
      </c>
      <c r="AC8" s="48" t="s">
        <v>42</v>
      </c>
      <c r="AD8" s="33" t="s">
        <v>43</v>
      </c>
      <c r="AE8" s="33" t="s">
        <v>44</v>
      </c>
      <c r="AF8" s="33" t="s">
        <v>45</v>
      </c>
      <c r="AG8" s="33" t="s">
        <v>39</v>
      </c>
      <c r="AH8" s="47" t="s">
        <v>41</v>
      </c>
    </row>
    <row r="9" spans="1:197" ht="15" customHeight="1" thickBot="1" x14ac:dyDescent="0.25">
      <c r="B9" s="36" t="s">
        <v>58</v>
      </c>
      <c r="C9" s="37" t="s">
        <v>55</v>
      </c>
      <c r="D9" s="38">
        <f t="shared" ref="D9:M10" ca="1" si="3">AbraBalance(URL,Username,Password,$C9,(D$6-1))/1000+AbraTurnover(URL,Username,Password,$C9,D$6,D$7)/1000</f>
        <v>204.6020599999641</v>
      </c>
      <c r="E9" s="38">
        <f t="shared" ca="1" si="3"/>
        <v>264.170059999964</v>
      </c>
      <c r="F9" s="38">
        <f t="shared" ca="1" si="3"/>
        <v>248.18405999996406</v>
      </c>
      <c r="G9" s="38">
        <f t="shared" ca="1" si="3"/>
        <v>227.57134999996401</v>
      </c>
      <c r="H9" s="38">
        <f t="shared" ca="1" si="3"/>
        <v>384.77507999998602</v>
      </c>
      <c r="I9" s="38">
        <f t="shared" ca="1" si="3"/>
        <v>438.41707999998596</v>
      </c>
      <c r="J9" s="38">
        <f t="shared" ca="1" si="3"/>
        <v>202.086189999986</v>
      </c>
      <c r="K9" s="38">
        <f t="shared" ca="1" si="3"/>
        <v>225.52718999998601</v>
      </c>
      <c r="L9" s="38">
        <f t="shared" ca="1" si="3"/>
        <v>342.00292999998601</v>
      </c>
      <c r="M9" s="38">
        <f t="shared" ca="1" si="3"/>
        <v>451.89592999998604</v>
      </c>
      <c r="N9" s="38">
        <f t="shared" ref="N9:AA10" ca="1" si="4">AbraBalance(URL,Username,Password,$C9,(N$6-1))/1000+AbraTurnover(URL,Username,Password,$C9,N$6,N$7)/1000</f>
        <v>517.25692999998603</v>
      </c>
      <c r="O9" s="38">
        <f t="shared" ca="1" si="4"/>
        <v>229.09844999998603</v>
      </c>
      <c r="P9" s="38">
        <f t="shared" ca="1" si="4"/>
        <v>284.692450000024</v>
      </c>
      <c r="Q9" s="38">
        <f t="shared" ca="1" si="4"/>
        <v>413.228450000024</v>
      </c>
      <c r="R9" s="38">
        <f t="shared" ca="1" si="4"/>
        <v>470.08059000002402</v>
      </c>
      <c r="S9" s="38">
        <f t="shared" ca="1" si="4"/>
        <v>549.74230000002399</v>
      </c>
      <c r="T9" s="38">
        <f t="shared" ca="1" si="4"/>
        <v>411.502990000024</v>
      </c>
      <c r="U9" s="38">
        <f t="shared" ca="1" si="4"/>
        <v>389.92928000002399</v>
      </c>
      <c r="V9" s="38">
        <f t="shared" ca="1" si="4"/>
        <v>433.138280000002</v>
      </c>
      <c r="W9" s="38">
        <f t="shared" ca="1" si="4"/>
        <v>617.79678000000195</v>
      </c>
      <c r="X9" s="38">
        <f t="shared" ca="1" si="4"/>
        <v>501.82972999999708</v>
      </c>
      <c r="Y9" s="38">
        <f t="shared" ca="1" si="4"/>
        <v>517.82811999999706</v>
      </c>
      <c r="Z9" s="38">
        <f t="shared" ca="1" si="4"/>
        <v>463.91441999995499</v>
      </c>
      <c r="AA9" s="38">
        <f t="shared" ca="1" si="4"/>
        <v>412.593319999995</v>
      </c>
      <c r="AB9" s="71">
        <f ca="1">SUM(P9:AA9)</f>
        <v>5466.276710000092</v>
      </c>
      <c r="AC9" s="76">
        <f t="shared" ref="AC9:AC10" ca="1" si="5">IF(SUM(J9:O9)+SUM(V9:AA9)&lt;0.001,0,IF(SUM(J9:O9)&lt;0.001,1,IF(SUM(V9:AA9)&lt;0.001,-1,SUM(V9:AA9)/(SUM(J9:O9))-1)))</f>
        <v>0.49761123159294307</v>
      </c>
      <c r="AD9" s="76">
        <f t="shared" ref="AD9:AD10" ca="1" si="6">IF(SUM(D9:O9)+SUM(P9:AA9)&lt;0.001,0,IF(SUM(D9:O9)&lt;0.001,1,IF(SUM(P9:AA9)&lt;0.001,-1,SUM(P9:AA9)/(SUM(D9:O9))-1)))</f>
        <v>0.46329780470328963</v>
      </c>
      <c r="AE9" s="76">
        <v>-0.5</v>
      </c>
      <c r="AF9" s="76">
        <v>0.5</v>
      </c>
      <c r="AG9" s="76" t="s">
        <v>48</v>
      </c>
      <c r="AH9" s="78">
        <f t="shared" ref="AH9:AH10" ca="1" si="7">IF($AG9&lt;&gt;"-",$AG9,IF($AC9&lt;$AE9,$AE9,IF($AC9&gt;$AF9,$AF9,$AC9)))</f>
        <v>0.49761123159294307</v>
      </c>
      <c r="AI9" s="57"/>
      <c r="AJ9" s="57"/>
    </row>
    <row r="10" spans="1:197" ht="15" customHeight="1" thickBot="1" x14ac:dyDescent="0.25">
      <c r="B10" s="39" t="s">
        <v>57</v>
      </c>
      <c r="C10" s="40" t="s">
        <v>56</v>
      </c>
      <c r="D10" s="38">
        <f t="shared" ca="1" si="3"/>
        <v>-144721.292680001</v>
      </c>
      <c r="E10" s="38">
        <f t="shared" ca="1" si="3"/>
        <v>-147552.88067000199</v>
      </c>
      <c r="F10" s="38">
        <f t="shared" ca="1" si="3"/>
        <v>-179745.01443000202</v>
      </c>
      <c r="G10" s="38">
        <f t="shared" ca="1" si="3"/>
        <v>-167529.72629000101</v>
      </c>
      <c r="H10" s="38">
        <f t="shared" ca="1" si="3"/>
        <v>-174126.34356000298</v>
      </c>
      <c r="I10" s="38">
        <f t="shared" ca="1" si="3"/>
        <v>-170779.07611000098</v>
      </c>
      <c r="J10" s="38">
        <f t="shared" ca="1" si="3"/>
        <v>-150361.32405000099</v>
      </c>
      <c r="K10" s="38">
        <f t="shared" ca="1" si="3"/>
        <v>-155787.653310002</v>
      </c>
      <c r="L10" s="38">
        <f t="shared" ca="1" si="3"/>
        <v>-160804.97200000199</v>
      </c>
      <c r="M10" s="38">
        <f t="shared" ca="1" si="3"/>
        <v>-165578.26024000102</v>
      </c>
      <c r="N10" s="38">
        <f t="shared" ca="1" si="4"/>
        <v>-172145.05085000099</v>
      </c>
      <c r="O10" s="38">
        <f t="shared" ca="1" si="4"/>
        <v>-180411.60660000198</v>
      </c>
      <c r="P10" s="38">
        <f t="shared" ca="1" si="4"/>
        <v>-186033.88080000103</v>
      </c>
      <c r="Q10" s="38">
        <f t="shared" ca="1" si="4"/>
        <v>-192814.58522000202</v>
      </c>
      <c r="R10" s="38">
        <f t="shared" ca="1" si="4"/>
        <v>-198597.15307000099</v>
      </c>
      <c r="S10" s="38">
        <f t="shared" ca="1" si="4"/>
        <v>-201832.79284000199</v>
      </c>
      <c r="T10" s="38">
        <f t="shared" ca="1" si="4"/>
        <v>-202778.82153000301</v>
      </c>
      <c r="U10" s="38">
        <f t="shared" ca="1" si="4"/>
        <v>-198288.12908000199</v>
      </c>
      <c r="V10" s="38">
        <f t="shared" ca="1" si="4"/>
        <v>-188522.36920000202</v>
      </c>
      <c r="W10" s="38">
        <f t="shared" ca="1" si="4"/>
        <v>-196120.12011000203</v>
      </c>
      <c r="X10" s="38">
        <f t="shared" ca="1" si="4"/>
        <v>-203721.60157000201</v>
      </c>
      <c r="Y10" s="38">
        <f t="shared" ca="1" si="4"/>
        <v>-210183.25631000198</v>
      </c>
      <c r="Z10" s="38">
        <f t="shared" ca="1" si="4"/>
        <v>-211415.74833000201</v>
      </c>
      <c r="AA10" s="38">
        <f t="shared" ca="1" si="4"/>
        <v>-217327.40851000202</v>
      </c>
      <c r="AB10" s="72">
        <f ca="1">SUM(P10:AA10)</f>
        <v>-2407635.8665700229</v>
      </c>
      <c r="AC10" s="77">
        <f t="shared" ca="1" si="5"/>
        <v>0</v>
      </c>
      <c r="AD10" s="77">
        <f t="shared" ca="1" si="6"/>
        <v>0</v>
      </c>
      <c r="AE10" s="77">
        <v>-0.5</v>
      </c>
      <c r="AF10" s="77">
        <v>0.5</v>
      </c>
      <c r="AG10" s="77" t="s">
        <v>48</v>
      </c>
      <c r="AH10" s="79">
        <f t="shared" ca="1" si="7"/>
        <v>0</v>
      </c>
    </row>
    <row r="11" spans="1:197" s="68" customFormat="1" ht="15" customHeight="1" thickBot="1" x14ac:dyDescent="0.25">
      <c r="A11" s="67"/>
      <c r="B11" s="133" t="s">
        <v>59</v>
      </c>
      <c r="C11" s="134"/>
      <c r="D11" s="17">
        <f t="shared" ref="D11:AB11" ca="1" si="8">SUM(D9:D10)</f>
        <v>-144516.69062000103</v>
      </c>
      <c r="E11" s="18">
        <f t="shared" ca="1" si="8"/>
        <v>-147288.71061000202</v>
      </c>
      <c r="F11" s="18">
        <f t="shared" ca="1" si="8"/>
        <v>-179496.83037000205</v>
      </c>
      <c r="G11" s="18">
        <f t="shared" ca="1" si="8"/>
        <v>-167302.15494000106</v>
      </c>
      <c r="H11" s="18">
        <f t="shared" ca="1" si="8"/>
        <v>-173741.56848000298</v>
      </c>
      <c r="I11" s="18">
        <f t="shared" ca="1" si="8"/>
        <v>-170340.659030001</v>
      </c>
      <c r="J11" s="18">
        <f t="shared" ca="1" si="8"/>
        <v>-150159.23786000101</v>
      </c>
      <c r="K11" s="18">
        <f t="shared" ca="1" si="8"/>
        <v>-155562.12612000201</v>
      </c>
      <c r="L11" s="18">
        <f t="shared" ca="1" si="8"/>
        <v>-160462.969070002</v>
      </c>
      <c r="M11" s="18">
        <f t="shared" ca="1" si="8"/>
        <v>-165126.36431000102</v>
      </c>
      <c r="N11" s="18">
        <f t="shared" ca="1" si="8"/>
        <v>-171627.79392000102</v>
      </c>
      <c r="O11" s="18">
        <f t="shared" ca="1" si="8"/>
        <v>-180182.50815000199</v>
      </c>
      <c r="P11" s="18">
        <f t="shared" ca="1" si="8"/>
        <v>-185749.188350001</v>
      </c>
      <c r="Q11" s="18">
        <f t="shared" ca="1" si="8"/>
        <v>-192401.35677000199</v>
      </c>
      <c r="R11" s="18">
        <f t="shared" ca="1" si="8"/>
        <v>-198127.07248000096</v>
      </c>
      <c r="S11" s="18">
        <f t="shared" ca="1" si="8"/>
        <v>-201283.05054000198</v>
      </c>
      <c r="T11" s="18">
        <f t="shared" ca="1" si="8"/>
        <v>-202367.31854000298</v>
      </c>
      <c r="U11" s="18">
        <f t="shared" ca="1" si="8"/>
        <v>-197898.19980000198</v>
      </c>
      <c r="V11" s="18">
        <f t="shared" ca="1" si="8"/>
        <v>-188089.23092000201</v>
      </c>
      <c r="W11" s="18">
        <f t="shared" ca="1" si="8"/>
        <v>-195502.32333000202</v>
      </c>
      <c r="X11" s="18">
        <f t="shared" ca="1" si="8"/>
        <v>-203219.77184000201</v>
      </c>
      <c r="Y11" s="18">
        <f t="shared" ca="1" si="8"/>
        <v>-209665.42819000199</v>
      </c>
      <c r="Z11" s="18">
        <f t="shared" ca="1" si="8"/>
        <v>-210951.83391000205</v>
      </c>
      <c r="AA11" s="18">
        <f t="shared" ca="1" si="8"/>
        <v>-216914.81519000203</v>
      </c>
      <c r="AB11" s="19">
        <f t="shared" ca="1" si="8"/>
        <v>-2402169.589860023</v>
      </c>
      <c r="AC11" s="49">
        <f ca="1">IF(SUM(J11:O11)+SUM(V11:AA11)&lt;0.001,0,IF(SUM(J11:O11)&lt;0.001,1,IF(SUM(V11:AA11)&lt;0.001,-1,SUM(V11:AA11)/(SUM(J11:O11))-1)))</f>
        <v>0</v>
      </c>
      <c r="AD11" s="50">
        <f ca="1">IF(SUM(D11:O11)+SUM(P11:AA11)&lt;0.001,0,IF(SUM(D11:O11)&lt;0.001,1,IF(SUM(P11:AA11)&lt;0.001,-1,SUM(P11:AA11)/(SUM(D11:O11))-1)))</f>
        <v>0</v>
      </c>
      <c r="AE11" s="50">
        <f ca="1">AVERAGE(AE9:AE10)</f>
        <v>-0.5</v>
      </c>
      <c r="AF11" s="50">
        <f ca="1">AVERAGE(AF9:AF10)</f>
        <v>0.5</v>
      </c>
      <c r="AG11" s="51" t="s">
        <v>48</v>
      </c>
      <c r="AH11" s="52" t="e">
        <f ca="1">IF(AB11&lt;&gt;0,#REF!/AB11-1,0)</f>
        <v>#REF!</v>
      </c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8"/>
      <c r="CP11" s="58"/>
      <c r="CQ11" s="58"/>
      <c r="CR11" s="58"/>
      <c r="CS11" s="58"/>
      <c r="CT11" s="58"/>
      <c r="CU11" s="58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8"/>
      <c r="DT11" s="58"/>
      <c r="DU11" s="58"/>
      <c r="DV11" s="58"/>
      <c r="DW11" s="58"/>
      <c r="DX11" s="58"/>
      <c r="DY11" s="58"/>
      <c r="DZ11" s="58"/>
      <c r="EA11" s="58"/>
      <c r="EB11" s="58"/>
      <c r="EC11" s="58"/>
      <c r="ED11" s="58"/>
      <c r="EE11" s="58"/>
      <c r="EF11" s="58"/>
      <c r="EG11" s="58"/>
      <c r="EH11" s="58"/>
      <c r="EI11" s="58"/>
      <c r="EJ11" s="58"/>
      <c r="EK11" s="58"/>
      <c r="EL11" s="58"/>
      <c r="EM11" s="58"/>
      <c r="EN11" s="58"/>
      <c r="EO11" s="58"/>
      <c r="EP11" s="58"/>
      <c r="EQ11" s="58"/>
      <c r="ER11" s="58"/>
      <c r="ES11" s="58"/>
      <c r="ET11" s="58"/>
      <c r="EU11" s="58"/>
      <c r="EV11" s="58"/>
      <c r="EW11" s="58"/>
      <c r="EX11" s="58"/>
      <c r="EY11" s="58"/>
      <c r="EZ11" s="58"/>
      <c r="FA11" s="58"/>
      <c r="FB11" s="58"/>
      <c r="FC11" s="58"/>
      <c r="FD11" s="58"/>
      <c r="FE11" s="58"/>
      <c r="FF11" s="58"/>
      <c r="FG11" s="58"/>
      <c r="FH11" s="58"/>
      <c r="FI11" s="58"/>
      <c r="FJ11" s="58"/>
      <c r="FK11" s="58"/>
      <c r="FL11" s="58"/>
      <c r="FM11" s="58"/>
      <c r="FN11" s="58"/>
      <c r="FO11" s="58"/>
      <c r="FP11" s="58"/>
      <c r="FQ11" s="58"/>
      <c r="FR11" s="58"/>
      <c r="FS11" s="58"/>
      <c r="FT11" s="58"/>
      <c r="FU11" s="58"/>
      <c r="FV11" s="58"/>
      <c r="FW11" s="58"/>
      <c r="FX11" s="58"/>
      <c r="FY11" s="58"/>
      <c r="FZ11" s="58"/>
      <c r="GA11" s="58"/>
      <c r="GB11" s="58"/>
      <c r="GC11" s="58"/>
      <c r="GD11" s="58"/>
      <c r="GE11" s="58"/>
      <c r="GF11" s="58"/>
      <c r="GG11" s="58"/>
      <c r="GH11" s="58"/>
      <c r="GI11" s="58"/>
      <c r="GJ11" s="58"/>
      <c r="GK11" s="58"/>
      <c r="GL11" s="58"/>
      <c r="GM11" s="58"/>
      <c r="GN11" s="58"/>
      <c r="GO11" s="58"/>
    </row>
    <row r="12" spans="1:197" ht="15" customHeight="1" x14ac:dyDescent="0.2"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</row>
  </sheetData>
  <mergeCells count="4">
    <mergeCell ref="B6:C7"/>
    <mergeCell ref="AB6:AB7"/>
    <mergeCell ref="AH6:AH7"/>
    <mergeCell ref="B11:C11"/>
  </mergeCells>
  <conditionalFormatting sqref="AC9:AH11">
    <cfRule type="cellIs" dxfId="1" priority="1" operator="greaterThan">
      <formula>0.5</formula>
    </cfRule>
    <cfRule type="cellIs" dxfId="0" priority="2" operator="lessThan">
      <formula>-0.5</formula>
    </cfRule>
  </conditionalFormatting>
  <pageMargins left="0.7" right="0.7" top="0.78740157499999996" bottom="0.78740157499999996" header="0.3" footer="0.3"/>
  <ignoredErrors>
    <ignoredError sqref="C10" numberStoredAsText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H23"/>
  <sheetViews>
    <sheetView zoomScale="130" zoomScaleNormal="130" zoomScalePageLayoutView="130" workbookViewId="0">
      <selection activeCell="E9" sqref="E9"/>
    </sheetView>
  </sheetViews>
  <sheetFormatPr defaultColWidth="9.140625" defaultRowHeight="15" outlineLevelCol="1" x14ac:dyDescent="0.2"/>
  <cols>
    <col min="1" max="1" width="1.7109375" style="59" customWidth="1"/>
    <col min="2" max="2" width="30.28515625" style="60" bestFit="1" customWidth="1"/>
    <col min="3" max="3" width="9.28515625" style="60" customWidth="1"/>
    <col min="4" max="4" width="9.7109375" style="55" bestFit="1" customWidth="1" outlineLevel="1"/>
    <col min="5" max="5" width="10.140625" style="55" customWidth="1" outlineLevel="1"/>
    <col min="6" max="9" width="9.28515625" style="55" customWidth="1" outlineLevel="1"/>
    <col min="10" max="10" width="10.42578125" style="55" customWidth="1" outlineLevel="1"/>
    <col min="11" max="11" width="9.28515625" style="55" customWidth="1" outlineLevel="1"/>
    <col min="12" max="12" width="10.28515625" style="55" customWidth="1" outlineLevel="1"/>
    <col min="13" max="14" width="9.28515625" style="55" customWidth="1" outlineLevel="1"/>
    <col min="15" max="15" width="10.140625" style="55" customWidth="1" outlineLevel="1"/>
    <col min="16" max="16" width="9.28515625" style="55" customWidth="1" outlineLevel="1"/>
    <col min="17" max="17" width="10.140625" style="55" customWidth="1" outlineLevel="1"/>
    <col min="18" max="20" width="9.28515625" style="55" customWidth="1" outlineLevel="1"/>
    <col min="21" max="21" width="9.28515625" style="61" customWidth="1" outlineLevel="1"/>
    <col min="22" max="22" width="10.42578125" style="62" customWidth="1" outlineLevel="1"/>
    <col min="23" max="23" width="9.28515625" style="62" customWidth="1" outlineLevel="1"/>
    <col min="24" max="24" width="10.28515625" style="62" customWidth="1" outlineLevel="1"/>
    <col min="25" max="26" width="9.28515625" style="62" customWidth="1" outlineLevel="1"/>
    <col min="27" max="27" width="10.140625" style="55" customWidth="1" outlineLevel="1"/>
    <col min="28" max="190" width="9.140625" style="55"/>
    <col min="191" max="16384" width="9.140625" style="64"/>
  </cols>
  <sheetData>
    <row r="1" spans="1:190" ht="10.35" customHeight="1" thickBot="1" x14ac:dyDescent="0.25"/>
    <row r="2" spans="1:190" ht="15" customHeight="1" x14ac:dyDescent="0.2">
      <c r="B2" s="8" t="s">
        <v>61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27" t="s">
        <v>52</v>
      </c>
      <c r="C3" s="6">
        <v>42735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5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6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56" customFormat="1" ht="12" customHeight="1" x14ac:dyDescent="0.2">
      <c r="A6" s="65"/>
      <c r="B6" s="139"/>
      <c r="C6" s="140"/>
      <c r="D6" s="21">
        <f ca="1">D7-IF(MONTH(D7)=2,IF(OR(YEAR(D7)=2008,YEAR(D7)=2012,YEAR(D7)=2016),29,28),IF(OR(MONTH(D7)=4,MONTH(D7)=6,MONTH(D7)=9,MONTH(D7)=11),30,31))+1</f>
        <v>42005</v>
      </c>
      <c r="E6" s="22">
        <f t="shared" ref="E6:AA6" ca="1" si="0">E7-IF(MONTH(E7)=2,IF(OR(YEAR(E7)=2008,YEAR(E7)=2012,YEAR(E7)=2016),29,28),IF(OR(MONTH(E7)=4,MONTH(E7)=6,MONTH(E7)=9,MONTH(E7)=11),30,31))+1</f>
        <v>42036</v>
      </c>
      <c r="F6" s="22">
        <f t="shared" ca="1" si="0"/>
        <v>42064</v>
      </c>
      <c r="G6" s="22">
        <f t="shared" ca="1" si="0"/>
        <v>42095</v>
      </c>
      <c r="H6" s="22">
        <f t="shared" ca="1" si="0"/>
        <v>42125</v>
      </c>
      <c r="I6" s="22">
        <f t="shared" ca="1" si="0"/>
        <v>42156</v>
      </c>
      <c r="J6" s="22">
        <f t="shared" ca="1" si="0"/>
        <v>42186</v>
      </c>
      <c r="K6" s="22">
        <f t="shared" ca="1" si="0"/>
        <v>42217</v>
      </c>
      <c r="L6" s="22">
        <f t="shared" ca="1" si="0"/>
        <v>42248</v>
      </c>
      <c r="M6" s="22">
        <f t="shared" ca="1" si="0"/>
        <v>42278</v>
      </c>
      <c r="N6" s="22">
        <f t="shared" ca="1" si="0"/>
        <v>42309</v>
      </c>
      <c r="O6" s="22">
        <f t="shared" ca="1" si="0"/>
        <v>42339</v>
      </c>
      <c r="P6" s="22">
        <f t="shared" ca="1" si="0"/>
        <v>42370</v>
      </c>
      <c r="Q6" s="22">
        <f t="shared" ca="1" si="0"/>
        <v>42401</v>
      </c>
      <c r="R6" s="22">
        <f t="shared" ca="1" si="0"/>
        <v>42430</v>
      </c>
      <c r="S6" s="22">
        <f t="shared" ca="1" si="0"/>
        <v>42461</v>
      </c>
      <c r="T6" s="22">
        <f t="shared" ca="1" si="0"/>
        <v>42491</v>
      </c>
      <c r="U6" s="22">
        <f t="shared" ca="1" si="0"/>
        <v>42522</v>
      </c>
      <c r="V6" s="22">
        <f t="shared" ca="1" si="0"/>
        <v>42552</v>
      </c>
      <c r="W6" s="22">
        <f t="shared" ca="1" si="0"/>
        <v>42583</v>
      </c>
      <c r="X6" s="22">
        <f t="shared" ca="1" si="0"/>
        <v>42614</v>
      </c>
      <c r="Y6" s="22">
        <f t="shared" ca="1" si="0"/>
        <v>42644</v>
      </c>
      <c r="Z6" s="22">
        <f t="shared" ca="1" si="0"/>
        <v>42675</v>
      </c>
      <c r="AA6" s="22">
        <f t="shared" ca="1" si="0"/>
        <v>42705</v>
      </c>
    </row>
    <row r="7" spans="1:190" s="56" customFormat="1" ht="12" customHeight="1" thickBot="1" x14ac:dyDescent="0.25">
      <c r="A7" s="65"/>
      <c r="B7" s="141"/>
      <c r="C7" s="142"/>
      <c r="D7" s="25">
        <f t="shared" ref="D7:Z7" ca="1" si="1">E6-1</f>
        <v>42035</v>
      </c>
      <c r="E7" s="26">
        <f t="shared" ca="1" si="1"/>
        <v>42063</v>
      </c>
      <c r="F7" s="26">
        <f t="shared" ca="1" si="1"/>
        <v>42094</v>
      </c>
      <c r="G7" s="26">
        <f t="shared" ca="1" si="1"/>
        <v>42124</v>
      </c>
      <c r="H7" s="26">
        <f t="shared" ca="1" si="1"/>
        <v>42155</v>
      </c>
      <c r="I7" s="26">
        <f t="shared" ca="1" si="1"/>
        <v>42185</v>
      </c>
      <c r="J7" s="26">
        <f t="shared" ca="1" si="1"/>
        <v>42216</v>
      </c>
      <c r="K7" s="26">
        <f t="shared" ca="1" si="1"/>
        <v>42247</v>
      </c>
      <c r="L7" s="26">
        <f t="shared" ca="1" si="1"/>
        <v>42277</v>
      </c>
      <c r="M7" s="26">
        <f t="shared" ca="1" si="1"/>
        <v>42308</v>
      </c>
      <c r="N7" s="26">
        <f t="shared" ca="1" si="1"/>
        <v>42338</v>
      </c>
      <c r="O7" s="26">
        <f t="shared" ca="1" si="1"/>
        <v>42369</v>
      </c>
      <c r="P7" s="26">
        <f t="shared" ca="1" si="1"/>
        <v>42400</v>
      </c>
      <c r="Q7" s="26">
        <f t="shared" ca="1" si="1"/>
        <v>42429</v>
      </c>
      <c r="R7" s="26">
        <f t="shared" ca="1" si="1"/>
        <v>42460</v>
      </c>
      <c r="S7" s="26">
        <f t="shared" ca="1" si="1"/>
        <v>42490</v>
      </c>
      <c r="T7" s="26">
        <f t="shared" ca="1" si="1"/>
        <v>42521</v>
      </c>
      <c r="U7" s="26">
        <f t="shared" ca="1" si="1"/>
        <v>42551</v>
      </c>
      <c r="V7" s="26">
        <f t="shared" ca="1" si="1"/>
        <v>42582</v>
      </c>
      <c r="W7" s="26">
        <f t="shared" ca="1" si="1"/>
        <v>42613</v>
      </c>
      <c r="X7" s="26">
        <f t="shared" ca="1" si="1"/>
        <v>42643</v>
      </c>
      <c r="Y7" s="26">
        <f t="shared" ca="1" si="1"/>
        <v>42674</v>
      </c>
      <c r="Z7" s="26">
        <f t="shared" ca="1" si="1"/>
        <v>42704</v>
      </c>
      <c r="AA7" s="26">
        <f ca="1">C3</f>
        <v>42735</v>
      </c>
    </row>
    <row r="8" spans="1:190" s="57" customFormat="1" ht="12" customHeight="1" thickBot="1" x14ac:dyDescent="0.25">
      <c r="A8" s="66"/>
      <c r="B8" s="28" t="s">
        <v>0</v>
      </c>
      <c r="C8" s="29" t="s">
        <v>114</v>
      </c>
      <c r="D8" s="30">
        <f t="shared" ref="D8:AA8" ca="1" si="2">D6</f>
        <v>42005</v>
      </c>
      <c r="E8" s="31">
        <f t="shared" ca="1" si="2"/>
        <v>42036</v>
      </c>
      <c r="F8" s="31">
        <f t="shared" ca="1" si="2"/>
        <v>42064</v>
      </c>
      <c r="G8" s="32">
        <f t="shared" ca="1" si="2"/>
        <v>42095</v>
      </c>
      <c r="H8" s="32">
        <f t="shared" ca="1" si="2"/>
        <v>42125</v>
      </c>
      <c r="I8" s="32">
        <f t="shared" ca="1" si="2"/>
        <v>42156</v>
      </c>
      <c r="J8" s="32">
        <f t="shared" ca="1" si="2"/>
        <v>42186</v>
      </c>
      <c r="K8" s="32">
        <f t="shared" ca="1" si="2"/>
        <v>42217</v>
      </c>
      <c r="L8" s="32">
        <f t="shared" ca="1" si="2"/>
        <v>42248</v>
      </c>
      <c r="M8" s="32">
        <f t="shared" ca="1" si="2"/>
        <v>42278</v>
      </c>
      <c r="N8" s="32">
        <f t="shared" ca="1" si="2"/>
        <v>42309</v>
      </c>
      <c r="O8" s="32">
        <f t="shared" ca="1" si="2"/>
        <v>42339</v>
      </c>
      <c r="P8" s="32">
        <f t="shared" ca="1" si="2"/>
        <v>42370</v>
      </c>
      <c r="Q8" s="32">
        <f t="shared" ca="1" si="2"/>
        <v>42401</v>
      </c>
      <c r="R8" s="32">
        <f t="shared" ca="1" si="2"/>
        <v>42430</v>
      </c>
      <c r="S8" s="32">
        <f t="shared" ca="1" si="2"/>
        <v>42461</v>
      </c>
      <c r="T8" s="32">
        <f t="shared" ca="1" si="2"/>
        <v>42491</v>
      </c>
      <c r="U8" s="32">
        <f t="shared" ca="1" si="2"/>
        <v>42522</v>
      </c>
      <c r="V8" s="32">
        <f t="shared" ca="1" si="2"/>
        <v>42552</v>
      </c>
      <c r="W8" s="32">
        <f t="shared" ca="1" si="2"/>
        <v>42583</v>
      </c>
      <c r="X8" s="32">
        <f t="shared" ca="1" si="2"/>
        <v>42614</v>
      </c>
      <c r="Y8" s="32">
        <f t="shared" ca="1" si="2"/>
        <v>42644</v>
      </c>
      <c r="Z8" s="32">
        <f t="shared" ca="1" si="2"/>
        <v>42675</v>
      </c>
      <c r="AA8" s="32">
        <f t="shared" ca="1" si="2"/>
        <v>42705</v>
      </c>
    </row>
    <row r="9" spans="1:190" ht="15" customHeight="1" thickBot="1" x14ac:dyDescent="0.25">
      <c r="B9" s="36"/>
      <c r="C9" s="37" t="s">
        <v>53</v>
      </c>
      <c r="D9" s="38">
        <f t="shared" ref="D9:M10" ca="1" si="3">AbraStock(URL,Username,Password,$C9,D$6,D$7)/1000</f>
        <v>0</v>
      </c>
      <c r="E9" s="38">
        <f t="shared" ca="1" si="3"/>
        <v>0</v>
      </c>
      <c r="F9" s="38">
        <f t="shared" ca="1" si="3"/>
        <v>0</v>
      </c>
      <c r="G9" s="38">
        <f t="shared" ca="1" si="3"/>
        <v>0</v>
      </c>
      <c r="H9" s="38">
        <f t="shared" ca="1" si="3"/>
        <v>0</v>
      </c>
      <c r="I9" s="38">
        <f t="shared" ca="1" si="3"/>
        <v>0</v>
      </c>
      <c r="J9" s="38">
        <f t="shared" ca="1" si="3"/>
        <v>0</v>
      </c>
      <c r="K9" s="38">
        <f t="shared" ca="1" si="3"/>
        <v>0</v>
      </c>
      <c r="L9" s="38">
        <f t="shared" ca="1" si="3"/>
        <v>0</v>
      </c>
      <c r="M9" s="38">
        <f t="shared" ca="1" si="3"/>
        <v>0</v>
      </c>
      <c r="N9" s="38">
        <f t="shared" ref="N9:AA10" ca="1" si="4">AbraStock(URL,Username,Password,$C9,N$6,N$7)/1000</f>
        <v>0</v>
      </c>
      <c r="O9" s="38">
        <f t="shared" ca="1" si="4"/>
        <v>0</v>
      </c>
      <c r="P9" s="38">
        <f t="shared" ca="1" si="4"/>
        <v>0</v>
      </c>
      <c r="Q9" s="38">
        <f t="shared" ca="1" si="4"/>
        <v>0</v>
      </c>
      <c r="R9" s="38">
        <f t="shared" ca="1" si="4"/>
        <v>0</v>
      </c>
      <c r="S9" s="38">
        <f t="shared" ca="1" si="4"/>
        <v>0</v>
      </c>
      <c r="T9" s="38">
        <f t="shared" ca="1" si="4"/>
        <v>0</v>
      </c>
      <c r="U9" s="38">
        <f t="shared" ca="1" si="4"/>
        <v>0</v>
      </c>
      <c r="V9" s="38">
        <f t="shared" ca="1" si="4"/>
        <v>0</v>
      </c>
      <c r="W9" s="38">
        <f t="shared" ca="1" si="4"/>
        <v>0</v>
      </c>
      <c r="X9" s="38">
        <f t="shared" ca="1" si="4"/>
        <v>0</v>
      </c>
      <c r="Y9" s="38">
        <f t="shared" ca="1" si="4"/>
        <v>0</v>
      </c>
      <c r="Z9" s="38">
        <f t="shared" ca="1" si="4"/>
        <v>0</v>
      </c>
      <c r="AA9" s="38">
        <f t="shared" ca="1" si="4"/>
        <v>0</v>
      </c>
      <c r="AB9" s="57"/>
      <c r="AC9" s="57"/>
    </row>
    <row r="10" spans="1:190" ht="15" customHeight="1" thickBot="1" x14ac:dyDescent="0.25">
      <c r="B10" s="39"/>
      <c r="C10" s="40" t="s">
        <v>124</v>
      </c>
      <c r="D10" s="38">
        <f t="shared" ca="1" si="3"/>
        <v>0</v>
      </c>
      <c r="E10" s="38">
        <f t="shared" ca="1" si="3"/>
        <v>0</v>
      </c>
      <c r="F10" s="38">
        <f t="shared" ca="1" si="3"/>
        <v>0</v>
      </c>
      <c r="G10" s="38">
        <f t="shared" ca="1" si="3"/>
        <v>0</v>
      </c>
      <c r="H10" s="38">
        <f t="shared" ca="1" si="3"/>
        <v>0</v>
      </c>
      <c r="I10" s="38">
        <f t="shared" ca="1" si="3"/>
        <v>0</v>
      </c>
      <c r="J10" s="38">
        <f t="shared" ca="1" si="3"/>
        <v>0</v>
      </c>
      <c r="K10" s="38">
        <f t="shared" ca="1" si="3"/>
        <v>0</v>
      </c>
      <c r="L10" s="38">
        <f t="shared" ca="1" si="3"/>
        <v>0</v>
      </c>
      <c r="M10" s="38">
        <f t="shared" ca="1" si="3"/>
        <v>0</v>
      </c>
      <c r="N10" s="38">
        <f t="shared" ca="1" si="4"/>
        <v>0</v>
      </c>
      <c r="O10" s="38">
        <f t="shared" ca="1" si="4"/>
        <v>0</v>
      </c>
      <c r="P10" s="38">
        <f t="shared" ca="1" si="4"/>
        <v>0</v>
      </c>
      <c r="Q10" s="38">
        <f t="shared" ca="1" si="4"/>
        <v>0</v>
      </c>
      <c r="R10" s="38">
        <f t="shared" ca="1" si="4"/>
        <v>0</v>
      </c>
      <c r="S10" s="38">
        <f t="shared" ca="1" si="4"/>
        <v>0</v>
      </c>
      <c r="T10" s="38">
        <f t="shared" ca="1" si="4"/>
        <v>0</v>
      </c>
      <c r="U10" s="38">
        <f t="shared" ca="1" si="4"/>
        <v>0</v>
      </c>
      <c r="V10" s="38">
        <f t="shared" ca="1" si="4"/>
        <v>0</v>
      </c>
      <c r="W10" s="38">
        <f t="shared" ca="1" si="4"/>
        <v>0</v>
      </c>
      <c r="X10" s="38">
        <f t="shared" ca="1" si="4"/>
        <v>0</v>
      </c>
      <c r="Y10" s="38">
        <f t="shared" ca="1" si="4"/>
        <v>0</v>
      </c>
      <c r="Z10" s="38">
        <f t="shared" ca="1" si="4"/>
        <v>0</v>
      </c>
      <c r="AA10" s="38">
        <f t="shared" ca="1" si="4"/>
        <v>0</v>
      </c>
    </row>
    <row r="11" spans="1:190" s="68" customFormat="1" ht="15" customHeight="1" thickBot="1" x14ac:dyDescent="0.25">
      <c r="A11" s="67"/>
      <c r="B11" s="133" t="s">
        <v>37</v>
      </c>
      <c r="C11" s="134"/>
      <c r="D11" s="17">
        <f t="shared" ref="D11:AA11" ca="1" si="5">SUM(D9:D10)</f>
        <v>0</v>
      </c>
      <c r="E11" s="18">
        <f t="shared" ca="1" si="5"/>
        <v>0</v>
      </c>
      <c r="F11" s="18">
        <f t="shared" ca="1" si="5"/>
        <v>0</v>
      </c>
      <c r="G11" s="18">
        <f t="shared" ca="1" si="5"/>
        <v>0</v>
      </c>
      <c r="H11" s="18">
        <f t="shared" ca="1" si="5"/>
        <v>0</v>
      </c>
      <c r="I11" s="18">
        <f t="shared" ca="1" si="5"/>
        <v>0</v>
      </c>
      <c r="J11" s="18">
        <f t="shared" ca="1" si="5"/>
        <v>0</v>
      </c>
      <c r="K11" s="18">
        <f t="shared" ca="1" si="5"/>
        <v>0</v>
      </c>
      <c r="L11" s="18">
        <f t="shared" ca="1" si="5"/>
        <v>0</v>
      </c>
      <c r="M11" s="18">
        <f t="shared" ca="1" si="5"/>
        <v>0</v>
      </c>
      <c r="N11" s="18">
        <f t="shared" ca="1" si="5"/>
        <v>0</v>
      </c>
      <c r="O11" s="18">
        <f t="shared" ca="1" si="5"/>
        <v>0</v>
      </c>
      <c r="P11" s="18">
        <f t="shared" ca="1" si="5"/>
        <v>0</v>
      </c>
      <c r="Q11" s="18">
        <f t="shared" ca="1" si="5"/>
        <v>0</v>
      </c>
      <c r="R11" s="18">
        <f t="shared" ca="1" si="5"/>
        <v>0</v>
      </c>
      <c r="S11" s="18">
        <f t="shared" ca="1" si="5"/>
        <v>0</v>
      </c>
      <c r="T11" s="18">
        <f t="shared" ca="1" si="5"/>
        <v>0</v>
      </c>
      <c r="U11" s="18">
        <f t="shared" ca="1" si="5"/>
        <v>0</v>
      </c>
      <c r="V11" s="18">
        <f t="shared" ca="1" si="5"/>
        <v>0</v>
      </c>
      <c r="W11" s="18">
        <f t="shared" ca="1" si="5"/>
        <v>0</v>
      </c>
      <c r="X11" s="18">
        <f t="shared" ca="1" si="5"/>
        <v>0</v>
      </c>
      <c r="Y11" s="18">
        <f t="shared" ca="1" si="5"/>
        <v>0</v>
      </c>
      <c r="Z11" s="18">
        <f t="shared" ca="1" si="5"/>
        <v>0</v>
      </c>
      <c r="AA11" s="18">
        <f t="shared" ca="1" si="5"/>
        <v>0</v>
      </c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8"/>
      <c r="CP11" s="58"/>
      <c r="CQ11" s="58"/>
      <c r="CR11" s="58"/>
      <c r="CS11" s="58"/>
      <c r="CT11" s="58"/>
      <c r="CU11" s="58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8"/>
      <c r="DT11" s="58"/>
      <c r="DU11" s="58"/>
      <c r="DV11" s="58"/>
      <c r="DW11" s="58"/>
      <c r="DX11" s="58"/>
      <c r="DY11" s="58"/>
      <c r="DZ11" s="58"/>
      <c r="EA11" s="58"/>
      <c r="EB11" s="58"/>
      <c r="EC11" s="58"/>
      <c r="ED11" s="58"/>
      <c r="EE11" s="58"/>
      <c r="EF11" s="58"/>
      <c r="EG11" s="58"/>
      <c r="EH11" s="58"/>
      <c r="EI11" s="58"/>
      <c r="EJ11" s="58"/>
      <c r="EK11" s="58"/>
      <c r="EL11" s="58"/>
      <c r="EM11" s="58"/>
      <c r="EN11" s="58"/>
      <c r="EO11" s="58"/>
      <c r="EP11" s="58"/>
      <c r="EQ11" s="58"/>
      <c r="ER11" s="58"/>
      <c r="ES11" s="58"/>
      <c r="ET11" s="58"/>
      <c r="EU11" s="58"/>
      <c r="EV11" s="58"/>
      <c r="EW11" s="58"/>
      <c r="EX11" s="58"/>
      <c r="EY11" s="58"/>
      <c r="EZ11" s="58"/>
      <c r="FA11" s="58"/>
      <c r="FB11" s="58"/>
      <c r="FC11" s="58"/>
      <c r="FD11" s="58"/>
      <c r="FE11" s="58"/>
      <c r="FF11" s="58"/>
      <c r="FG11" s="58"/>
      <c r="FH11" s="58"/>
      <c r="FI11" s="58"/>
      <c r="FJ11" s="58"/>
      <c r="FK11" s="58"/>
      <c r="FL11" s="58"/>
      <c r="FM11" s="58"/>
      <c r="FN11" s="58"/>
      <c r="FO11" s="58"/>
      <c r="FP11" s="58"/>
      <c r="FQ11" s="58"/>
      <c r="FR11" s="58"/>
      <c r="FS11" s="58"/>
      <c r="FT11" s="58"/>
      <c r="FU11" s="58"/>
      <c r="FV11" s="58"/>
      <c r="FW11" s="58"/>
      <c r="FX11" s="58"/>
      <c r="FY11" s="58"/>
      <c r="FZ11" s="58"/>
      <c r="GA11" s="58"/>
      <c r="GB11" s="58"/>
      <c r="GC11" s="58"/>
      <c r="GD11" s="58"/>
      <c r="GE11" s="58"/>
      <c r="GF11" s="58"/>
      <c r="GG11" s="58"/>
      <c r="GH11" s="58"/>
    </row>
    <row r="12" spans="1:190" s="68" customFormat="1" ht="15" customHeight="1" x14ac:dyDescent="0.2">
      <c r="A12" s="67"/>
      <c r="B12" s="105"/>
      <c r="C12" s="105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6"/>
      <c r="Z12" s="106"/>
      <c r="AA12" s="106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8"/>
      <c r="CP12" s="58"/>
      <c r="CQ12" s="58"/>
      <c r="CR12" s="58"/>
      <c r="CS12" s="58"/>
      <c r="CT12" s="58"/>
      <c r="CU12" s="58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8"/>
      <c r="DT12" s="58"/>
      <c r="DU12" s="58"/>
      <c r="DV12" s="58"/>
      <c r="DW12" s="58"/>
      <c r="DX12" s="58"/>
      <c r="DY12" s="58"/>
      <c r="DZ12" s="58"/>
      <c r="EA12" s="58"/>
      <c r="EB12" s="58"/>
      <c r="EC12" s="58"/>
      <c r="ED12" s="58"/>
      <c r="EE12" s="58"/>
      <c r="EF12" s="58"/>
      <c r="EG12" s="58"/>
      <c r="EH12" s="58"/>
      <c r="EI12" s="58"/>
      <c r="EJ12" s="58"/>
      <c r="EK12" s="58"/>
      <c r="EL12" s="58"/>
      <c r="EM12" s="58"/>
      <c r="EN12" s="58"/>
      <c r="EO12" s="58"/>
      <c r="EP12" s="58"/>
      <c r="EQ12" s="58"/>
      <c r="ER12" s="58"/>
      <c r="ES12" s="58"/>
      <c r="ET12" s="58"/>
      <c r="EU12" s="58"/>
      <c r="EV12" s="58"/>
      <c r="EW12" s="58"/>
      <c r="EX12" s="58"/>
      <c r="EY12" s="58"/>
      <c r="EZ12" s="58"/>
      <c r="FA12" s="58"/>
      <c r="FB12" s="58"/>
      <c r="FC12" s="58"/>
      <c r="FD12" s="58"/>
      <c r="FE12" s="58"/>
      <c r="FF12" s="58"/>
      <c r="FG12" s="58"/>
      <c r="FH12" s="58"/>
      <c r="FI12" s="58"/>
      <c r="FJ12" s="58"/>
      <c r="FK12" s="58"/>
      <c r="FL12" s="58"/>
      <c r="FM12" s="58"/>
      <c r="FN12" s="58"/>
      <c r="FO12" s="58"/>
      <c r="FP12" s="58"/>
      <c r="FQ12" s="58"/>
      <c r="FR12" s="58"/>
      <c r="FS12" s="58"/>
      <c r="FT12" s="58"/>
      <c r="FU12" s="58"/>
      <c r="FV12" s="58"/>
      <c r="FW12" s="58"/>
      <c r="FX12" s="58"/>
      <c r="FY12" s="58"/>
      <c r="FZ12" s="58"/>
      <c r="GA12" s="58"/>
      <c r="GB12" s="58"/>
      <c r="GC12" s="58"/>
      <c r="GD12" s="58"/>
      <c r="GE12" s="58"/>
      <c r="GF12" s="58"/>
      <c r="GG12" s="58"/>
      <c r="GH12" s="58"/>
    </row>
    <row r="14" spans="1:190" ht="15.75" thickBot="1" x14ac:dyDescent="0.25">
      <c r="B14" s="100" t="s">
        <v>65</v>
      </c>
      <c r="C14" s="100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2"/>
      <c r="V14" s="103"/>
      <c r="W14" s="103"/>
      <c r="X14" s="103"/>
      <c r="Y14" s="103"/>
      <c r="Z14" s="103"/>
      <c r="AA14" s="101"/>
    </row>
    <row r="15" spans="1:190" x14ac:dyDescent="0.2">
      <c r="B15" s="104"/>
      <c r="C15" s="107" t="s">
        <v>63</v>
      </c>
      <c r="D15" s="111">
        <f t="shared" ref="D15:M16" ca="1" si="6">AbraMoves(URL,Username,Password,"a",D$6,D$7,$C15)</f>
        <v>0</v>
      </c>
      <c r="E15" s="111">
        <f t="shared" ca="1" si="6"/>
        <v>0</v>
      </c>
      <c r="F15" s="111">
        <f t="shared" ca="1" si="6"/>
        <v>0</v>
      </c>
      <c r="G15" s="111">
        <f t="shared" ca="1" si="6"/>
        <v>0</v>
      </c>
      <c r="H15" s="111">
        <f t="shared" ca="1" si="6"/>
        <v>0</v>
      </c>
      <c r="I15" s="111">
        <f t="shared" ca="1" si="6"/>
        <v>0</v>
      </c>
      <c r="J15" s="111">
        <f t="shared" ca="1" si="6"/>
        <v>0</v>
      </c>
      <c r="K15" s="111">
        <f t="shared" ca="1" si="6"/>
        <v>0</v>
      </c>
      <c r="L15" s="111">
        <f t="shared" ca="1" si="6"/>
        <v>0</v>
      </c>
      <c r="M15" s="111">
        <f t="shared" ca="1" si="6"/>
        <v>0</v>
      </c>
      <c r="N15" s="111">
        <f t="shared" ref="N15:AA16" ca="1" si="7">AbraMoves(URL,Username,Password,"a",N$6,N$7,$C15)</f>
        <v>0</v>
      </c>
      <c r="O15" s="111">
        <f t="shared" ca="1" si="7"/>
        <v>0</v>
      </c>
      <c r="P15" s="111">
        <f t="shared" ca="1" si="7"/>
        <v>0</v>
      </c>
      <c r="Q15" s="111">
        <f t="shared" ca="1" si="7"/>
        <v>0</v>
      </c>
      <c r="R15" s="111">
        <f t="shared" ca="1" si="7"/>
        <v>0</v>
      </c>
      <c r="S15" s="111">
        <f t="shared" ca="1" si="7"/>
        <v>0</v>
      </c>
      <c r="T15" s="111">
        <f t="shared" ca="1" si="7"/>
        <v>0</v>
      </c>
      <c r="U15" s="111">
        <f t="shared" ca="1" si="7"/>
        <v>0</v>
      </c>
      <c r="V15" s="111">
        <f t="shared" ca="1" si="7"/>
        <v>0</v>
      </c>
      <c r="W15" s="111">
        <f t="shared" ca="1" si="7"/>
        <v>0</v>
      </c>
      <c r="X15" s="111">
        <f t="shared" ca="1" si="7"/>
        <v>0</v>
      </c>
      <c r="Y15" s="111">
        <f t="shared" ca="1" si="7"/>
        <v>0</v>
      </c>
      <c r="Z15" s="111">
        <f t="shared" ca="1" si="7"/>
        <v>0</v>
      </c>
      <c r="AA15" s="111">
        <f t="shared" ca="1" si="7"/>
        <v>0</v>
      </c>
      <c r="AB15" s="109"/>
    </row>
    <row r="16" spans="1:190" ht="15.75" thickBot="1" x14ac:dyDescent="0.25">
      <c r="B16" s="39"/>
      <c r="C16" s="108" t="s">
        <v>64</v>
      </c>
      <c r="D16" s="111">
        <f t="shared" ca="1" si="6"/>
        <v>0</v>
      </c>
      <c r="E16" s="111">
        <f t="shared" ca="1" si="6"/>
        <v>0</v>
      </c>
      <c r="F16" s="111">
        <f t="shared" ca="1" si="6"/>
        <v>0</v>
      </c>
      <c r="G16" s="111">
        <f t="shared" ca="1" si="6"/>
        <v>0</v>
      </c>
      <c r="H16" s="111">
        <f t="shared" ca="1" si="6"/>
        <v>0</v>
      </c>
      <c r="I16" s="111">
        <f t="shared" ca="1" si="6"/>
        <v>0</v>
      </c>
      <c r="J16" s="111">
        <f t="shared" ca="1" si="6"/>
        <v>0</v>
      </c>
      <c r="K16" s="111">
        <f t="shared" ca="1" si="6"/>
        <v>0</v>
      </c>
      <c r="L16" s="111">
        <f t="shared" ca="1" si="6"/>
        <v>0</v>
      </c>
      <c r="M16" s="111">
        <f t="shared" ca="1" si="6"/>
        <v>0</v>
      </c>
      <c r="N16" s="111">
        <f t="shared" ca="1" si="7"/>
        <v>0</v>
      </c>
      <c r="O16" s="111">
        <f t="shared" ca="1" si="7"/>
        <v>0</v>
      </c>
      <c r="P16" s="111">
        <f t="shared" ca="1" si="7"/>
        <v>0</v>
      </c>
      <c r="Q16" s="111">
        <f t="shared" ca="1" si="7"/>
        <v>0</v>
      </c>
      <c r="R16" s="111">
        <f t="shared" ca="1" si="7"/>
        <v>0</v>
      </c>
      <c r="S16" s="111">
        <f t="shared" ca="1" si="7"/>
        <v>0</v>
      </c>
      <c r="T16" s="111">
        <f t="shared" ca="1" si="7"/>
        <v>0</v>
      </c>
      <c r="U16" s="111">
        <f t="shared" ca="1" si="7"/>
        <v>0</v>
      </c>
      <c r="V16" s="111">
        <f t="shared" ca="1" si="7"/>
        <v>0</v>
      </c>
      <c r="W16" s="111">
        <f t="shared" ca="1" si="7"/>
        <v>0</v>
      </c>
      <c r="X16" s="111">
        <f t="shared" ca="1" si="7"/>
        <v>0</v>
      </c>
      <c r="Y16" s="111">
        <f t="shared" ca="1" si="7"/>
        <v>0</v>
      </c>
      <c r="Z16" s="111">
        <f t="shared" ca="1" si="7"/>
        <v>0</v>
      </c>
      <c r="AA16" s="111">
        <f t="shared" ca="1" si="7"/>
        <v>0</v>
      </c>
      <c r="AB16" s="109"/>
    </row>
    <row r="17" spans="2:27" ht="15.75" thickBot="1" x14ac:dyDescent="0.25">
      <c r="B17" s="133" t="s">
        <v>37</v>
      </c>
      <c r="C17" s="134"/>
      <c r="D17" s="110">
        <f ca="1">SUM(D15:D16)</f>
        <v>0</v>
      </c>
      <c r="E17" s="110">
        <f t="shared" ref="E17:AA17" ca="1" si="8">SUM(E15:E16)</f>
        <v>0</v>
      </c>
      <c r="F17" s="110">
        <f t="shared" ca="1" si="8"/>
        <v>0</v>
      </c>
      <c r="G17" s="110">
        <f t="shared" ca="1" si="8"/>
        <v>0</v>
      </c>
      <c r="H17" s="110">
        <f t="shared" ca="1" si="8"/>
        <v>0</v>
      </c>
      <c r="I17" s="110">
        <f t="shared" ca="1" si="8"/>
        <v>0</v>
      </c>
      <c r="J17" s="110">
        <f t="shared" ca="1" si="8"/>
        <v>0</v>
      </c>
      <c r="K17" s="110">
        <f t="shared" ca="1" si="8"/>
        <v>0</v>
      </c>
      <c r="L17" s="110">
        <f t="shared" ca="1" si="8"/>
        <v>0</v>
      </c>
      <c r="M17" s="110">
        <f t="shared" ca="1" si="8"/>
        <v>0</v>
      </c>
      <c r="N17" s="110">
        <f t="shared" ca="1" si="8"/>
        <v>0</v>
      </c>
      <c r="O17" s="110">
        <f t="shared" ca="1" si="8"/>
        <v>0</v>
      </c>
      <c r="P17" s="110">
        <f t="shared" ca="1" si="8"/>
        <v>0</v>
      </c>
      <c r="Q17" s="110">
        <f t="shared" ca="1" si="8"/>
        <v>0</v>
      </c>
      <c r="R17" s="110">
        <f t="shared" ca="1" si="8"/>
        <v>0</v>
      </c>
      <c r="S17" s="110">
        <f t="shared" ca="1" si="8"/>
        <v>0</v>
      </c>
      <c r="T17" s="110">
        <f t="shared" ca="1" si="8"/>
        <v>0</v>
      </c>
      <c r="U17" s="110">
        <f t="shared" ca="1" si="8"/>
        <v>0</v>
      </c>
      <c r="V17" s="110">
        <f t="shared" ca="1" si="8"/>
        <v>0</v>
      </c>
      <c r="W17" s="110">
        <f t="shared" ca="1" si="8"/>
        <v>0</v>
      </c>
      <c r="X17" s="110">
        <f t="shared" ca="1" si="8"/>
        <v>0</v>
      </c>
      <c r="Y17" s="110">
        <f t="shared" ca="1" si="8"/>
        <v>0</v>
      </c>
      <c r="Z17" s="110">
        <f t="shared" ca="1" si="8"/>
        <v>0</v>
      </c>
      <c r="AA17" s="110">
        <f t="shared" ca="1" si="8"/>
        <v>0</v>
      </c>
    </row>
    <row r="19" spans="2:27" x14ac:dyDescent="0.2">
      <c r="B19" s="112" t="s">
        <v>73</v>
      </c>
    </row>
    <row r="21" spans="2:27" x14ac:dyDescent="0.2">
      <c r="B21" s="114" t="s">
        <v>71</v>
      </c>
    </row>
    <row r="22" spans="2:27" x14ac:dyDescent="0.2">
      <c r="B22" s="115"/>
    </row>
    <row r="23" spans="2:27" x14ac:dyDescent="0.2">
      <c r="B23" s="114" t="s">
        <v>72</v>
      </c>
    </row>
  </sheetData>
  <mergeCells count="3">
    <mergeCell ref="B17:C17"/>
    <mergeCell ref="B6:C7"/>
    <mergeCell ref="B11:C11"/>
  </mergeCells>
  <pageMargins left="0.7" right="0.7" top="0.78740157499999996" bottom="0.78740157499999996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H19"/>
  <sheetViews>
    <sheetView zoomScale="130" zoomScaleNormal="130" zoomScalePageLayoutView="130" workbookViewId="0">
      <selection activeCell="H18" sqref="H18"/>
    </sheetView>
  </sheetViews>
  <sheetFormatPr defaultColWidth="9.140625" defaultRowHeight="15" outlineLevelCol="1" x14ac:dyDescent="0.2"/>
  <cols>
    <col min="1" max="1" width="1.7109375" style="59" customWidth="1"/>
    <col min="2" max="2" width="30.28515625" style="60" bestFit="1" customWidth="1"/>
    <col min="3" max="3" width="9.28515625" style="60" customWidth="1"/>
    <col min="4" max="4" width="11.28515625" style="55" customWidth="1" outlineLevel="1"/>
    <col min="5" max="5" width="10.140625" style="55" customWidth="1" outlineLevel="1"/>
    <col min="6" max="6" width="10.42578125" style="55" customWidth="1" outlineLevel="1"/>
    <col min="7" max="7" width="11.85546875" style="55" customWidth="1" outlineLevel="1"/>
    <col min="8" max="8" width="10.7109375" style="55" customWidth="1" outlineLevel="1"/>
    <col min="9" max="9" width="11.7109375" style="55" customWidth="1" outlineLevel="1"/>
    <col min="10" max="10" width="10.42578125" style="55" customWidth="1" outlineLevel="1"/>
    <col min="11" max="11" width="9.28515625" style="55" customWidth="1" outlineLevel="1"/>
    <col min="12" max="12" width="10.28515625" style="55" customWidth="1" outlineLevel="1"/>
    <col min="13" max="14" width="9.28515625" style="55" customWidth="1" outlineLevel="1"/>
    <col min="15" max="15" width="10.140625" style="55" customWidth="1" outlineLevel="1"/>
    <col min="16" max="16" width="9.28515625" style="55" customWidth="1" outlineLevel="1"/>
    <col min="17" max="17" width="10.140625" style="55" customWidth="1" outlineLevel="1"/>
    <col min="18" max="20" width="9.28515625" style="55" customWidth="1" outlineLevel="1"/>
    <col min="21" max="21" width="9.28515625" style="61" customWidth="1" outlineLevel="1"/>
    <col min="22" max="22" width="10.42578125" style="62" customWidth="1" outlineLevel="1"/>
    <col min="23" max="23" width="9.28515625" style="62" customWidth="1" outlineLevel="1"/>
    <col min="24" max="24" width="10.28515625" style="62" customWidth="1" outlineLevel="1"/>
    <col min="25" max="26" width="9.28515625" style="62" customWidth="1" outlineLevel="1"/>
    <col min="27" max="27" width="10.140625" style="55" customWidth="1" outlineLevel="1"/>
    <col min="28" max="28" width="15.7109375" style="55" customWidth="1"/>
    <col min="29" max="190" width="9.140625" style="55"/>
    <col min="191" max="16384" width="9.140625" style="64"/>
  </cols>
  <sheetData>
    <row r="1" spans="1:190" ht="10.35" customHeight="1" thickBot="1" x14ac:dyDescent="0.25"/>
    <row r="2" spans="1:190" ht="15" customHeight="1" x14ac:dyDescent="0.2">
      <c r="B2" s="8" t="s">
        <v>67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27" t="s">
        <v>52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5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6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56" customFormat="1" ht="12" customHeight="1" x14ac:dyDescent="0.2">
      <c r="A6" s="65"/>
      <c r="B6" s="139"/>
      <c r="C6" s="140"/>
      <c r="D6" s="21">
        <f ca="1">D7-IF(MONTH(D7)=2,IF(OR(YEAR(D7)=2008,YEAR(D7)=2012,YEAR(D7)=2016),29,28),IF(OR(MONTH(D7)=4,MONTH(D7)=6,MONTH(D7)=9,MONTH(D7)=11),30,31))+1</f>
        <v>42736</v>
      </c>
      <c r="E6" s="22">
        <f t="shared" ref="E6:AA6" ca="1" si="0">E7-IF(MONTH(E7)=2,IF(OR(YEAR(E7)=2008,YEAR(E7)=2012,YEAR(E7)=2016),29,28),IF(OR(MONTH(E7)=4,MONTH(E7)=6,MONTH(E7)=9,MONTH(E7)=11),30,31))+1</f>
        <v>42767</v>
      </c>
      <c r="F6" s="22">
        <f t="shared" ca="1" si="0"/>
        <v>42795</v>
      </c>
      <c r="G6" s="22">
        <f t="shared" ca="1" si="0"/>
        <v>42826</v>
      </c>
      <c r="H6" s="22">
        <f t="shared" ca="1" si="0"/>
        <v>42856</v>
      </c>
      <c r="I6" s="22">
        <f t="shared" ca="1" si="0"/>
        <v>42887</v>
      </c>
      <c r="J6" s="22">
        <f t="shared" ca="1" si="0"/>
        <v>42917</v>
      </c>
      <c r="K6" s="22">
        <f t="shared" ca="1" si="0"/>
        <v>42948</v>
      </c>
      <c r="L6" s="22">
        <f t="shared" ca="1" si="0"/>
        <v>42979</v>
      </c>
      <c r="M6" s="22">
        <f t="shared" ca="1" si="0"/>
        <v>43009</v>
      </c>
      <c r="N6" s="22">
        <f t="shared" ca="1" si="0"/>
        <v>43040</v>
      </c>
      <c r="O6" s="22">
        <f t="shared" ca="1" si="0"/>
        <v>43070</v>
      </c>
      <c r="P6" s="22">
        <f t="shared" ca="1" si="0"/>
        <v>43101</v>
      </c>
      <c r="Q6" s="22">
        <f t="shared" ca="1" si="0"/>
        <v>43132</v>
      </c>
      <c r="R6" s="22">
        <f t="shared" ca="1" si="0"/>
        <v>43160</v>
      </c>
      <c r="S6" s="22">
        <f t="shared" ca="1" si="0"/>
        <v>43191</v>
      </c>
      <c r="T6" s="22">
        <f t="shared" ca="1" si="0"/>
        <v>43221</v>
      </c>
      <c r="U6" s="22">
        <f t="shared" ca="1" si="0"/>
        <v>43252</v>
      </c>
      <c r="V6" s="22">
        <f t="shared" ca="1" si="0"/>
        <v>43282</v>
      </c>
      <c r="W6" s="22">
        <f t="shared" ca="1" si="0"/>
        <v>43313</v>
      </c>
      <c r="X6" s="22">
        <f t="shared" ca="1" si="0"/>
        <v>43344</v>
      </c>
      <c r="Y6" s="22">
        <f t="shared" ca="1" si="0"/>
        <v>43374</v>
      </c>
      <c r="Z6" s="22">
        <f t="shared" ca="1" si="0"/>
        <v>43405</v>
      </c>
      <c r="AA6" s="22">
        <f t="shared" ca="1" si="0"/>
        <v>43435</v>
      </c>
    </row>
    <row r="7" spans="1:190" s="56" customFormat="1" ht="12" customHeight="1" thickBot="1" x14ac:dyDescent="0.25">
      <c r="A7" s="65"/>
      <c r="B7" s="141"/>
      <c r="C7" s="142"/>
      <c r="D7" s="25">
        <f t="shared" ref="D7:Z7" ca="1" si="1">E6-1</f>
        <v>42766</v>
      </c>
      <c r="E7" s="26">
        <f t="shared" ca="1" si="1"/>
        <v>42794</v>
      </c>
      <c r="F7" s="26">
        <f t="shared" ca="1" si="1"/>
        <v>42825</v>
      </c>
      <c r="G7" s="26">
        <f t="shared" ca="1" si="1"/>
        <v>42855</v>
      </c>
      <c r="H7" s="26">
        <f t="shared" ca="1" si="1"/>
        <v>42886</v>
      </c>
      <c r="I7" s="26">
        <f t="shared" ca="1" si="1"/>
        <v>42916</v>
      </c>
      <c r="J7" s="26">
        <f t="shared" ca="1" si="1"/>
        <v>42947</v>
      </c>
      <c r="K7" s="26">
        <f t="shared" ca="1" si="1"/>
        <v>42978</v>
      </c>
      <c r="L7" s="26">
        <f t="shared" ca="1" si="1"/>
        <v>43008</v>
      </c>
      <c r="M7" s="26">
        <f t="shared" ca="1" si="1"/>
        <v>43039</v>
      </c>
      <c r="N7" s="26">
        <f t="shared" ca="1" si="1"/>
        <v>43069</v>
      </c>
      <c r="O7" s="26">
        <f t="shared" ca="1" si="1"/>
        <v>43100</v>
      </c>
      <c r="P7" s="26">
        <f t="shared" ca="1" si="1"/>
        <v>43131</v>
      </c>
      <c r="Q7" s="26">
        <f t="shared" ca="1" si="1"/>
        <v>43159</v>
      </c>
      <c r="R7" s="26">
        <f t="shared" ca="1" si="1"/>
        <v>43190</v>
      </c>
      <c r="S7" s="26">
        <f t="shared" ca="1" si="1"/>
        <v>43220</v>
      </c>
      <c r="T7" s="26">
        <f t="shared" ca="1" si="1"/>
        <v>43251</v>
      </c>
      <c r="U7" s="26">
        <f t="shared" ca="1" si="1"/>
        <v>43281</v>
      </c>
      <c r="V7" s="26">
        <f t="shared" ca="1" si="1"/>
        <v>43312</v>
      </c>
      <c r="W7" s="26">
        <f t="shared" ca="1" si="1"/>
        <v>43343</v>
      </c>
      <c r="X7" s="26">
        <f t="shared" ca="1" si="1"/>
        <v>43373</v>
      </c>
      <c r="Y7" s="26">
        <f t="shared" ca="1" si="1"/>
        <v>43404</v>
      </c>
      <c r="Z7" s="26">
        <f t="shared" ca="1" si="1"/>
        <v>43434</v>
      </c>
      <c r="AA7" s="26">
        <f ca="1">C3</f>
        <v>43465</v>
      </c>
    </row>
    <row r="8" spans="1:190" s="57" customFormat="1" ht="12" customHeight="1" thickBot="1" x14ac:dyDescent="0.25">
      <c r="A8" s="66"/>
      <c r="B8" s="28" t="s">
        <v>0</v>
      </c>
      <c r="C8" s="29" t="s">
        <v>114</v>
      </c>
      <c r="D8" s="30">
        <f t="shared" ref="D8:AA8" ca="1" si="2">D6</f>
        <v>42736</v>
      </c>
      <c r="E8" s="31">
        <f t="shared" ca="1" si="2"/>
        <v>42767</v>
      </c>
      <c r="F8" s="31">
        <f t="shared" ca="1" si="2"/>
        <v>42795</v>
      </c>
      <c r="G8" s="32">
        <f t="shared" ca="1" si="2"/>
        <v>42826</v>
      </c>
      <c r="H8" s="32">
        <f t="shared" ca="1" si="2"/>
        <v>42856</v>
      </c>
      <c r="I8" s="32">
        <f t="shared" ca="1" si="2"/>
        <v>42887</v>
      </c>
      <c r="J8" s="32">
        <f t="shared" ca="1" si="2"/>
        <v>42917</v>
      </c>
      <c r="K8" s="32">
        <f t="shared" ca="1" si="2"/>
        <v>42948</v>
      </c>
      <c r="L8" s="32">
        <f t="shared" ca="1" si="2"/>
        <v>42979</v>
      </c>
      <c r="M8" s="32">
        <f t="shared" ca="1" si="2"/>
        <v>43009</v>
      </c>
      <c r="N8" s="32">
        <f t="shared" ca="1" si="2"/>
        <v>43040</v>
      </c>
      <c r="O8" s="32">
        <f t="shared" ca="1" si="2"/>
        <v>43070</v>
      </c>
      <c r="P8" s="32">
        <f t="shared" ca="1" si="2"/>
        <v>43101</v>
      </c>
      <c r="Q8" s="32">
        <f t="shared" ca="1" si="2"/>
        <v>43132</v>
      </c>
      <c r="R8" s="32">
        <f t="shared" ca="1" si="2"/>
        <v>43160</v>
      </c>
      <c r="S8" s="32">
        <f t="shared" ca="1" si="2"/>
        <v>43191</v>
      </c>
      <c r="T8" s="32">
        <f t="shared" ca="1" si="2"/>
        <v>43221</v>
      </c>
      <c r="U8" s="32">
        <f t="shared" ca="1" si="2"/>
        <v>43252</v>
      </c>
      <c r="V8" s="32">
        <f t="shared" ca="1" si="2"/>
        <v>43282</v>
      </c>
      <c r="W8" s="32">
        <f t="shared" ca="1" si="2"/>
        <v>43313</v>
      </c>
      <c r="X8" s="32">
        <f t="shared" ca="1" si="2"/>
        <v>43344</v>
      </c>
      <c r="Y8" s="32">
        <f t="shared" ca="1" si="2"/>
        <v>43374</v>
      </c>
      <c r="Z8" s="32">
        <f t="shared" ca="1" si="2"/>
        <v>43405</v>
      </c>
      <c r="AA8" s="32">
        <f t="shared" ca="1" si="2"/>
        <v>43435</v>
      </c>
    </row>
    <row r="9" spans="1:190" ht="15" customHeight="1" thickBot="1" x14ac:dyDescent="0.25">
      <c r="B9" s="36"/>
      <c r="C9" s="37" t="s">
        <v>124</v>
      </c>
      <c r="D9" s="38">
        <f t="shared" ref="D9:M10" ca="1" si="3">AbraSale(URL,Username,Password,$C9,D$6,D$7)/1000</f>
        <v>0</v>
      </c>
      <c r="E9" s="38">
        <f t="shared" ca="1" si="3"/>
        <v>0</v>
      </c>
      <c r="F9" s="38">
        <f t="shared" ca="1" si="3"/>
        <v>0</v>
      </c>
      <c r="G9" s="38">
        <f t="shared" ca="1" si="3"/>
        <v>0</v>
      </c>
      <c r="H9" s="38">
        <f t="shared" ca="1" si="3"/>
        <v>0</v>
      </c>
      <c r="I9" s="38">
        <f t="shared" ca="1" si="3"/>
        <v>0</v>
      </c>
      <c r="J9" s="38">
        <f t="shared" ca="1" si="3"/>
        <v>0</v>
      </c>
      <c r="K9" s="38">
        <f t="shared" ca="1" si="3"/>
        <v>0</v>
      </c>
      <c r="L9" s="38">
        <f t="shared" ca="1" si="3"/>
        <v>0</v>
      </c>
      <c r="M9" s="38">
        <f t="shared" ca="1" si="3"/>
        <v>0</v>
      </c>
      <c r="N9" s="38">
        <f t="shared" ref="N9:AA10" ca="1" si="4">AbraSale(URL,Username,Password,$C9,N$6,N$7)/1000</f>
        <v>0</v>
      </c>
      <c r="O9" s="38">
        <f t="shared" ca="1" si="4"/>
        <v>0</v>
      </c>
      <c r="P9" s="38">
        <f t="shared" ca="1" si="4"/>
        <v>0</v>
      </c>
      <c r="Q9" s="38">
        <f t="shared" ca="1" si="4"/>
        <v>0</v>
      </c>
      <c r="R9" s="38">
        <f t="shared" ca="1" si="4"/>
        <v>0</v>
      </c>
      <c r="S9" s="38">
        <f t="shared" ca="1" si="4"/>
        <v>0</v>
      </c>
      <c r="T9" s="38">
        <f t="shared" ca="1" si="4"/>
        <v>0</v>
      </c>
      <c r="U9" s="38">
        <f t="shared" ca="1" si="4"/>
        <v>0</v>
      </c>
      <c r="V9" s="38">
        <f t="shared" ca="1" si="4"/>
        <v>0</v>
      </c>
      <c r="W9" s="38">
        <f t="shared" ca="1" si="4"/>
        <v>0</v>
      </c>
      <c r="X9" s="38">
        <f t="shared" ca="1" si="4"/>
        <v>0</v>
      </c>
      <c r="Y9" s="38">
        <f t="shared" ca="1" si="4"/>
        <v>0</v>
      </c>
      <c r="Z9" s="38">
        <f t="shared" ca="1" si="4"/>
        <v>0</v>
      </c>
      <c r="AA9" s="38">
        <f t="shared" ca="1" si="4"/>
        <v>0</v>
      </c>
      <c r="AB9" s="113"/>
      <c r="AC9" s="57"/>
    </row>
    <row r="10" spans="1:190" ht="15" customHeight="1" thickBot="1" x14ac:dyDescent="0.25">
      <c r="B10" s="39"/>
      <c r="C10" s="40" t="s">
        <v>53</v>
      </c>
      <c r="D10" s="38">
        <f t="shared" ca="1" si="3"/>
        <v>0</v>
      </c>
      <c r="E10" s="38">
        <f t="shared" ca="1" si="3"/>
        <v>0</v>
      </c>
      <c r="F10" s="38">
        <f t="shared" ca="1" si="3"/>
        <v>0</v>
      </c>
      <c r="G10" s="38">
        <f t="shared" ca="1" si="3"/>
        <v>0</v>
      </c>
      <c r="H10" s="38">
        <f t="shared" ca="1" si="3"/>
        <v>0</v>
      </c>
      <c r="I10" s="38">
        <f t="shared" ca="1" si="3"/>
        <v>0</v>
      </c>
      <c r="J10" s="38">
        <f t="shared" ca="1" si="3"/>
        <v>0</v>
      </c>
      <c r="K10" s="38">
        <f t="shared" ca="1" si="3"/>
        <v>0</v>
      </c>
      <c r="L10" s="38">
        <f t="shared" ca="1" si="3"/>
        <v>0</v>
      </c>
      <c r="M10" s="38">
        <f t="shared" ca="1" si="3"/>
        <v>0</v>
      </c>
      <c r="N10" s="38">
        <f t="shared" ca="1" si="4"/>
        <v>0</v>
      </c>
      <c r="O10" s="38">
        <f t="shared" ca="1" si="4"/>
        <v>0</v>
      </c>
      <c r="P10" s="38">
        <f t="shared" ca="1" si="4"/>
        <v>0</v>
      </c>
      <c r="Q10" s="38">
        <f t="shared" ca="1" si="4"/>
        <v>0</v>
      </c>
      <c r="R10" s="38">
        <f t="shared" ca="1" si="4"/>
        <v>0</v>
      </c>
      <c r="S10" s="38">
        <f t="shared" ca="1" si="4"/>
        <v>0</v>
      </c>
      <c r="T10" s="38">
        <f t="shared" ca="1" si="4"/>
        <v>0</v>
      </c>
      <c r="U10" s="38">
        <f t="shared" ca="1" si="4"/>
        <v>0</v>
      </c>
      <c r="V10" s="38">
        <f t="shared" ca="1" si="4"/>
        <v>0</v>
      </c>
      <c r="W10" s="38">
        <f t="shared" ca="1" si="4"/>
        <v>0</v>
      </c>
      <c r="X10" s="38">
        <f t="shared" ca="1" si="4"/>
        <v>0</v>
      </c>
      <c r="Y10" s="38">
        <f t="shared" ca="1" si="4"/>
        <v>0</v>
      </c>
      <c r="Z10" s="38">
        <f t="shared" ca="1" si="4"/>
        <v>0</v>
      </c>
      <c r="AA10" s="38">
        <f t="shared" ca="1" si="4"/>
        <v>0</v>
      </c>
      <c r="AB10" s="113"/>
    </row>
    <row r="11" spans="1:190" s="68" customFormat="1" ht="15" customHeight="1" thickBot="1" x14ac:dyDescent="0.25">
      <c r="A11" s="67"/>
      <c r="B11" s="133" t="s">
        <v>125</v>
      </c>
      <c r="C11" s="134"/>
      <c r="D11" s="17" t="e">
        <f ca="1">D10/D9</f>
        <v>#DIV/0!</v>
      </c>
      <c r="E11" s="17" t="e">
        <f t="shared" ref="E11:AA11" ca="1" si="5">E10/E9</f>
        <v>#DIV/0!</v>
      </c>
      <c r="F11" s="17" t="e">
        <f t="shared" ca="1" si="5"/>
        <v>#DIV/0!</v>
      </c>
      <c r="G11" s="17" t="e">
        <f t="shared" ca="1" si="5"/>
        <v>#DIV/0!</v>
      </c>
      <c r="H11" s="17" t="e">
        <f t="shared" ca="1" si="5"/>
        <v>#DIV/0!</v>
      </c>
      <c r="I11" s="17" t="e">
        <f t="shared" ca="1" si="5"/>
        <v>#DIV/0!</v>
      </c>
      <c r="J11" s="17" t="e">
        <f t="shared" ca="1" si="5"/>
        <v>#DIV/0!</v>
      </c>
      <c r="K11" s="17" t="e">
        <f t="shared" ca="1" si="5"/>
        <v>#DIV/0!</v>
      </c>
      <c r="L11" s="17" t="e">
        <f t="shared" ca="1" si="5"/>
        <v>#DIV/0!</v>
      </c>
      <c r="M11" s="17" t="e">
        <f t="shared" ca="1" si="5"/>
        <v>#DIV/0!</v>
      </c>
      <c r="N11" s="17" t="e">
        <f t="shared" ca="1" si="5"/>
        <v>#DIV/0!</v>
      </c>
      <c r="O11" s="17" t="e">
        <f t="shared" ca="1" si="5"/>
        <v>#DIV/0!</v>
      </c>
      <c r="P11" s="17" t="e">
        <f t="shared" ca="1" si="5"/>
        <v>#DIV/0!</v>
      </c>
      <c r="Q11" s="17" t="e">
        <f t="shared" ca="1" si="5"/>
        <v>#DIV/0!</v>
      </c>
      <c r="R11" s="17" t="e">
        <f t="shared" ca="1" si="5"/>
        <v>#DIV/0!</v>
      </c>
      <c r="S11" s="17" t="e">
        <f t="shared" ca="1" si="5"/>
        <v>#DIV/0!</v>
      </c>
      <c r="T11" s="17" t="e">
        <f t="shared" ca="1" si="5"/>
        <v>#DIV/0!</v>
      </c>
      <c r="U11" s="17" t="e">
        <f t="shared" ca="1" si="5"/>
        <v>#DIV/0!</v>
      </c>
      <c r="V11" s="17" t="e">
        <f t="shared" ca="1" si="5"/>
        <v>#DIV/0!</v>
      </c>
      <c r="W11" s="17" t="e">
        <f t="shared" ca="1" si="5"/>
        <v>#DIV/0!</v>
      </c>
      <c r="X11" s="17" t="e">
        <f t="shared" ca="1" si="5"/>
        <v>#DIV/0!</v>
      </c>
      <c r="Y11" s="17" t="e">
        <f t="shared" ca="1" si="5"/>
        <v>#DIV/0!</v>
      </c>
      <c r="Z11" s="17" t="e">
        <f t="shared" ca="1" si="5"/>
        <v>#DIV/0!</v>
      </c>
      <c r="AA11" s="17" t="e">
        <f t="shared" ca="1" si="5"/>
        <v>#DIV/0!</v>
      </c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8"/>
      <c r="CP11" s="58"/>
      <c r="CQ11" s="58"/>
      <c r="CR11" s="58"/>
      <c r="CS11" s="58"/>
      <c r="CT11" s="58"/>
      <c r="CU11" s="58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8"/>
      <c r="DT11" s="58"/>
      <c r="DU11" s="58"/>
      <c r="DV11" s="58"/>
      <c r="DW11" s="58"/>
      <c r="DX11" s="58"/>
      <c r="DY11" s="58"/>
      <c r="DZ11" s="58"/>
      <c r="EA11" s="58"/>
      <c r="EB11" s="58"/>
      <c r="EC11" s="58"/>
      <c r="ED11" s="58"/>
      <c r="EE11" s="58"/>
      <c r="EF11" s="58"/>
      <c r="EG11" s="58"/>
      <c r="EH11" s="58"/>
      <c r="EI11" s="58"/>
      <c r="EJ11" s="58"/>
      <c r="EK11" s="58"/>
      <c r="EL11" s="58"/>
      <c r="EM11" s="58"/>
      <c r="EN11" s="58"/>
      <c r="EO11" s="58"/>
      <c r="EP11" s="58"/>
      <c r="EQ11" s="58"/>
      <c r="ER11" s="58"/>
      <c r="ES11" s="58"/>
      <c r="ET11" s="58"/>
      <c r="EU11" s="58"/>
      <c r="EV11" s="58"/>
      <c r="EW11" s="58"/>
      <c r="EX11" s="58"/>
      <c r="EY11" s="58"/>
      <c r="EZ11" s="58"/>
      <c r="FA11" s="58"/>
      <c r="FB11" s="58"/>
      <c r="FC11" s="58"/>
      <c r="FD11" s="58"/>
      <c r="FE11" s="58"/>
      <c r="FF11" s="58"/>
      <c r="FG11" s="58"/>
      <c r="FH11" s="58"/>
      <c r="FI11" s="58"/>
      <c r="FJ11" s="58"/>
      <c r="FK11" s="58"/>
      <c r="FL11" s="58"/>
      <c r="FM11" s="58"/>
      <c r="FN11" s="58"/>
      <c r="FO11" s="58"/>
      <c r="FP11" s="58"/>
      <c r="FQ11" s="58"/>
      <c r="FR11" s="58"/>
      <c r="FS11" s="58"/>
      <c r="FT11" s="58"/>
      <c r="FU11" s="58"/>
      <c r="FV11" s="58"/>
      <c r="FW11" s="58"/>
      <c r="FX11" s="58"/>
      <c r="FY11" s="58"/>
      <c r="FZ11" s="58"/>
      <c r="GA11" s="58"/>
      <c r="GB11" s="58"/>
      <c r="GC11" s="58"/>
      <c r="GD11" s="58"/>
      <c r="GE11" s="58"/>
      <c r="GF11" s="58"/>
      <c r="GG11" s="58"/>
      <c r="GH11" s="58"/>
    </row>
    <row r="12" spans="1:190" s="68" customFormat="1" ht="15" customHeight="1" x14ac:dyDescent="0.2">
      <c r="A12" s="67"/>
      <c r="B12" s="105"/>
      <c r="C12" s="105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6"/>
      <c r="Z12" s="106"/>
      <c r="AA12" s="106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8"/>
      <c r="CP12" s="58"/>
      <c r="CQ12" s="58"/>
      <c r="CR12" s="58"/>
      <c r="CS12" s="58"/>
      <c r="CT12" s="58"/>
      <c r="CU12" s="58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8"/>
      <c r="DT12" s="58"/>
      <c r="DU12" s="58"/>
      <c r="DV12" s="58"/>
      <c r="DW12" s="58"/>
      <c r="DX12" s="58"/>
      <c r="DY12" s="58"/>
      <c r="DZ12" s="58"/>
      <c r="EA12" s="58"/>
      <c r="EB12" s="58"/>
      <c r="EC12" s="58"/>
      <c r="ED12" s="58"/>
      <c r="EE12" s="58"/>
      <c r="EF12" s="58"/>
      <c r="EG12" s="58"/>
      <c r="EH12" s="58"/>
      <c r="EI12" s="58"/>
      <c r="EJ12" s="58"/>
      <c r="EK12" s="58"/>
      <c r="EL12" s="58"/>
      <c r="EM12" s="58"/>
      <c r="EN12" s="58"/>
      <c r="EO12" s="58"/>
      <c r="EP12" s="58"/>
      <c r="EQ12" s="58"/>
      <c r="ER12" s="58"/>
      <c r="ES12" s="58"/>
      <c r="ET12" s="58"/>
      <c r="EU12" s="58"/>
      <c r="EV12" s="58"/>
      <c r="EW12" s="58"/>
      <c r="EX12" s="58"/>
      <c r="EY12" s="58"/>
      <c r="EZ12" s="58"/>
      <c r="FA12" s="58"/>
      <c r="FB12" s="58"/>
      <c r="FC12" s="58"/>
      <c r="FD12" s="58"/>
      <c r="FE12" s="58"/>
      <c r="FF12" s="58"/>
      <c r="FG12" s="58"/>
      <c r="FH12" s="58"/>
      <c r="FI12" s="58"/>
      <c r="FJ12" s="58"/>
      <c r="FK12" s="58"/>
      <c r="FL12" s="58"/>
      <c r="FM12" s="58"/>
      <c r="FN12" s="58"/>
      <c r="FO12" s="58"/>
      <c r="FP12" s="58"/>
      <c r="FQ12" s="58"/>
      <c r="FR12" s="58"/>
      <c r="FS12" s="58"/>
      <c r="FT12" s="58"/>
      <c r="FU12" s="58"/>
      <c r="FV12" s="58"/>
      <c r="FW12" s="58"/>
      <c r="FX12" s="58"/>
      <c r="FY12" s="58"/>
      <c r="FZ12" s="58"/>
      <c r="GA12" s="58"/>
      <c r="GB12" s="58"/>
      <c r="GC12" s="58"/>
      <c r="GD12" s="58"/>
      <c r="GE12" s="58"/>
      <c r="GF12" s="58"/>
      <c r="GG12" s="58"/>
      <c r="GH12" s="58"/>
    </row>
    <row r="13" spans="1:190" x14ac:dyDescent="0.2">
      <c r="B13" s="112" t="s">
        <v>66</v>
      </c>
    </row>
    <row r="15" spans="1:190" x14ac:dyDescent="0.2">
      <c r="B15" s="112" t="s">
        <v>73</v>
      </c>
    </row>
    <row r="17" spans="2:2" x14ac:dyDescent="0.2">
      <c r="B17" s="114" t="s">
        <v>71</v>
      </c>
    </row>
    <row r="18" spans="2:2" x14ac:dyDescent="0.2">
      <c r="B18" s="115"/>
    </row>
    <row r="19" spans="2:2" x14ac:dyDescent="0.2">
      <c r="B19" s="114" t="s">
        <v>74</v>
      </c>
    </row>
  </sheetData>
  <mergeCells count="2">
    <mergeCell ref="B6:C7"/>
    <mergeCell ref="B11:C11"/>
  </mergeCells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H35"/>
  <sheetViews>
    <sheetView zoomScale="130" zoomScaleNormal="130" zoomScalePageLayoutView="130" workbookViewId="0">
      <selection activeCell="F17" sqref="F17"/>
    </sheetView>
  </sheetViews>
  <sheetFormatPr defaultColWidth="9.140625" defaultRowHeight="15" outlineLevelCol="1" x14ac:dyDescent="0.2"/>
  <cols>
    <col min="1" max="1" width="1.7109375" style="59" customWidth="1"/>
    <col min="2" max="2" width="30.28515625" style="60" bestFit="1" customWidth="1"/>
    <col min="3" max="3" width="9.28515625" style="60" customWidth="1"/>
    <col min="4" max="4" width="9.28515625" style="55" customWidth="1" outlineLevel="1"/>
    <col min="5" max="5" width="10.140625" style="55" customWidth="1" outlineLevel="1"/>
    <col min="6" max="9" width="9.28515625" style="55" customWidth="1" outlineLevel="1"/>
    <col min="10" max="10" width="10.42578125" style="55" customWidth="1" outlineLevel="1"/>
    <col min="11" max="11" width="9.28515625" style="55" customWidth="1" outlineLevel="1"/>
    <col min="12" max="12" width="10.28515625" style="55" customWidth="1" outlineLevel="1"/>
    <col min="13" max="14" width="9.28515625" style="55" customWidth="1" outlineLevel="1"/>
    <col min="15" max="15" width="10.140625" style="55" customWidth="1" outlineLevel="1"/>
    <col min="16" max="16" width="9.28515625" style="55" customWidth="1" outlineLevel="1"/>
    <col min="17" max="17" width="10.140625" style="55" customWidth="1" outlineLevel="1"/>
    <col min="18" max="20" width="9.28515625" style="55" customWidth="1" outlineLevel="1"/>
    <col min="21" max="21" width="9.28515625" style="61" customWidth="1" outlineLevel="1"/>
    <col min="22" max="22" width="10.42578125" style="62" customWidth="1" outlineLevel="1"/>
    <col min="23" max="23" width="9.28515625" style="62" customWidth="1" outlineLevel="1"/>
    <col min="24" max="24" width="10.28515625" style="62" customWidth="1" outlineLevel="1"/>
    <col min="25" max="26" width="9.28515625" style="62" customWidth="1" outlineLevel="1"/>
    <col min="27" max="27" width="10.140625" style="55" customWidth="1" outlineLevel="1"/>
    <col min="28" max="28" width="15.7109375" style="55" customWidth="1"/>
    <col min="29" max="190" width="9.140625" style="55"/>
    <col min="191" max="16384" width="9.140625" style="64"/>
  </cols>
  <sheetData>
    <row r="1" spans="1:190" ht="10.35" customHeight="1" thickBot="1" x14ac:dyDescent="0.25"/>
    <row r="2" spans="1:190" ht="15" customHeight="1" x14ac:dyDescent="0.2">
      <c r="B2" s="8" t="s">
        <v>79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27" t="s">
        <v>52</v>
      </c>
      <c r="C3" s="6">
        <v>40543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5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6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56" customFormat="1" ht="12" customHeight="1" x14ac:dyDescent="0.2">
      <c r="A6" s="65"/>
      <c r="B6" s="139"/>
      <c r="C6" s="140"/>
      <c r="D6" s="21">
        <f ca="1">D7-IF(MONTH(D7)=2,IF(OR(YEAR(D7)=2008,YEAR(D7)=2012,YEAR(D7)=2016),29,28),IF(OR(MONTH(D7)=4,MONTH(D7)=6,MONTH(D7)=9,MONTH(D7)=11),30,31))+1</f>
        <v>39814</v>
      </c>
      <c r="E6" s="22">
        <f t="shared" ref="E6:AA6" ca="1" si="0">E7-IF(MONTH(E7)=2,IF(OR(YEAR(E7)=2008,YEAR(E7)=2012,YEAR(E7)=2016),29,28),IF(OR(MONTH(E7)=4,MONTH(E7)=6,MONTH(E7)=9,MONTH(E7)=11),30,31))+1</f>
        <v>39845</v>
      </c>
      <c r="F6" s="22">
        <f t="shared" ca="1" si="0"/>
        <v>39873</v>
      </c>
      <c r="G6" s="22">
        <f t="shared" ca="1" si="0"/>
        <v>39904</v>
      </c>
      <c r="H6" s="22">
        <f t="shared" ca="1" si="0"/>
        <v>39934</v>
      </c>
      <c r="I6" s="22">
        <f t="shared" ca="1" si="0"/>
        <v>39965</v>
      </c>
      <c r="J6" s="22">
        <f t="shared" ca="1" si="0"/>
        <v>39995</v>
      </c>
      <c r="K6" s="22">
        <f t="shared" ca="1" si="0"/>
        <v>40026</v>
      </c>
      <c r="L6" s="22">
        <f t="shared" ca="1" si="0"/>
        <v>40057</v>
      </c>
      <c r="M6" s="22">
        <f t="shared" ca="1" si="0"/>
        <v>40087</v>
      </c>
      <c r="N6" s="22">
        <f t="shared" ca="1" si="0"/>
        <v>40118</v>
      </c>
      <c r="O6" s="22">
        <f t="shared" ca="1" si="0"/>
        <v>40148</v>
      </c>
      <c r="P6" s="22">
        <f t="shared" ca="1" si="0"/>
        <v>40179</v>
      </c>
      <c r="Q6" s="22">
        <f t="shared" ca="1" si="0"/>
        <v>40210</v>
      </c>
      <c r="R6" s="22">
        <f t="shared" ca="1" si="0"/>
        <v>40238</v>
      </c>
      <c r="S6" s="22">
        <f t="shared" ca="1" si="0"/>
        <v>40269</v>
      </c>
      <c r="T6" s="22">
        <f t="shared" ca="1" si="0"/>
        <v>40299</v>
      </c>
      <c r="U6" s="22">
        <f t="shared" ca="1" si="0"/>
        <v>40330</v>
      </c>
      <c r="V6" s="22">
        <f t="shared" ca="1" si="0"/>
        <v>40360</v>
      </c>
      <c r="W6" s="22">
        <f t="shared" ca="1" si="0"/>
        <v>40391</v>
      </c>
      <c r="X6" s="22">
        <f t="shared" ca="1" si="0"/>
        <v>40422</v>
      </c>
      <c r="Y6" s="22">
        <f t="shared" ca="1" si="0"/>
        <v>40452</v>
      </c>
      <c r="Z6" s="22">
        <f t="shared" ca="1" si="0"/>
        <v>40483</v>
      </c>
      <c r="AA6" s="22">
        <f t="shared" ca="1" si="0"/>
        <v>40513</v>
      </c>
    </row>
    <row r="7" spans="1:190" s="56" customFormat="1" ht="12" customHeight="1" thickBot="1" x14ac:dyDescent="0.25">
      <c r="A7" s="65"/>
      <c r="B7" s="141"/>
      <c r="C7" s="142"/>
      <c r="D7" s="25">
        <f t="shared" ref="D7:Z7" ca="1" si="1">E6-1</f>
        <v>39844</v>
      </c>
      <c r="E7" s="26">
        <f t="shared" ca="1" si="1"/>
        <v>39872</v>
      </c>
      <c r="F7" s="26">
        <f t="shared" ca="1" si="1"/>
        <v>39903</v>
      </c>
      <c r="G7" s="26">
        <f t="shared" ca="1" si="1"/>
        <v>39933</v>
      </c>
      <c r="H7" s="26">
        <f t="shared" ca="1" si="1"/>
        <v>39964</v>
      </c>
      <c r="I7" s="26">
        <f t="shared" ca="1" si="1"/>
        <v>39994</v>
      </c>
      <c r="J7" s="26">
        <f t="shared" ca="1" si="1"/>
        <v>40025</v>
      </c>
      <c r="K7" s="26">
        <f t="shared" ca="1" si="1"/>
        <v>40056</v>
      </c>
      <c r="L7" s="26">
        <f t="shared" ca="1" si="1"/>
        <v>40086</v>
      </c>
      <c r="M7" s="26">
        <f t="shared" ca="1" si="1"/>
        <v>40117</v>
      </c>
      <c r="N7" s="26">
        <f t="shared" ca="1" si="1"/>
        <v>40147</v>
      </c>
      <c r="O7" s="26">
        <f t="shared" ca="1" si="1"/>
        <v>40178</v>
      </c>
      <c r="P7" s="26">
        <f t="shared" ca="1" si="1"/>
        <v>40209</v>
      </c>
      <c r="Q7" s="26">
        <f t="shared" ca="1" si="1"/>
        <v>40237</v>
      </c>
      <c r="R7" s="26">
        <f t="shared" ca="1" si="1"/>
        <v>40268</v>
      </c>
      <c r="S7" s="26">
        <f t="shared" ca="1" si="1"/>
        <v>40298</v>
      </c>
      <c r="T7" s="26">
        <f t="shared" ca="1" si="1"/>
        <v>40329</v>
      </c>
      <c r="U7" s="26">
        <f t="shared" ca="1" si="1"/>
        <v>40359</v>
      </c>
      <c r="V7" s="26">
        <f t="shared" ca="1" si="1"/>
        <v>40390</v>
      </c>
      <c r="W7" s="26">
        <f t="shared" ca="1" si="1"/>
        <v>40421</v>
      </c>
      <c r="X7" s="26">
        <f t="shared" ca="1" si="1"/>
        <v>40451</v>
      </c>
      <c r="Y7" s="26">
        <f t="shared" ca="1" si="1"/>
        <v>40482</v>
      </c>
      <c r="Z7" s="26">
        <f t="shared" ca="1" si="1"/>
        <v>40512</v>
      </c>
      <c r="AA7" s="26">
        <f ca="1">C3</f>
        <v>40543</v>
      </c>
    </row>
    <row r="8" spans="1:190" s="57" customFormat="1" ht="12" customHeight="1" thickBot="1" x14ac:dyDescent="0.25">
      <c r="A8" s="66"/>
      <c r="B8" s="28" t="s">
        <v>0</v>
      </c>
      <c r="C8" s="29" t="s">
        <v>82</v>
      </c>
      <c r="D8" s="30">
        <f t="shared" ref="D8:AA8" ca="1" si="2">D6</f>
        <v>39814</v>
      </c>
      <c r="E8" s="31">
        <f t="shared" ca="1" si="2"/>
        <v>39845</v>
      </c>
      <c r="F8" s="31">
        <f t="shared" ca="1" si="2"/>
        <v>39873</v>
      </c>
      <c r="G8" s="32">
        <f t="shared" ca="1" si="2"/>
        <v>39904</v>
      </c>
      <c r="H8" s="32">
        <f t="shared" ca="1" si="2"/>
        <v>39934</v>
      </c>
      <c r="I8" s="32">
        <f t="shared" ca="1" si="2"/>
        <v>39965</v>
      </c>
      <c r="J8" s="32">
        <f t="shared" ca="1" si="2"/>
        <v>39995</v>
      </c>
      <c r="K8" s="32">
        <f t="shared" ca="1" si="2"/>
        <v>40026</v>
      </c>
      <c r="L8" s="32">
        <f t="shared" ca="1" si="2"/>
        <v>40057</v>
      </c>
      <c r="M8" s="32">
        <f t="shared" ca="1" si="2"/>
        <v>40087</v>
      </c>
      <c r="N8" s="32">
        <f t="shared" ca="1" si="2"/>
        <v>40118</v>
      </c>
      <c r="O8" s="32">
        <f t="shared" ca="1" si="2"/>
        <v>40148</v>
      </c>
      <c r="P8" s="32">
        <f t="shared" ca="1" si="2"/>
        <v>40179</v>
      </c>
      <c r="Q8" s="32">
        <f t="shared" ca="1" si="2"/>
        <v>40210</v>
      </c>
      <c r="R8" s="32">
        <f t="shared" ca="1" si="2"/>
        <v>40238</v>
      </c>
      <c r="S8" s="32">
        <f t="shared" ca="1" si="2"/>
        <v>40269</v>
      </c>
      <c r="T8" s="32">
        <f t="shared" ca="1" si="2"/>
        <v>40299</v>
      </c>
      <c r="U8" s="32">
        <f t="shared" ca="1" si="2"/>
        <v>40330</v>
      </c>
      <c r="V8" s="32">
        <f t="shared" ca="1" si="2"/>
        <v>40360</v>
      </c>
      <c r="W8" s="32">
        <f t="shared" ca="1" si="2"/>
        <v>40391</v>
      </c>
      <c r="X8" s="32">
        <f t="shared" ca="1" si="2"/>
        <v>40422</v>
      </c>
      <c r="Y8" s="32">
        <f t="shared" ca="1" si="2"/>
        <v>40452</v>
      </c>
      <c r="Z8" s="32">
        <f t="shared" ca="1" si="2"/>
        <v>40483</v>
      </c>
      <c r="AA8" s="32">
        <f t="shared" ca="1" si="2"/>
        <v>40513</v>
      </c>
    </row>
    <row r="9" spans="1:190" ht="15" customHeight="1" thickBot="1" x14ac:dyDescent="0.25">
      <c r="B9" s="36"/>
      <c r="C9" s="37" t="s">
        <v>83</v>
      </c>
      <c r="D9" s="38">
        <f t="shared" ref="D9:M12" ca="1" si="3">AbraReceivable(URL,Username,Password,$C9,D$6,D$7)/1000</f>
        <v>0</v>
      </c>
      <c r="E9" s="38">
        <f t="shared" ca="1" si="3"/>
        <v>0</v>
      </c>
      <c r="F9" s="38">
        <f t="shared" ca="1" si="3"/>
        <v>0</v>
      </c>
      <c r="G9" s="38">
        <f t="shared" ca="1" si="3"/>
        <v>0</v>
      </c>
      <c r="H9" s="38">
        <f t="shared" ca="1" si="3"/>
        <v>0</v>
      </c>
      <c r="I9" s="38">
        <f t="shared" ca="1" si="3"/>
        <v>0</v>
      </c>
      <c r="J9" s="38">
        <f t="shared" ca="1" si="3"/>
        <v>0</v>
      </c>
      <c r="K9" s="38">
        <f t="shared" ca="1" si="3"/>
        <v>0</v>
      </c>
      <c r="L9" s="38">
        <f t="shared" ca="1" si="3"/>
        <v>0</v>
      </c>
      <c r="M9" s="38">
        <f t="shared" ca="1" si="3"/>
        <v>0</v>
      </c>
      <c r="N9" s="38">
        <f t="shared" ref="N9:AA12" ca="1" si="4">AbraReceivable(URL,Username,Password,$C9,N$6,N$7)/1000</f>
        <v>0</v>
      </c>
      <c r="O9" s="38">
        <f t="shared" ca="1" si="4"/>
        <v>0</v>
      </c>
      <c r="P9" s="38">
        <f t="shared" ca="1" si="4"/>
        <v>0</v>
      </c>
      <c r="Q9" s="38">
        <f t="shared" ca="1" si="4"/>
        <v>0</v>
      </c>
      <c r="R9" s="38">
        <f t="shared" ca="1" si="4"/>
        <v>0</v>
      </c>
      <c r="S9" s="38">
        <f t="shared" ca="1" si="4"/>
        <v>0</v>
      </c>
      <c r="T9" s="38">
        <f t="shared" ca="1" si="4"/>
        <v>0</v>
      </c>
      <c r="U9" s="38">
        <f t="shared" ca="1" si="4"/>
        <v>0</v>
      </c>
      <c r="V9" s="38">
        <f t="shared" ca="1" si="4"/>
        <v>0</v>
      </c>
      <c r="W9" s="38">
        <f t="shared" ca="1" si="4"/>
        <v>0</v>
      </c>
      <c r="X9" s="38">
        <f t="shared" ca="1" si="4"/>
        <v>0</v>
      </c>
      <c r="Y9" s="38">
        <f t="shared" ca="1" si="4"/>
        <v>0</v>
      </c>
      <c r="Z9" s="38">
        <f t="shared" ca="1" si="4"/>
        <v>0</v>
      </c>
      <c r="AA9" s="38">
        <f t="shared" ca="1" si="4"/>
        <v>0</v>
      </c>
      <c r="AB9" s="113"/>
      <c r="AC9" s="57"/>
    </row>
    <row r="10" spans="1:190" ht="15" customHeight="1" thickBot="1" x14ac:dyDescent="0.25">
      <c r="B10" s="116"/>
      <c r="C10" s="117" t="s">
        <v>84</v>
      </c>
      <c r="D10" s="38">
        <f t="shared" ca="1" si="3"/>
        <v>0</v>
      </c>
      <c r="E10" s="38">
        <f t="shared" ca="1" si="3"/>
        <v>0</v>
      </c>
      <c r="F10" s="38">
        <f t="shared" ca="1" si="3"/>
        <v>0</v>
      </c>
      <c r="G10" s="38">
        <f t="shared" ca="1" si="3"/>
        <v>0</v>
      </c>
      <c r="H10" s="38">
        <f t="shared" ca="1" si="3"/>
        <v>0</v>
      </c>
      <c r="I10" s="38">
        <f t="shared" ca="1" si="3"/>
        <v>0</v>
      </c>
      <c r="J10" s="38">
        <f t="shared" ca="1" si="3"/>
        <v>0</v>
      </c>
      <c r="K10" s="38">
        <f t="shared" ca="1" si="3"/>
        <v>0</v>
      </c>
      <c r="L10" s="38">
        <f t="shared" ca="1" si="3"/>
        <v>0</v>
      </c>
      <c r="M10" s="38">
        <f t="shared" ca="1" si="3"/>
        <v>0</v>
      </c>
      <c r="N10" s="38">
        <f t="shared" ca="1" si="4"/>
        <v>0</v>
      </c>
      <c r="O10" s="38">
        <f t="shared" ca="1" si="4"/>
        <v>0</v>
      </c>
      <c r="P10" s="38">
        <f t="shared" ca="1" si="4"/>
        <v>0</v>
      </c>
      <c r="Q10" s="38">
        <f t="shared" ca="1" si="4"/>
        <v>0</v>
      </c>
      <c r="R10" s="38">
        <f t="shared" ca="1" si="4"/>
        <v>0</v>
      </c>
      <c r="S10" s="38">
        <f t="shared" ca="1" si="4"/>
        <v>0</v>
      </c>
      <c r="T10" s="38">
        <f t="shared" ca="1" si="4"/>
        <v>0</v>
      </c>
      <c r="U10" s="38">
        <f t="shared" ca="1" si="4"/>
        <v>0</v>
      </c>
      <c r="V10" s="38">
        <f t="shared" ca="1" si="4"/>
        <v>0</v>
      </c>
      <c r="W10" s="38">
        <f t="shared" ca="1" si="4"/>
        <v>0</v>
      </c>
      <c r="X10" s="38">
        <f t="shared" ca="1" si="4"/>
        <v>0</v>
      </c>
      <c r="Y10" s="38">
        <f t="shared" ca="1" si="4"/>
        <v>0</v>
      </c>
      <c r="Z10" s="38">
        <f t="shared" ca="1" si="4"/>
        <v>0</v>
      </c>
      <c r="AA10" s="38">
        <f t="shared" ca="1" si="4"/>
        <v>0</v>
      </c>
      <c r="AB10" s="113"/>
      <c r="AC10" s="57"/>
    </row>
    <row r="11" spans="1:190" ht="15" customHeight="1" thickBot="1" x14ac:dyDescent="0.25">
      <c r="B11" s="116"/>
      <c r="C11" s="117" t="s">
        <v>85</v>
      </c>
      <c r="D11" s="38">
        <f t="shared" ca="1" si="3"/>
        <v>0</v>
      </c>
      <c r="E11" s="38">
        <f t="shared" ca="1" si="3"/>
        <v>0</v>
      </c>
      <c r="F11" s="38">
        <f t="shared" ca="1" si="3"/>
        <v>0</v>
      </c>
      <c r="G11" s="38">
        <f t="shared" ca="1" si="3"/>
        <v>0</v>
      </c>
      <c r="H11" s="38">
        <f t="shared" ca="1" si="3"/>
        <v>0</v>
      </c>
      <c r="I11" s="38">
        <f t="shared" ca="1" si="3"/>
        <v>0</v>
      </c>
      <c r="J11" s="38">
        <f t="shared" ca="1" si="3"/>
        <v>0</v>
      </c>
      <c r="K11" s="38">
        <f t="shared" ca="1" si="3"/>
        <v>0</v>
      </c>
      <c r="L11" s="38">
        <f t="shared" ca="1" si="3"/>
        <v>0</v>
      </c>
      <c r="M11" s="38">
        <f t="shared" ca="1" si="3"/>
        <v>0</v>
      </c>
      <c r="N11" s="38">
        <f t="shared" ca="1" si="4"/>
        <v>0</v>
      </c>
      <c r="O11" s="38">
        <f t="shared" ca="1" si="4"/>
        <v>0</v>
      </c>
      <c r="P11" s="38">
        <f t="shared" ca="1" si="4"/>
        <v>0</v>
      </c>
      <c r="Q11" s="38">
        <f t="shared" ca="1" si="4"/>
        <v>0</v>
      </c>
      <c r="R11" s="38">
        <f t="shared" ca="1" si="4"/>
        <v>0</v>
      </c>
      <c r="S11" s="38">
        <f t="shared" ca="1" si="4"/>
        <v>0</v>
      </c>
      <c r="T11" s="38">
        <f t="shared" ca="1" si="4"/>
        <v>0</v>
      </c>
      <c r="U11" s="38">
        <f t="shared" ca="1" si="4"/>
        <v>0</v>
      </c>
      <c r="V11" s="38">
        <f t="shared" ca="1" si="4"/>
        <v>0</v>
      </c>
      <c r="W11" s="38">
        <f t="shared" ca="1" si="4"/>
        <v>0</v>
      </c>
      <c r="X11" s="38">
        <f t="shared" ca="1" si="4"/>
        <v>0</v>
      </c>
      <c r="Y11" s="38">
        <f t="shared" ca="1" si="4"/>
        <v>0</v>
      </c>
      <c r="Z11" s="38">
        <f t="shared" ca="1" si="4"/>
        <v>0</v>
      </c>
      <c r="AA11" s="38">
        <f t="shared" ca="1" si="4"/>
        <v>0</v>
      </c>
      <c r="AB11" s="113"/>
      <c r="AC11" s="57"/>
    </row>
    <row r="12" spans="1:190" ht="15" customHeight="1" x14ac:dyDescent="0.2">
      <c r="B12" s="39"/>
      <c r="C12" s="40" t="s">
        <v>86</v>
      </c>
      <c r="D12" s="38">
        <f t="shared" ca="1" si="3"/>
        <v>0</v>
      </c>
      <c r="E12" s="38">
        <f t="shared" ca="1" si="3"/>
        <v>0</v>
      </c>
      <c r="F12" s="38">
        <f t="shared" ca="1" si="3"/>
        <v>0</v>
      </c>
      <c r="G12" s="38">
        <f t="shared" ca="1" si="3"/>
        <v>0</v>
      </c>
      <c r="H12" s="38">
        <f t="shared" ca="1" si="3"/>
        <v>0</v>
      </c>
      <c r="I12" s="38">
        <f t="shared" ca="1" si="3"/>
        <v>0</v>
      </c>
      <c r="J12" s="38">
        <f t="shared" ca="1" si="3"/>
        <v>0</v>
      </c>
      <c r="K12" s="38">
        <f t="shared" ca="1" si="3"/>
        <v>0</v>
      </c>
      <c r="L12" s="38">
        <f t="shared" ca="1" si="3"/>
        <v>0</v>
      </c>
      <c r="M12" s="38">
        <f t="shared" ca="1" si="3"/>
        <v>0</v>
      </c>
      <c r="N12" s="38">
        <f t="shared" ca="1" si="4"/>
        <v>0</v>
      </c>
      <c r="O12" s="38">
        <f t="shared" ca="1" si="4"/>
        <v>0</v>
      </c>
      <c r="P12" s="38">
        <f t="shared" ca="1" si="4"/>
        <v>0</v>
      </c>
      <c r="Q12" s="38">
        <f t="shared" ca="1" si="4"/>
        <v>0</v>
      </c>
      <c r="R12" s="38">
        <f t="shared" ca="1" si="4"/>
        <v>0</v>
      </c>
      <c r="S12" s="38">
        <f t="shared" ca="1" si="4"/>
        <v>0</v>
      </c>
      <c r="T12" s="38">
        <f t="shared" ca="1" si="4"/>
        <v>0</v>
      </c>
      <c r="U12" s="38">
        <f t="shared" ca="1" si="4"/>
        <v>0</v>
      </c>
      <c r="V12" s="38">
        <f t="shared" ca="1" si="4"/>
        <v>0</v>
      </c>
      <c r="W12" s="38">
        <f t="shared" ca="1" si="4"/>
        <v>0</v>
      </c>
      <c r="X12" s="38">
        <f t="shared" ca="1" si="4"/>
        <v>0</v>
      </c>
      <c r="Y12" s="38">
        <f t="shared" ca="1" si="4"/>
        <v>0</v>
      </c>
      <c r="Z12" s="38">
        <f t="shared" ca="1" si="4"/>
        <v>0</v>
      </c>
      <c r="AA12" s="38">
        <f t="shared" ca="1" si="4"/>
        <v>0</v>
      </c>
      <c r="AB12" s="113"/>
    </row>
    <row r="13" spans="1:190" s="68" customFormat="1" ht="15" customHeight="1" x14ac:dyDescent="0.2">
      <c r="A13" s="67"/>
      <c r="B13" s="105"/>
      <c r="C13" s="105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  <c r="Z13" s="106"/>
      <c r="AA13" s="106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58"/>
      <c r="DV13" s="58"/>
      <c r="DW13" s="58"/>
      <c r="DX13" s="58"/>
      <c r="DY13" s="58"/>
      <c r="DZ13" s="58"/>
      <c r="EA13" s="58"/>
      <c r="EB13" s="58"/>
      <c r="EC13" s="58"/>
      <c r="ED13" s="58"/>
      <c r="EE13" s="58"/>
      <c r="EF13" s="58"/>
      <c r="EG13" s="58"/>
      <c r="EH13" s="58"/>
      <c r="EI13" s="58"/>
      <c r="EJ13" s="58"/>
      <c r="EK13" s="58"/>
      <c r="EL13" s="58"/>
      <c r="EM13" s="58"/>
      <c r="EN13" s="58"/>
      <c r="EO13" s="58"/>
      <c r="EP13" s="58"/>
      <c r="EQ13" s="58"/>
      <c r="ER13" s="58"/>
      <c r="ES13" s="58"/>
      <c r="ET13" s="58"/>
      <c r="EU13" s="58"/>
      <c r="EV13" s="58"/>
      <c r="EW13" s="58"/>
      <c r="EX13" s="58"/>
      <c r="EY13" s="58"/>
      <c r="EZ13" s="58"/>
      <c r="FA13" s="58"/>
      <c r="FB13" s="58"/>
      <c r="FC13" s="58"/>
      <c r="FD13" s="58"/>
      <c r="FE13" s="58"/>
      <c r="FF13" s="58"/>
      <c r="FG13" s="58"/>
      <c r="FH13" s="58"/>
      <c r="FI13" s="58"/>
      <c r="FJ13" s="58"/>
      <c r="FK13" s="58"/>
      <c r="FL13" s="58"/>
      <c r="FM13" s="58"/>
      <c r="FN13" s="58"/>
      <c r="FO13" s="58"/>
      <c r="FP13" s="58"/>
      <c r="FQ13" s="58"/>
      <c r="FR13" s="58"/>
      <c r="FS13" s="58"/>
      <c r="FT13" s="58"/>
      <c r="FU13" s="58"/>
      <c r="FV13" s="58"/>
      <c r="FW13" s="58"/>
      <c r="FX13" s="58"/>
      <c r="FY13" s="58"/>
      <c r="FZ13" s="58"/>
      <c r="GA13" s="58"/>
      <c r="GB13" s="58"/>
      <c r="GC13" s="58"/>
      <c r="GD13" s="58"/>
      <c r="GE13" s="58"/>
      <c r="GF13" s="58"/>
      <c r="GG13" s="58"/>
      <c r="GH13" s="58"/>
    </row>
    <row r="14" spans="1:190" s="68" customFormat="1" ht="15" customHeight="1" x14ac:dyDescent="0.2">
      <c r="A14" s="67"/>
      <c r="B14" s="105"/>
      <c r="C14" s="105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6"/>
      <c r="AA14" s="106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8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8"/>
      <c r="CP14" s="58"/>
      <c r="CQ14" s="58"/>
      <c r="CR14" s="58"/>
      <c r="CS14" s="58"/>
      <c r="CT14" s="58"/>
      <c r="CU14" s="58"/>
      <c r="CV14" s="58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8"/>
      <c r="DT14" s="58"/>
      <c r="DU14" s="58"/>
      <c r="DV14" s="58"/>
      <c r="DW14" s="58"/>
      <c r="DX14" s="58"/>
      <c r="DY14" s="58"/>
      <c r="DZ14" s="58"/>
      <c r="EA14" s="58"/>
      <c r="EB14" s="58"/>
      <c r="EC14" s="58"/>
      <c r="ED14" s="58"/>
      <c r="EE14" s="58"/>
      <c r="EF14" s="58"/>
      <c r="EG14" s="58"/>
      <c r="EH14" s="58"/>
      <c r="EI14" s="58"/>
      <c r="EJ14" s="58"/>
      <c r="EK14" s="58"/>
      <c r="EL14" s="58"/>
      <c r="EM14" s="58"/>
      <c r="EN14" s="58"/>
      <c r="EO14" s="58"/>
      <c r="EP14" s="58"/>
      <c r="EQ14" s="58"/>
      <c r="ER14" s="58"/>
      <c r="ES14" s="58"/>
      <c r="ET14" s="58"/>
      <c r="EU14" s="58"/>
      <c r="EV14" s="58"/>
      <c r="EW14" s="58"/>
      <c r="EX14" s="58"/>
      <c r="EY14" s="58"/>
      <c r="EZ14" s="58"/>
      <c r="FA14" s="58"/>
      <c r="FB14" s="58"/>
      <c r="FC14" s="58"/>
      <c r="FD14" s="58"/>
      <c r="FE14" s="58"/>
      <c r="FF14" s="58"/>
      <c r="FG14" s="58"/>
      <c r="FH14" s="58"/>
      <c r="FI14" s="58"/>
      <c r="FJ14" s="58"/>
      <c r="FK14" s="58"/>
      <c r="FL14" s="58"/>
      <c r="FM14" s="58"/>
      <c r="FN14" s="58"/>
      <c r="FO14" s="58"/>
      <c r="FP14" s="58"/>
      <c r="FQ14" s="58"/>
      <c r="FR14" s="58"/>
      <c r="FS14" s="58"/>
      <c r="FT14" s="58"/>
      <c r="FU14" s="58"/>
      <c r="FV14" s="58"/>
      <c r="FW14" s="58"/>
      <c r="FX14" s="58"/>
      <c r="FY14" s="58"/>
      <c r="FZ14" s="58"/>
      <c r="GA14" s="58"/>
      <c r="GB14" s="58"/>
      <c r="GC14" s="58"/>
      <c r="GD14" s="58"/>
      <c r="GE14" s="58"/>
      <c r="GF14" s="58"/>
      <c r="GG14" s="58"/>
      <c r="GH14" s="58"/>
    </row>
    <row r="15" spans="1:190" ht="15.75" thickBot="1" x14ac:dyDescent="0.25">
      <c r="B15" s="112"/>
    </row>
    <row r="16" spans="1:190" x14ac:dyDescent="0.2">
      <c r="B16" s="8" t="s">
        <v>80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8" x14ac:dyDescent="0.2">
      <c r="B17" s="127" t="s">
        <v>52</v>
      </c>
      <c r="C17" s="6">
        <v>43465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2:28" x14ac:dyDescent="0.2">
      <c r="B18" s="15"/>
      <c r="C18" s="3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2:28" ht="15.75" thickBot="1" x14ac:dyDescent="0.25">
      <c r="B19" s="16"/>
      <c r="C19" s="5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2:28" x14ac:dyDescent="0.2">
      <c r="B20" s="139"/>
      <c r="C20" s="140"/>
      <c r="D20" s="21">
        <f ca="1">D21-IF(MONTH(D21)=2,IF(OR(YEAR(D21)=2008,YEAR(D21)=2012,YEAR(D21)=2016),29,28),IF(OR(MONTH(D21)=4,MONTH(D21)=6,MONTH(D21)=9,MONTH(D21)=11),30,31))+1</f>
        <v>42736</v>
      </c>
      <c r="E20" s="22">
        <f t="shared" ref="E20:AA20" ca="1" si="5">E21-IF(MONTH(E21)=2,IF(OR(YEAR(E21)=2008,YEAR(E21)=2012,YEAR(E21)=2016),29,28),IF(OR(MONTH(E21)=4,MONTH(E21)=6,MONTH(E21)=9,MONTH(E21)=11),30,31))+1</f>
        <v>42767</v>
      </c>
      <c r="F20" s="22">
        <f t="shared" ca="1" si="5"/>
        <v>42795</v>
      </c>
      <c r="G20" s="22">
        <f t="shared" ca="1" si="5"/>
        <v>42826</v>
      </c>
      <c r="H20" s="22">
        <f t="shared" ca="1" si="5"/>
        <v>42856</v>
      </c>
      <c r="I20" s="22">
        <f t="shared" ca="1" si="5"/>
        <v>42887</v>
      </c>
      <c r="J20" s="22">
        <f t="shared" ca="1" si="5"/>
        <v>42917</v>
      </c>
      <c r="K20" s="22">
        <f t="shared" ca="1" si="5"/>
        <v>42948</v>
      </c>
      <c r="L20" s="22">
        <f t="shared" ca="1" si="5"/>
        <v>42979</v>
      </c>
      <c r="M20" s="22">
        <f t="shared" ca="1" si="5"/>
        <v>43009</v>
      </c>
      <c r="N20" s="22">
        <f t="shared" ca="1" si="5"/>
        <v>43040</v>
      </c>
      <c r="O20" s="22">
        <f t="shared" ca="1" si="5"/>
        <v>43070</v>
      </c>
      <c r="P20" s="22">
        <f t="shared" ca="1" si="5"/>
        <v>43101</v>
      </c>
      <c r="Q20" s="22">
        <f t="shared" ca="1" si="5"/>
        <v>43132</v>
      </c>
      <c r="R20" s="22">
        <f t="shared" ca="1" si="5"/>
        <v>43160</v>
      </c>
      <c r="S20" s="22">
        <f t="shared" ca="1" si="5"/>
        <v>43191</v>
      </c>
      <c r="T20" s="22">
        <f t="shared" ca="1" si="5"/>
        <v>43221</v>
      </c>
      <c r="U20" s="22">
        <f t="shared" ca="1" si="5"/>
        <v>43252</v>
      </c>
      <c r="V20" s="22">
        <f t="shared" ca="1" si="5"/>
        <v>43282</v>
      </c>
      <c r="W20" s="22">
        <f t="shared" ca="1" si="5"/>
        <v>43313</v>
      </c>
      <c r="X20" s="22">
        <f t="shared" ca="1" si="5"/>
        <v>43344</v>
      </c>
      <c r="Y20" s="22">
        <f t="shared" ca="1" si="5"/>
        <v>43374</v>
      </c>
      <c r="Z20" s="22">
        <f t="shared" ca="1" si="5"/>
        <v>43405</v>
      </c>
      <c r="AA20" s="22">
        <f t="shared" ca="1" si="5"/>
        <v>43435</v>
      </c>
      <c r="AB20" s="56"/>
    </row>
    <row r="21" spans="2:28" ht="15.75" thickBot="1" x14ac:dyDescent="0.25">
      <c r="B21" s="141"/>
      <c r="C21" s="142"/>
      <c r="D21" s="25">
        <f t="shared" ref="D21" ca="1" si="6">E20-1</f>
        <v>42766</v>
      </c>
      <c r="E21" s="26">
        <f t="shared" ref="E21" ca="1" si="7">F20-1</f>
        <v>42794</v>
      </c>
      <c r="F21" s="26">
        <f t="shared" ref="F21" ca="1" si="8">G20-1</f>
        <v>42825</v>
      </c>
      <c r="G21" s="26">
        <f t="shared" ref="G21" ca="1" si="9">H20-1</f>
        <v>42855</v>
      </c>
      <c r="H21" s="26">
        <f t="shared" ref="H21" ca="1" si="10">I20-1</f>
        <v>42886</v>
      </c>
      <c r="I21" s="26">
        <f t="shared" ref="I21" ca="1" si="11">J20-1</f>
        <v>42916</v>
      </c>
      <c r="J21" s="26">
        <f t="shared" ref="J21" ca="1" si="12">K20-1</f>
        <v>42947</v>
      </c>
      <c r="K21" s="26">
        <f t="shared" ref="K21" ca="1" si="13">L20-1</f>
        <v>42978</v>
      </c>
      <c r="L21" s="26">
        <f t="shared" ref="L21" ca="1" si="14">M20-1</f>
        <v>43008</v>
      </c>
      <c r="M21" s="26">
        <f t="shared" ref="M21" ca="1" si="15">N20-1</f>
        <v>43039</v>
      </c>
      <c r="N21" s="26">
        <f t="shared" ref="N21" ca="1" si="16">O20-1</f>
        <v>43069</v>
      </c>
      <c r="O21" s="26">
        <f t="shared" ref="O21" ca="1" si="17">P20-1</f>
        <v>43100</v>
      </c>
      <c r="P21" s="26">
        <f t="shared" ref="P21" ca="1" si="18">Q20-1</f>
        <v>43131</v>
      </c>
      <c r="Q21" s="26">
        <f t="shared" ref="Q21" ca="1" si="19">R20-1</f>
        <v>43159</v>
      </c>
      <c r="R21" s="26">
        <f t="shared" ref="R21" ca="1" si="20">S20-1</f>
        <v>43190</v>
      </c>
      <c r="S21" s="26">
        <f t="shared" ref="S21" ca="1" si="21">T20-1</f>
        <v>43220</v>
      </c>
      <c r="T21" s="26">
        <f t="shared" ref="T21" ca="1" si="22">U20-1</f>
        <v>43251</v>
      </c>
      <c r="U21" s="26">
        <f t="shared" ref="U21" ca="1" si="23">V20-1</f>
        <v>43281</v>
      </c>
      <c r="V21" s="26">
        <f t="shared" ref="V21" ca="1" si="24">W20-1</f>
        <v>43312</v>
      </c>
      <c r="W21" s="26">
        <f t="shared" ref="W21" ca="1" si="25">X20-1</f>
        <v>43343</v>
      </c>
      <c r="X21" s="26">
        <f t="shared" ref="X21" ca="1" si="26">Y20-1</f>
        <v>43373</v>
      </c>
      <c r="Y21" s="26">
        <f t="shared" ref="Y21" ca="1" si="27">Z20-1</f>
        <v>43404</v>
      </c>
      <c r="Z21" s="26">
        <f t="shared" ref="Z21" ca="1" si="28">AA20-1</f>
        <v>43434</v>
      </c>
      <c r="AA21" s="26">
        <f ca="1">C17</f>
        <v>43465</v>
      </c>
      <c r="AB21" s="56"/>
    </row>
    <row r="22" spans="2:28" ht="15.75" thickBot="1" x14ac:dyDescent="0.25">
      <c r="B22" s="28" t="s">
        <v>0</v>
      </c>
      <c r="C22" s="29" t="s">
        <v>62</v>
      </c>
      <c r="D22" s="30">
        <f t="shared" ref="D22:AA22" ca="1" si="29">D20</f>
        <v>42736</v>
      </c>
      <c r="E22" s="31">
        <f t="shared" ca="1" si="29"/>
        <v>42767</v>
      </c>
      <c r="F22" s="31">
        <f t="shared" ca="1" si="29"/>
        <v>42795</v>
      </c>
      <c r="G22" s="32">
        <f t="shared" ca="1" si="29"/>
        <v>42826</v>
      </c>
      <c r="H22" s="32">
        <f t="shared" ca="1" si="29"/>
        <v>42856</v>
      </c>
      <c r="I22" s="32">
        <f t="shared" ca="1" si="29"/>
        <v>42887</v>
      </c>
      <c r="J22" s="32">
        <f t="shared" ca="1" si="29"/>
        <v>42917</v>
      </c>
      <c r="K22" s="32">
        <f t="shared" ca="1" si="29"/>
        <v>42948</v>
      </c>
      <c r="L22" s="32">
        <f t="shared" ca="1" si="29"/>
        <v>42979</v>
      </c>
      <c r="M22" s="32">
        <f t="shared" ca="1" si="29"/>
        <v>43009</v>
      </c>
      <c r="N22" s="32">
        <f t="shared" ca="1" si="29"/>
        <v>43040</v>
      </c>
      <c r="O22" s="32">
        <f t="shared" ca="1" si="29"/>
        <v>43070</v>
      </c>
      <c r="P22" s="32">
        <f t="shared" ca="1" si="29"/>
        <v>43101</v>
      </c>
      <c r="Q22" s="32">
        <f t="shared" ca="1" si="29"/>
        <v>43132</v>
      </c>
      <c r="R22" s="32">
        <f t="shared" ca="1" si="29"/>
        <v>43160</v>
      </c>
      <c r="S22" s="32">
        <f t="shared" ca="1" si="29"/>
        <v>43191</v>
      </c>
      <c r="T22" s="32">
        <f t="shared" ca="1" si="29"/>
        <v>43221</v>
      </c>
      <c r="U22" s="32">
        <f t="shared" ca="1" si="29"/>
        <v>43252</v>
      </c>
      <c r="V22" s="32">
        <f t="shared" ca="1" si="29"/>
        <v>43282</v>
      </c>
      <c r="W22" s="32">
        <f t="shared" ca="1" si="29"/>
        <v>43313</v>
      </c>
      <c r="X22" s="32">
        <f t="shared" ca="1" si="29"/>
        <v>43344</v>
      </c>
      <c r="Y22" s="32">
        <f t="shared" ca="1" si="29"/>
        <v>43374</v>
      </c>
      <c r="Z22" s="32">
        <f t="shared" ca="1" si="29"/>
        <v>43405</v>
      </c>
      <c r="AA22" s="32">
        <f t="shared" ca="1" si="29"/>
        <v>43435</v>
      </c>
      <c r="AB22" s="57"/>
    </row>
    <row r="23" spans="2:28" ht="15.75" thickBot="1" x14ac:dyDescent="0.25">
      <c r="B23" s="36"/>
      <c r="C23" s="37" t="s">
        <v>83</v>
      </c>
      <c r="D23" s="38">
        <f t="shared" ref="D23:M26" ca="1" si="30">AbraPayable(URL,Username,Password,$C23,D$20,D$21)/1000</f>
        <v>0</v>
      </c>
      <c r="E23" s="38">
        <f t="shared" ca="1" si="30"/>
        <v>0</v>
      </c>
      <c r="F23" s="38">
        <f t="shared" ca="1" si="30"/>
        <v>0</v>
      </c>
      <c r="G23" s="38">
        <f t="shared" ca="1" si="30"/>
        <v>0</v>
      </c>
      <c r="H23" s="38">
        <f t="shared" ca="1" si="30"/>
        <v>0</v>
      </c>
      <c r="I23" s="38">
        <f t="shared" ca="1" si="30"/>
        <v>0</v>
      </c>
      <c r="J23" s="38">
        <f t="shared" ca="1" si="30"/>
        <v>0</v>
      </c>
      <c r="K23" s="38">
        <f t="shared" ca="1" si="30"/>
        <v>0</v>
      </c>
      <c r="L23" s="38">
        <f t="shared" ca="1" si="30"/>
        <v>0</v>
      </c>
      <c r="M23" s="38">
        <f t="shared" ca="1" si="30"/>
        <v>0</v>
      </c>
      <c r="N23" s="38">
        <f t="shared" ref="N23:AA26" ca="1" si="31">AbraPayable(URL,Username,Password,$C23,N$20,N$21)/1000</f>
        <v>0</v>
      </c>
      <c r="O23" s="38">
        <f t="shared" ca="1" si="31"/>
        <v>0</v>
      </c>
      <c r="P23" s="38">
        <f t="shared" ca="1" si="31"/>
        <v>0</v>
      </c>
      <c r="Q23" s="38">
        <f t="shared" ca="1" si="31"/>
        <v>0</v>
      </c>
      <c r="R23" s="38">
        <f t="shared" ca="1" si="31"/>
        <v>0</v>
      </c>
      <c r="S23" s="38">
        <f t="shared" ca="1" si="31"/>
        <v>0</v>
      </c>
      <c r="T23" s="38">
        <f t="shared" ca="1" si="31"/>
        <v>0</v>
      </c>
      <c r="U23" s="38">
        <f t="shared" ca="1" si="31"/>
        <v>0</v>
      </c>
      <c r="V23" s="38">
        <f t="shared" ca="1" si="31"/>
        <v>0</v>
      </c>
      <c r="W23" s="38">
        <f t="shared" ca="1" si="31"/>
        <v>0</v>
      </c>
      <c r="X23" s="38">
        <f t="shared" ca="1" si="31"/>
        <v>0</v>
      </c>
      <c r="Y23" s="38">
        <f t="shared" ca="1" si="31"/>
        <v>0</v>
      </c>
      <c r="Z23" s="38">
        <f t="shared" ca="1" si="31"/>
        <v>0</v>
      </c>
      <c r="AA23" s="38">
        <f t="shared" ca="1" si="31"/>
        <v>0</v>
      </c>
      <c r="AB23" s="113"/>
    </row>
    <row r="24" spans="2:28" ht="15.75" thickBot="1" x14ac:dyDescent="0.25">
      <c r="B24" s="116"/>
      <c r="C24" s="117" t="s">
        <v>84</v>
      </c>
      <c r="D24" s="38">
        <f t="shared" ca="1" si="30"/>
        <v>0</v>
      </c>
      <c r="E24" s="38">
        <f t="shared" ca="1" si="30"/>
        <v>0</v>
      </c>
      <c r="F24" s="38">
        <f t="shared" ca="1" si="30"/>
        <v>0</v>
      </c>
      <c r="G24" s="38">
        <f t="shared" ca="1" si="30"/>
        <v>0</v>
      </c>
      <c r="H24" s="38">
        <f t="shared" ca="1" si="30"/>
        <v>0</v>
      </c>
      <c r="I24" s="38">
        <f t="shared" ca="1" si="30"/>
        <v>0</v>
      </c>
      <c r="J24" s="38">
        <f t="shared" ca="1" si="30"/>
        <v>0</v>
      </c>
      <c r="K24" s="38">
        <f t="shared" ca="1" si="30"/>
        <v>0</v>
      </c>
      <c r="L24" s="38">
        <f t="shared" ca="1" si="30"/>
        <v>0</v>
      </c>
      <c r="M24" s="38">
        <f t="shared" ca="1" si="30"/>
        <v>0</v>
      </c>
      <c r="N24" s="38">
        <f t="shared" ca="1" si="31"/>
        <v>0</v>
      </c>
      <c r="O24" s="38">
        <f t="shared" ca="1" si="31"/>
        <v>0</v>
      </c>
      <c r="P24" s="38">
        <f t="shared" ca="1" si="31"/>
        <v>0</v>
      </c>
      <c r="Q24" s="38">
        <f t="shared" ca="1" si="31"/>
        <v>0</v>
      </c>
      <c r="R24" s="38">
        <f t="shared" ca="1" si="31"/>
        <v>0</v>
      </c>
      <c r="S24" s="38">
        <f t="shared" ca="1" si="31"/>
        <v>0</v>
      </c>
      <c r="T24" s="38">
        <f t="shared" ca="1" si="31"/>
        <v>0</v>
      </c>
      <c r="U24" s="38">
        <f t="shared" ca="1" si="31"/>
        <v>0</v>
      </c>
      <c r="V24" s="38">
        <f t="shared" ca="1" si="31"/>
        <v>0</v>
      </c>
      <c r="W24" s="38">
        <f t="shared" ca="1" si="31"/>
        <v>0</v>
      </c>
      <c r="X24" s="38">
        <f t="shared" ca="1" si="31"/>
        <v>0</v>
      </c>
      <c r="Y24" s="38">
        <f t="shared" ca="1" si="31"/>
        <v>0</v>
      </c>
      <c r="Z24" s="38">
        <f t="shared" ca="1" si="31"/>
        <v>0</v>
      </c>
      <c r="AA24" s="38">
        <f t="shared" ca="1" si="31"/>
        <v>0</v>
      </c>
      <c r="AB24" s="113"/>
    </row>
    <row r="25" spans="2:28" ht="15.75" thickBot="1" x14ac:dyDescent="0.25">
      <c r="B25" s="116"/>
      <c r="C25" s="117" t="s">
        <v>85</v>
      </c>
      <c r="D25" s="38">
        <f t="shared" ca="1" si="30"/>
        <v>0</v>
      </c>
      <c r="E25" s="38">
        <f t="shared" ca="1" si="30"/>
        <v>0</v>
      </c>
      <c r="F25" s="38">
        <f t="shared" ca="1" si="30"/>
        <v>0</v>
      </c>
      <c r="G25" s="38">
        <f t="shared" ca="1" si="30"/>
        <v>0</v>
      </c>
      <c r="H25" s="38">
        <f t="shared" ca="1" si="30"/>
        <v>0</v>
      </c>
      <c r="I25" s="38">
        <f t="shared" ca="1" si="30"/>
        <v>0</v>
      </c>
      <c r="J25" s="38">
        <f t="shared" ca="1" si="30"/>
        <v>0</v>
      </c>
      <c r="K25" s="38">
        <f t="shared" ca="1" si="30"/>
        <v>0</v>
      </c>
      <c r="L25" s="38">
        <f t="shared" ca="1" si="30"/>
        <v>0</v>
      </c>
      <c r="M25" s="38">
        <f t="shared" ca="1" si="30"/>
        <v>0</v>
      </c>
      <c r="N25" s="38">
        <f t="shared" ca="1" si="31"/>
        <v>0</v>
      </c>
      <c r="O25" s="38">
        <f t="shared" ca="1" si="31"/>
        <v>0</v>
      </c>
      <c r="P25" s="38">
        <f t="shared" ca="1" si="31"/>
        <v>0</v>
      </c>
      <c r="Q25" s="38">
        <f t="shared" ca="1" si="31"/>
        <v>0</v>
      </c>
      <c r="R25" s="38">
        <f t="shared" ca="1" si="31"/>
        <v>0</v>
      </c>
      <c r="S25" s="38">
        <f t="shared" ca="1" si="31"/>
        <v>0</v>
      </c>
      <c r="T25" s="38">
        <f t="shared" ca="1" si="31"/>
        <v>0</v>
      </c>
      <c r="U25" s="38">
        <f t="shared" ca="1" si="31"/>
        <v>0</v>
      </c>
      <c r="V25" s="38">
        <f t="shared" ca="1" si="31"/>
        <v>0</v>
      </c>
      <c r="W25" s="38">
        <f t="shared" ca="1" si="31"/>
        <v>0</v>
      </c>
      <c r="X25" s="38">
        <f t="shared" ca="1" si="31"/>
        <v>0</v>
      </c>
      <c r="Y25" s="38">
        <f t="shared" ca="1" si="31"/>
        <v>0</v>
      </c>
      <c r="Z25" s="38">
        <f t="shared" ca="1" si="31"/>
        <v>0</v>
      </c>
      <c r="AA25" s="38">
        <f t="shared" ca="1" si="31"/>
        <v>0</v>
      </c>
      <c r="AB25" s="113"/>
    </row>
    <row r="26" spans="2:28" x14ac:dyDescent="0.2">
      <c r="B26" s="39"/>
      <c r="C26" s="40" t="s">
        <v>86</v>
      </c>
      <c r="D26" s="38">
        <f t="shared" ca="1" si="30"/>
        <v>0</v>
      </c>
      <c r="E26" s="38">
        <f t="shared" ca="1" si="30"/>
        <v>0</v>
      </c>
      <c r="F26" s="38">
        <f t="shared" ca="1" si="30"/>
        <v>0</v>
      </c>
      <c r="G26" s="38">
        <f t="shared" ca="1" si="30"/>
        <v>0</v>
      </c>
      <c r="H26" s="38">
        <f t="shared" ca="1" si="30"/>
        <v>0</v>
      </c>
      <c r="I26" s="38">
        <f t="shared" ca="1" si="30"/>
        <v>0</v>
      </c>
      <c r="J26" s="38">
        <f t="shared" ca="1" si="30"/>
        <v>0</v>
      </c>
      <c r="K26" s="38">
        <f t="shared" ca="1" si="30"/>
        <v>0</v>
      </c>
      <c r="L26" s="38">
        <f t="shared" ca="1" si="30"/>
        <v>0</v>
      </c>
      <c r="M26" s="38">
        <f t="shared" ca="1" si="30"/>
        <v>0</v>
      </c>
      <c r="N26" s="38">
        <f t="shared" ca="1" si="31"/>
        <v>0</v>
      </c>
      <c r="O26" s="38">
        <f t="shared" ca="1" si="31"/>
        <v>0</v>
      </c>
      <c r="P26" s="38">
        <f t="shared" ca="1" si="31"/>
        <v>0</v>
      </c>
      <c r="Q26" s="38">
        <f t="shared" ca="1" si="31"/>
        <v>0</v>
      </c>
      <c r="R26" s="38">
        <f t="shared" ca="1" si="31"/>
        <v>0</v>
      </c>
      <c r="S26" s="38">
        <f t="shared" ca="1" si="31"/>
        <v>0</v>
      </c>
      <c r="T26" s="38">
        <f t="shared" ca="1" si="31"/>
        <v>0</v>
      </c>
      <c r="U26" s="38">
        <f t="shared" ca="1" si="31"/>
        <v>0</v>
      </c>
      <c r="V26" s="38">
        <f t="shared" ca="1" si="31"/>
        <v>0</v>
      </c>
      <c r="W26" s="38">
        <f t="shared" ca="1" si="31"/>
        <v>0</v>
      </c>
      <c r="X26" s="38">
        <f t="shared" ca="1" si="31"/>
        <v>0</v>
      </c>
      <c r="Y26" s="38">
        <f t="shared" ca="1" si="31"/>
        <v>0</v>
      </c>
      <c r="Z26" s="38">
        <f t="shared" ca="1" si="31"/>
        <v>0</v>
      </c>
      <c r="AA26" s="38">
        <f t="shared" ca="1" si="31"/>
        <v>0</v>
      </c>
      <c r="AB26" s="113"/>
    </row>
    <row r="27" spans="2:28" x14ac:dyDescent="0.2">
      <c r="B27" s="105"/>
      <c r="C27" s="105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58"/>
    </row>
    <row r="28" spans="2:28" x14ac:dyDescent="0.2">
      <c r="B28" s="105"/>
      <c r="C28" s="105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58"/>
    </row>
    <row r="30" spans="2:28" x14ac:dyDescent="0.25">
      <c r="B30" s="118" t="s">
        <v>81</v>
      </c>
    </row>
    <row r="32" spans="2:28" x14ac:dyDescent="0.2">
      <c r="B32" s="114" t="s">
        <v>75</v>
      </c>
    </row>
    <row r="33" spans="2:2" x14ac:dyDescent="0.2">
      <c r="B33" s="114" t="s">
        <v>76</v>
      </c>
    </row>
    <row r="34" spans="2:2" x14ac:dyDescent="0.2">
      <c r="B34" s="114" t="s">
        <v>77</v>
      </c>
    </row>
    <row r="35" spans="2:2" x14ac:dyDescent="0.2">
      <c r="B35" s="114" t="s">
        <v>78</v>
      </c>
    </row>
  </sheetData>
  <mergeCells count="2">
    <mergeCell ref="B6:C7"/>
    <mergeCell ref="B20:C21"/>
  </mergeCells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H30"/>
  <sheetViews>
    <sheetView zoomScale="130" zoomScaleNormal="130" zoomScalePageLayoutView="130" workbookViewId="0">
      <selection activeCell="B3" sqref="B3"/>
    </sheetView>
  </sheetViews>
  <sheetFormatPr defaultColWidth="9.140625" defaultRowHeight="15" outlineLevelCol="1" x14ac:dyDescent="0.2"/>
  <cols>
    <col min="1" max="1" width="1.7109375" style="59" customWidth="1"/>
    <col min="2" max="2" width="30.28515625" style="60" bestFit="1" customWidth="1"/>
    <col min="3" max="3" width="9.28515625" style="60" customWidth="1"/>
    <col min="4" max="4" width="26.28515625" style="55" customWidth="1" outlineLevel="1"/>
    <col min="5" max="5" width="10.140625" style="55" customWidth="1" outlineLevel="1"/>
    <col min="6" max="9" width="9.28515625" style="55" customWidth="1" outlineLevel="1"/>
    <col min="10" max="10" width="10.42578125" style="55" customWidth="1" outlineLevel="1"/>
    <col min="11" max="11" width="9.28515625" style="55" customWidth="1" outlineLevel="1"/>
    <col min="12" max="12" width="10.28515625" style="55" customWidth="1" outlineLevel="1"/>
    <col min="13" max="14" width="9.28515625" style="55" customWidth="1" outlineLevel="1"/>
    <col min="15" max="15" width="10.140625" style="55" customWidth="1" outlineLevel="1"/>
    <col min="16" max="16" width="9.28515625" style="55" customWidth="1" outlineLevel="1"/>
    <col min="17" max="17" width="10.140625" style="55" customWidth="1" outlineLevel="1"/>
    <col min="18" max="20" width="9.28515625" style="55" customWidth="1" outlineLevel="1"/>
    <col min="21" max="21" width="9.28515625" style="61" customWidth="1" outlineLevel="1"/>
    <col min="22" max="22" width="10.42578125" style="62" customWidth="1" outlineLevel="1"/>
    <col min="23" max="23" width="9.28515625" style="62" customWidth="1" outlineLevel="1"/>
    <col min="24" max="24" width="10.28515625" style="62" customWidth="1" outlineLevel="1"/>
    <col min="25" max="26" width="9.28515625" style="62" customWidth="1" outlineLevel="1"/>
    <col min="27" max="27" width="10.140625" style="55" customWidth="1" outlineLevel="1"/>
    <col min="28" max="190" width="9.140625" style="55"/>
    <col min="191" max="16384" width="9.140625" style="64"/>
  </cols>
  <sheetData>
    <row r="1" spans="1:190" ht="10.35" customHeight="1" thickBot="1" x14ac:dyDescent="0.25"/>
    <row r="2" spans="1:190" ht="15" customHeight="1" x14ac:dyDescent="0.2">
      <c r="B2" s="8" t="s">
        <v>69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27" t="s">
        <v>52</v>
      </c>
      <c r="C3" s="6">
        <v>41639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5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6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56" customFormat="1" ht="12" customHeight="1" x14ac:dyDescent="0.2">
      <c r="A6" s="65"/>
      <c r="B6" s="139" t="s">
        <v>87</v>
      </c>
      <c r="C6" s="140"/>
      <c r="D6" s="21">
        <f ca="1">D7-IF(MONTH(D7)=2,IF(OR(YEAR(D7)=2008,YEAR(D7)=2012,YEAR(D7)=2016),29,28),IF(OR(MONTH(D7)=4,MONTH(D7)=6,MONTH(D7)=9,MONTH(D7)=11),30,31))+1</f>
        <v>40909</v>
      </c>
      <c r="E6" s="22">
        <f t="shared" ref="E6:AA6" ca="1" si="0">E7-IF(MONTH(E7)=2,IF(OR(YEAR(E7)=2008,YEAR(E7)=2012,YEAR(E7)=2016),29,28),IF(OR(MONTH(E7)=4,MONTH(E7)=6,MONTH(E7)=9,MONTH(E7)=11),30,31))+1</f>
        <v>40940</v>
      </c>
      <c r="F6" s="22">
        <f t="shared" ca="1" si="0"/>
        <v>40969</v>
      </c>
      <c r="G6" s="22">
        <f t="shared" ca="1" si="0"/>
        <v>41000</v>
      </c>
      <c r="H6" s="22">
        <f t="shared" ca="1" si="0"/>
        <v>41030</v>
      </c>
      <c r="I6" s="22">
        <f t="shared" ca="1" si="0"/>
        <v>41061</v>
      </c>
      <c r="J6" s="22">
        <f t="shared" ca="1" si="0"/>
        <v>41091</v>
      </c>
      <c r="K6" s="22">
        <f t="shared" ca="1" si="0"/>
        <v>41122</v>
      </c>
      <c r="L6" s="22">
        <f t="shared" ca="1" si="0"/>
        <v>41153</v>
      </c>
      <c r="M6" s="22">
        <f t="shared" ca="1" si="0"/>
        <v>41183</v>
      </c>
      <c r="N6" s="22">
        <f t="shared" ca="1" si="0"/>
        <v>41214</v>
      </c>
      <c r="O6" s="22">
        <f t="shared" ca="1" si="0"/>
        <v>41244</v>
      </c>
      <c r="P6" s="22">
        <f t="shared" ca="1" si="0"/>
        <v>41275</v>
      </c>
      <c r="Q6" s="22">
        <f t="shared" ca="1" si="0"/>
        <v>41306</v>
      </c>
      <c r="R6" s="22">
        <f t="shared" ca="1" si="0"/>
        <v>41334</v>
      </c>
      <c r="S6" s="22">
        <f t="shared" ca="1" si="0"/>
        <v>41365</v>
      </c>
      <c r="T6" s="22">
        <f t="shared" ca="1" si="0"/>
        <v>41395</v>
      </c>
      <c r="U6" s="22">
        <f t="shared" ca="1" si="0"/>
        <v>41426</v>
      </c>
      <c r="V6" s="22">
        <f t="shared" ca="1" si="0"/>
        <v>41456</v>
      </c>
      <c r="W6" s="22">
        <f t="shared" ca="1" si="0"/>
        <v>41487</v>
      </c>
      <c r="X6" s="22">
        <f t="shared" ca="1" si="0"/>
        <v>41518</v>
      </c>
      <c r="Y6" s="22">
        <f t="shared" ca="1" si="0"/>
        <v>41548</v>
      </c>
      <c r="Z6" s="22">
        <f t="shared" ca="1" si="0"/>
        <v>41579</v>
      </c>
      <c r="AA6" s="22">
        <f t="shared" ca="1" si="0"/>
        <v>41609</v>
      </c>
    </row>
    <row r="7" spans="1:190" s="56" customFormat="1" ht="12" customHeight="1" thickBot="1" x14ac:dyDescent="0.25">
      <c r="A7" s="65"/>
      <c r="B7" s="141"/>
      <c r="C7" s="142"/>
      <c r="D7" s="25">
        <f t="shared" ref="D7:Z7" ca="1" si="1">E6-1</f>
        <v>40939</v>
      </c>
      <c r="E7" s="26">
        <f t="shared" ca="1" si="1"/>
        <v>40968</v>
      </c>
      <c r="F7" s="26">
        <f t="shared" ca="1" si="1"/>
        <v>40999</v>
      </c>
      <c r="G7" s="26">
        <f t="shared" ca="1" si="1"/>
        <v>41029</v>
      </c>
      <c r="H7" s="26">
        <f t="shared" ca="1" si="1"/>
        <v>41060</v>
      </c>
      <c r="I7" s="26">
        <f t="shared" ca="1" si="1"/>
        <v>41090</v>
      </c>
      <c r="J7" s="26">
        <f t="shared" ca="1" si="1"/>
        <v>41121</v>
      </c>
      <c r="K7" s="26">
        <f t="shared" ca="1" si="1"/>
        <v>41152</v>
      </c>
      <c r="L7" s="26">
        <f t="shared" ca="1" si="1"/>
        <v>41182</v>
      </c>
      <c r="M7" s="26">
        <f t="shared" ca="1" si="1"/>
        <v>41213</v>
      </c>
      <c r="N7" s="26">
        <f t="shared" ca="1" si="1"/>
        <v>41243</v>
      </c>
      <c r="O7" s="26">
        <f t="shared" ca="1" si="1"/>
        <v>41274</v>
      </c>
      <c r="P7" s="26">
        <f t="shared" ca="1" si="1"/>
        <v>41305</v>
      </c>
      <c r="Q7" s="26">
        <f t="shared" ca="1" si="1"/>
        <v>41333</v>
      </c>
      <c r="R7" s="26">
        <f t="shared" ca="1" si="1"/>
        <v>41364</v>
      </c>
      <c r="S7" s="26">
        <f t="shared" ca="1" si="1"/>
        <v>41394</v>
      </c>
      <c r="T7" s="26">
        <f t="shared" ca="1" si="1"/>
        <v>41425</v>
      </c>
      <c r="U7" s="26">
        <f t="shared" ca="1" si="1"/>
        <v>41455</v>
      </c>
      <c r="V7" s="26">
        <f t="shared" ca="1" si="1"/>
        <v>41486</v>
      </c>
      <c r="W7" s="26">
        <f t="shared" ca="1" si="1"/>
        <v>41517</v>
      </c>
      <c r="X7" s="26">
        <f t="shared" ca="1" si="1"/>
        <v>41547</v>
      </c>
      <c r="Y7" s="26">
        <f t="shared" ca="1" si="1"/>
        <v>41578</v>
      </c>
      <c r="Z7" s="26">
        <f t="shared" ca="1" si="1"/>
        <v>41608</v>
      </c>
      <c r="AA7" s="26">
        <f ca="1">C3</f>
        <v>41639</v>
      </c>
    </row>
    <row r="8" spans="1:190" s="57" customFormat="1" ht="12" customHeight="1" thickBot="1" x14ac:dyDescent="0.25">
      <c r="A8" s="66"/>
      <c r="B8" s="28" t="s">
        <v>0</v>
      </c>
      <c r="C8" s="29" t="s">
        <v>88</v>
      </c>
      <c r="D8" s="30">
        <f t="shared" ref="D8:AA8" ca="1" si="2">D6</f>
        <v>40909</v>
      </c>
      <c r="E8" s="31">
        <f t="shared" ca="1" si="2"/>
        <v>40940</v>
      </c>
      <c r="F8" s="31">
        <f t="shared" ca="1" si="2"/>
        <v>40969</v>
      </c>
      <c r="G8" s="32">
        <f t="shared" ca="1" si="2"/>
        <v>41000</v>
      </c>
      <c r="H8" s="32">
        <f t="shared" ca="1" si="2"/>
        <v>41030</v>
      </c>
      <c r="I8" s="32">
        <f t="shared" ca="1" si="2"/>
        <v>41061</v>
      </c>
      <c r="J8" s="32">
        <f t="shared" ca="1" si="2"/>
        <v>41091</v>
      </c>
      <c r="K8" s="32">
        <f t="shared" ca="1" si="2"/>
        <v>41122</v>
      </c>
      <c r="L8" s="32">
        <f t="shared" ca="1" si="2"/>
        <v>41153</v>
      </c>
      <c r="M8" s="32">
        <f t="shared" ca="1" si="2"/>
        <v>41183</v>
      </c>
      <c r="N8" s="32">
        <f t="shared" ca="1" si="2"/>
        <v>41214</v>
      </c>
      <c r="O8" s="32">
        <f t="shared" ca="1" si="2"/>
        <v>41244</v>
      </c>
      <c r="P8" s="32">
        <f t="shared" ca="1" si="2"/>
        <v>41275</v>
      </c>
      <c r="Q8" s="32">
        <f t="shared" ca="1" si="2"/>
        <v>41306</v>
      </c>
      <c r="R8" s="32">
        <f t="shared" ca="1" si="2"/>
        <v>41334</v>
      </c>
      <c r="S8" s="32">
        <f t="shared" ca="1" si="2"/>
        <v>41365</v>
      </c>
      <c r="T8" s="32">
        <f t="shared" ca="1" si="2"/>
        <v>41395</v>
      </c>
      <c r="U8" s="32">
        <f t="shared" ca="1" si="2"/>
        <v>41426</v>
      </c>
      <c r="V8" s="32">
        <f t="shared" ca="1" si="2"/>
        <v>41456</v>
      </c>
      <c r="W8" s="32">
        <f t="shared" ca="1" si="2"/>
        <v>41487</v>
      </c>
      <c r="X8" s="32">
        <f t="shared" ca="1" si="2"/>
        <v>41518</v>
      </c>
      <c r="Y8" s="32">
        <f t="shared" ca="1" si="2"/>
        <v>41548</v>
      </c>
      <c r="Z8" s="32">
        <f t="shared" ca="1" si="2"/>
        <v>41579</v>
      </c>
      <c r="AA8" s="32">
        <f t="shared" ca="1" si="2"/>
        <v>41609</v>
      </c>
    </row>
    <row r="9" spans="1:190" ht="15" customHeight="1" thickBot="1" x14ac:dyDescent="0.25">
      <c r="B9" s="36" t="s">
        <v>103</v>
      </c>
      <c r="C9" s="37" t="s">
        <v>53</v>
      </c>
      <c r="D9" s="38">
        <f t="shared" ref="D9:M10" ca="1" si="3">AbraDepreciation(URL,Username,Password,$C9,D$6,D$7)/1000</f>
        <v>0</v>
      </c>
      <c r="E9" s="38">
        <f t="shared" ca="1" si="3"/>
        <v>0</v>
      </c>
      <c r="F9" s="38">
        <f t="shared" ca="1" si="3"/>
        <v>0</v>
      </c>
      <c r="G9" s="38">
        <f t="shared" ca="1" si="3"/>
        <v>0</v>
      </c>
      <c r="H9" s="38">
        <f t="shared" ca="1" si="3"/>
        <v>0</v>
      </c>
      <c r="I9" s="38">
        <f t="shared" ca="1" si="3"/>
        <v>0</v>
      </c>
      <c r="J9" s="38">
        <f t="shared" ca="1" si="3"/>
        <v>0</v>
      </c>
      <c r="K9" s="38">
        <f t="shared" ca="1" si="3"/>
        <v>0</v>
      </c>
      <c r="L9" s="38">
        <f t="shared" ca="1" si="3"/>
        <v>0</v>
      </c>
      <c r="M9" s="38">
        <f t="shared" ca="1" si="3"/>
        <v>0</v>
      </c>
      <c r="N9" s="38">
        <f t="shared" ref="N9:AA10" ca="1" si="4">AbraDepreciation(URL,Username,Password,$C9,N$6,N$7)/1000</f>
        <v>0</v>
      </c>
      <c r="O9" s="38">
        <f t="shared" ca="1" si="4"/>
        <v>0</v>
      </c>
      <c r="P9" s="38">
        <f t="shared" ca="1" si="4"/>
        <v>0</v>
      </c>
      <c r="Q9" s="38">
        <f t="shared" ca="1" si="4"/>
        <v>0</v>
      </c>
      <c r="R9" s="38">
        <f t="shared" ca="1" si="4"/>
        <v>0</v>
      </c>
      <c r="S9" s="38">
        <f t="shared" ca="1" si="4"/>
        <v>0</v>
      </c>
      <c r="T9" s="38">
        <f t="shared" ca="1" si="4"/>
        <v>0</v>
      </c>
      <c r="U9" s="38">
        <f t="shared" ca="1" si="4"/>
        <v>0</v>
      </c>
      <c r="V9" s="38">
        <f t="shared" ca="1" si="4"/>
        <v>0</v>
      </c>
      <c r="W9" s="38">
        <f t="shared" ca="1" si="4"/>
        <v>0</v>
      </c>
      <c r="X9" s="38">
        <f t="shared" ca="1" si="4"/>
        <v>0</v>
      </c>
      <c r="Y9" s="38">
        <f t="shared" ca="1" si="4"/>
        <v>0</v>
      </c>
      <c r="Z9" s="38">
        <f t="shared" ca="1" si="4"/>
        <v>0</v>
      </c>
      <c r="AA9" s="38">
        <f t="shared" ca="1" si="4"/>
        <v>0</v>
      </c>
      <c r="AB9" s="57"/>
      <c r="AC9" s="57"/>
    </row>
    <row r="10" spans="1:190" ht="15" customHeight="1" thickBot="1" x14ac:dyDescent="0.25">
      <c r="B10" s="39" t="s">
        <v>104</v>
      </c>
      <c r="C10" s="40" t="s">
        <v>83</v>
      </c>
      <c r="D10" s="38">
        <f t="shared" ca="1" si="3"/>
        <v>0</v>
      </c>
      <c r="E10" s="38">
        <f t="shared" ca="1" si="3"/>
        <v>0</v>
      </c>
      <c r="F10" s="38">
        <f t="shared" ca="1" si="3"/>
        <v>0</v>
      </c>
      <c r="G10" s="38">
        <f t="shared" ca="1" si="3"/>
        <v>0</v>
      </c>
      <c r="H10" s="38">
        <f t="shared" ca="1" si="3"/>
        <v>0</v>
      </c>
      <c r="I10" s="38">
        <f t="shared" ca="1" si="3"/>
        <v>0</v>
      </c>
      <c r="J10" s="38">
        <f t="shared" ca="1" si="3"/>
        <v>0</v>
      </c>
      <c r="K10" s="38">
        <f t="shared" ca="1" si="3"/>
        <v>0</v>
      </c>
      <c r="L10" s="38">
        <f t="shared" ca="1" si="3"/>
        <v>0</v>
      </c>
      <c r="M10" s="38">
        <f t="shared" ca="1" si="3"/>
        <v>0</v>
      </c>
      <c r="N10" s="38">
        <f t="shared" ca="1" si="4"/>
        <v>0</v>
      </c>
      <c r="O10" s="38">
        <f t="shared" ca="1" si="4"/>
        <v>0</v>
      </c>
      <c r="P10" s="38">
        <f t="shared" ca="1" si="4"/>
        <v>0</v>
      </c>
      <c r="Q10" s="38">
        <f t="shared" ca="1" si="4"/>
        <v>0</v>
      </c>
      <c r="R10" s="38">
        <f t="shared" ca="1" si="4"/>
        <v>0</v>
      </c>
      <c r="S10" s="38">
        <f t="shared" ca="1" si="4"/>
        <v>0</v>
      </c>
      <c r="T10" s="38">
        <f t="shared" ca="1" si="4"/>
        <v>0</v>
      </c>
      <c r="U10" s="38">
        <f t="shared" ca="1" si="4"/>
        <v>0</v>
      </c>
      <c r="V10" s="38">
        <f t="shared" ca="1" si="4"/>
        <v>0</v>
      </c>
      <c r="W10" s="38">
        <f t="shared" ca="1" si="4"/>
        <v>0</v>
      </c>
      <c r="X10" s="38">
        <f t="shared" ca="1" si="4"/>
        <v>0</v>
      </c>
      <c r="Y10" s="38">
        <f t="shared" ca="1" si="4"/>
        <v>0</v>
      </c>
      <c r="Z10" s="38">
        <f t="shared" ca="1" si="4"/>
        <v>0</v>
      </c>
      <c r="AA10" s="38">
        <f t="shared" ca="1" si="4"/>
        <v>0</v>
      </c>
    </row>
    <row r="11" spans="1:190" s="68" customFormat="1" ht="15" customHeight="1" thickBot="1" x14ac:dyDescent="0.25">
      <c r="A11" s="67"/>
      <c r="B11" s="133" t="s">
        <v>91</v>
      </c>
      <c r="C11" s="134"/>
      <c r="D11" s="17">
        <f ca="1">D9-D10</f>
        <v>0</v>
      </c>
      <c r="E11" s="17">
        <f t="shared" ref="E11:AA11" ca="1" si="5">E9-E10</f>
        <v>0</v>
      </c>
      <c r="F11" s="17">
        <f t="shared" ca="1" si="5"/>
        <v>0</v>
      </c>
      <c r="G11" s="17">
        <f t="shared" ca="1" si="5"/>
        <v>0</v>
      </c>
      <c r="H11" s="17">
        <f t="shared" ca="1" si="5"/>
        <v>0</v>
      </c>
      <c r="I11" s="17">
        <f t="shared" ca="1" si="5"/>
        <v>0</v>
      </c>
      <c r="J11" s="17">
        <f t="shared" ca="1" si="5"/>
        <v>0</v>
      </c>
      <c r="K11" s="17">
        <f t="shared" ca="1" si="5"/>
        <v>0</v>
      </c>
      <c r="L11" s="17">
        <f t="shared" ca="1" si="5"/>
        <v>0</v>
      </c>
      <c r="M11" s="17">
        <f t="shared" ca="1" si="5"/>
        <v>0</v>
      </c>
      <c r="N11" s="17">
        <f t="shared" ca="1" si="5"/>
        <v>0</v>
      </c>
      <c r="O11" s="17">
        <f t="shared" ca="1" si="5"/>
        <v>0</v>
      </c>
      <c r="P11" s="17">
        <f t="shared" ca="1" si="5"/>
        <v>0</v>
      </c>
      <c r="Q11" s="17">
        <f t="shared" ca="1" si="5"/>
        <v>0</v>
      </c>
      <c r="R11" s="17">
        <f t="shared" ca="1" si="5"/>
        <v>0</v>
      </c>
      <c r="S11" s="17">
        <f t="shared" ca="1" si="5"/>
        <v>0</v>
      </c>
      <c r="T11" s="17">
        <f t="shared" ca="1" si="5"/>
        <v>0</v>
      </c>
      <c r="U11" s="17">
        <f t="shared" ca="1" si="5"/>
        <v>0</v>
      </c>
      <c r="V11" s="17">
        <f t="shared" ca="1" si="5"/>
        <v>0</v>
      </c>
      <c r="W11" s="17">
        <f t="shared" ca="1" si="5"/>
        <v>0</v>
      </c>
      <c r="X11" s="17">
        <f t="shared" ca="1" si="5"/>
        <v>0</v>
      </c>
      <c r="Y11" s="17">
        <f t="shared" ca="1" si="5"/>
        <v>0</v>
      </c>
      <c r="Z11" s="17">
        <f t="shared" ca="1" si="5"/>
        <v>0</v>
      </c>
      <c r="AA11" s="17">
        <f t="shared" ca="1" si="5"/>
        <v>0</v>
      </c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8"/>
      <c r="CP11" s="58"/>
      <c r="CQ11" s="58"/>
      <c r="CR11" s="58"/>
      <c r="CS11" s="58"/>
      <c r="CT11" s="58"/>
      <c r="CU11" s="58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8"/>
      <c r="DT11" s="58"/>
      <c r="DU11" s="58"/>
      <c r="DV11" s="58"/>
      <c r="DW11" s="58"/>
      <c r="DX11" s="58"/>
      <c r="DY11" s="58"/>
      <c r="DZ11" s="58"/>
      <c r="EA11" s="58"/>
      <c r="EB11" s="58"/>
      <c r="EC11" s="58"/>
      <c r="ED11" s="58"/>
      <c r="EE11" s="58"/>
      <c r="EF11" s="58"/>
      <c r="EG11" s="58"/>
      <c r="EH11" s="58"/>
      <c r="EI11" s="58"/>
      <c r="EJ11" s="58"/>
      <c r="EK11" s="58"/>
      <c r="EL11" s="58"/>
      <c r="EM11" s="58"/>
      <c r="EN11" s="58"/>
      <c r="EO11" s="58"/>
      <c r="EP11" s="58"/>
      <c r="EQ11" s="58"/>
      <c r="ER11" s="58"/>
      <c r="ES11" s="58"/>
      <c r="ET11" s="58"/>
      <c r="EU11" s="58"/>
      <c r="EV11" s="58"/>
      <c r="EW11" s="58"/>
      <c r="EX11" s="58"/>
      <c r="EY11" s="58"/>
      <c r="EZ11" s="58"/>
      <c r="FA11" s="58"/>
      <c r="FB11" s="58"/>
      <c r="FC11" s="58"/>
      <c r="FD11" s="58"/>
      <c r="FE11" s="58"/>
      <c r="FF11" s="58"/>
      <c r="FG11" s="58"/>
      <c r="FH11" s="58"/>
      <c r="FI11" s="58"/>
      <c r="FJ11" s="58"/>
      <c r="FK11" s="58"/>
      <c r="FL11" s="58"/>
      <c r="FM11" s="58"/>
      <c r="FN11" s="58"/>
      <c r="FO11" s="58"/>
      <c r="FP11" s="58"/>
      <c r="FQ11" s="58"/>
      <c r="FR11" s="58"/>
      <c r="FS11" s="58"/>
      <c r="FT11" s="58"/>
      <c r="FU11" s="58"/>
      <c r="FV11" s="58"/>
      <c r="FW11" s="58"/>
      <c r="FX11" s="58"/>
      <c r="FY11" s="58"/>
      <c r="FZ11" s="58"/>
      <c r="GA11" s="58"/>
      <c r="GB11" s="58"/>
      <c r="GC11" s="58"/>
      <c r="GD11" s="58"/>
      <c r="GE11" s="58"/>
      <c r="GF11" s="58"/>
      <c r="GG11" s="58"/>
      <c r="GH11" s="58"/>
    </row>
    <row r="12" spans="1:190" s="68" customFormat="1" ht="15" customHeight="1" x14ac:dyDescent="0.2">
      <c r="A12" s="67"/>
      <c r="B12" s="105"/>
      <c r="C12" s="105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6"/>
      <c r="Z12" s="106"/>
      <c r="AA12" s="106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8"/>
      <c r="CP12" s="58"/>
      <c r="CQ12" s="58"/>
      <c r="CR12" s="58"/>
      <c r="CS12" s="58"/>
      <c r="CT12" s="58"/>
      <c r="CU12" s="58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8"/>
      <c r="DT12" s="58"/>
      <c r="DU12" s="58"/>
      <c r="DV12" s="58"/>
      <c r="DW12" s="58"/>
      <c r="DX12" s="58"/>
      <c r="DY12" s="58"/>
      <c r="DZ12" s="58"/>
      <c r="EA12" s="58"/>
      <c r="EB12" s="58"/>
      <c r="EC12" s="58"/>
      <c r="ED12" s="58"/>
      <c r="EE12" s="58"/>
      <c r="EF12" s="58"/>
      <c r="EG12" s="58"/>
      <c r="EH12" s="58"/>
      <c r="EI12" s="58"/>
      <c r="EJ12" s="58"/>
      <c r="EK12" s="58"/>
      <c r="EL12" s="58"/>
      <c r="EM12" s="58"/>
      <c r="EN12" s="58"/>
      <c r="EO12" s="58"/>
      <c r="EP12" s="58"/>
      <c r="EQ12" s="58"/>
      <c r="ER12" s="58"/>
      <c r="ES12" s="58"/>
      <c r="ET12" s="58"/>
      <c r="EU12" s="58"/>
      <c r="EV12" s="58"/>
      <c r="EW12" s="58"/>
      <c r="EX12" s="58"/>
      <c r="EY12" s="58"/>
      <c r="EZ12" s="58"/>
      <c r="FA12" s="58"/>
      <c r="FB12" s="58"/>
      <c r="FC12" s="58"/>
      <c r="FD12" s="58"/>
      <c r="FE12" s="58"/>
      <c r="FF12" s="58"/>
      <c r="FG12" s="58"/>
      <c r="FH12" s="58"/>
      <c r="FI12" s="58"/>
      <c r="FJ12" s="58"/>
      <c r="FK12" s="58"/>
      <c r="FL12" s="58"/>
      <c r="FM12" s="58"/>
      <c r="FN12" s="58"/>
      <c r="FO12" s="58"/>
      <c r="FP12" s="58"/>
      <c r="FQ12" s="58"/>
      <c r="FR12" s="58"/>
      <c r="FS12" s="58"/>
      <c r="FT12" s="58"/>
      <c r="FU12" s="58"/>
      <c r="FV12" s="58"/>
      <c r="FW12" s="58"/>
      <c r="FX12" s="58"/>
      <c r="FY12" s="58"/>
      <c r="FZ12" s="58"/>
      <c r="GA12" s="58"/>
      <c r="GB12" s="58"/>
      <c r="GC12" s="58"/>
      <c r="GD12" s="58"/>
      <c r="GE12" s="58"/>
      <c r="GF12" s="58"/>
      <c r="GG12" s="58"/>
      <c r="GH12" s="58"/>
    </row>
    <row r="14" spans="1:190" ht="15.75" thickBot="1" x14ac:dyDescent="0.25">
      <c r="B14" s="100" t="s">
        <v>100</v>
      </c>
      <c r="C14" s="100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2"/>
      <c r="V14" s="103"/>
      <c r="W14" s="103"/>
      <c r="X14" s="103"/>
      <c r="Y14" s="103"/>
      <c r="Z14" s="103"/>
      <c r="AA14" s="101"/>
    </row>
    <row r="15" spans="1:190" x14ac:dyDescent="0.2">
      <c r="B15" s="104" t="s">
        <v>105</v>
      </c>
      <c r="C15" s="107" t="s">
        <v>96</v>
      </c>
      <c r="D15" s="111">
        <f t="shared" ref="D15:M18" ca="1" si="6">AbraAsset(URL,Username,Password,$C15,D$7)/1000</f>
        <v>110036.72834</v>
      </c>
      <c r="E15" s="111">
        <f t="shared" ca="1" si="6"/>
        <v>110267.76192</v>
      </c>
      <c r="F15" s="111">
        <f t="shared" ca="1" si="6"/>
        <v>111037.93207</v>
      </c>
      <c r="G15" s="111">
        <f t="shared" ca="1" si="6"/>
        <v>112565.13773999999</v>
      </c>
      <c r="H15" s="111">
        <f t="shared" ca="1" si="6"/>
        <v>115914.44904000001</v>
      </c>
      <c r="I15" s="111">
        <f t="shared" ca="1" si="6"/>
        <v>115870.74801000001</v>
      </c>
      <c r="J15" s="111">
        <f t="shared" ca="1" si="6"/>
        <v>118199.27283</v>
      </c>
      <c r="K15" s="111">
        <f t="shared" ca="1" si="6"/>
        <v>118235.49479000001</v>
      </c>
      <c r="L15" s="111">
        <f t="shared" ca="1" si="6"/>
        <v>118234.49479000001</v>
      </c>
      <c r="M15" s="111">
        <f t="shared" ca="1" si="6"/>
        <v>118857.99479000001</v>
      </c>
      <c r="N15" s="111">
        <f t="shared" ref="N15:AA18" ca="1" si="7">AbraAsset(URL,Username,Password,$C15,N$7)/1000</f>
        <v>118806.23179000001</v>
      </c>
      <c r="O15" s="111">
        <f t="shared" ca="1" si="7"/>
        <v>120376.65151000001</v>
      </c>
      <c r="P15" s="111">
        <f t="shared" ca="1" si="7"/>
        <v>120623.3039</v>
      </c>
      <c r="Q15" s="111">
        <f t="shared" ca="1" si="7"/>
        <v>121203.65261</v>
      </c>
      <c r="R15" s="111">
        <f t="shared" ca="1" si="7"/>
        <v>123088.44384000001</v>
      </c>
      <c r="S15" s="111">
        <f t="shared" ca="1" si="7"/>
        <v>123581.96347</v>
      </c>
      <c r="T15" s="111">
        <f t="shared" ca="1" si="7"/>
        <v>123851.28903</v>
      </c>
      <c r="U15" s="111">
        <f t="shared" ca="1" si="7"/>
        <v>123448.62432999999</v>
      </c>
      <c r="V15" s="111">
        <f t="shared" ca="1" si="7"/>
        <v>125223.72159999999</v>
      </c>
      <c r="W15" s="111">
        <f t="shared" ca="1" si="7"/>
        <v>125223.72159999999</v>
      </c>
      <c r="X15" s="111">
        <f t="shared" ca="1" si="7"/>
        <v>127442.23620999999</v>
      </c>
      <c r="Y15" s="111">
        <f t="shared" ca="1" si="7"/>
        <v>127633.26986</v>
      </c>
      <c r="Z15" s="111">
        <f t="shared" ca="1" si="7"/>
        <v>129774.61077</v>
      </c>
      <c r="AA15" s="111">
        <f t="shared" ca="1" si="7"/>
        <v>130204.63373</v>
      </c>
      <c r="AB15" s="109"/>
    </row>
    <row r="16" spans="1:190" x14ac:dyDescent="0.2">
      <c r="B16" s="116" t="s">
        <v>106</v>
      </c>
      <c r="C16" s="119" t="s">
        <v>97</v>
      </c>
      <c r="D16" s="111">
        <f t="shared" ca="1" si="6"/>
        <v>110036.72834</v>
      </c>
      <c r="E16" s="111">
        <f t="shared" ca="1" si="6"/>
        <v>110267.76192</v>
      </c>
      <c r="F16" s="111">
        <f t="shared" ca="1" si="6"/>
        <v>111037.93207</v>
      </c>
      <c r="G16" s="111">
        <f t="shared" ca="1" si="6"/>
        <v>112565.13773999999</v>
      </c>
      <c r="H16" s="111">
        <f t="shared" ca="1" si="6"/>
        <v>115914.44904000001</v>
      </c>
      <c r="I16" s="111">
        <f t="shared" ca="1" si="6"/>
        <v>115870.74801000001</v>
      </c>
      <c r="J16" s="111">
        <f t="shared" ca="1" si="6"/>
        <v>118199.27283</v>
      </c>
      <c r="K16" s="111">
        <f t="shared" ca="1" si="6"/>
        <v>118235.49479000001</v>
      </c>
      <c r="L16" s="111">
        <f t="shared" ca="1" si="6"/>
        <v>118234.49479000001</v>
      </c>
      <c r="M16" s="111">
        <f t="shared" ca="1" si="6"/>
        <v>118857.99479000001</v>
      </c>
      <c r="N16" s="111">
        <f t="shared" ca="1" si="7"/>
        <v>118806.23179000001</v>
      </c>
      <c r="O16" s="111">
        <f t="shared" ca="1" si="7"/>
        <v>120376.65151000001</v>
      </c>
      <c r="P16" s="111">
        <f t="shared" ca="1" si="7"/>
        <v>120798.34839</v>
      </c>
      <c r="Q16" s="111">
        <f t="shared" ca="1" si="7"/>
        <v>121431.74464</v>
      </c>
      <c r="R16" s="111">
        <f t="shared" ca="1" si="7"/>
        <v>123314.77128</v>
      </c>
      <c r="S16" s="111">
        <f t="shared" ca="1" si="7"/>
        <v>123826.05399</v>
      </c>
      <c r="T16" s="111">
        <f t="shared" ca="1" si="7"/>
        <v>124139.85782999999</v>
      </c>
      <c r="U16" s="111">
        <f t="shared" ca="1" si="7"/>
        <v>123661.69248</v>
      </c>
      <c r="V16" s="111">
        <f t="shared" ca="1" si="7"/>
        <v>125223.72159999999</v>
      </c>
      <c r="W16" s="111">
        <f t="shared" ca="1" si="7"/>
        <v>125396.34599</v>
      </c>
      <c r="X16" s="111">
        <f t="shared" ca="1" si="7"/>
        <v>127913.26986</v>
      </c>
      <c r="Y16" s="111">
        <f t="shared" ca="1" si="7"/>
        <v>128102.18437</v>
      </c>
      <c r="Z16" s="111">
        <f t="shared" ca="1" si="7"/>
        <v>130204.63373</v>
      </c>
      <c r="AA16" s="111">
        <f t="shared" ca="1" si="7"/>
        <v>130719.75340999999</v>
      </c>
      <c r="AB16" s="109"/>
    </row>
    <row r="17" spans="2:28" x14ac:dyDescent="0.2">
      <c r="B17" s="116" t="s">
        <v>107</v>
      </c>
      <c r="C17" s="119" t="s">
        <v>98</v>
      </c>
      <c r="D17" s="111">
        <f t="shared" ca="1" si="6"/>
        <v>9760.2190200000005</v>
      </c>
      <c r="E17" s="111">
        <f t="shared" ca="1" si="6"/>
        <v>9429.0285999999996</v>
      </c>
      <c r="F17" s="111">
        <f t="shared" ca="1" si="6"/>
        <v>9580.8067499999997</v>
      </c>
      <c r="G17" s="111">
        <f t="shared" ca="1" si="6"/>
        <v>10384.18442</v>
      </c>
      <c r="H17" s="111">
        <f t="shared" ca="1" si="6"/>
        <v>12857.898720000001</v>
      </c>
      <c r="I17" s="111">
        <f t="shared" ca="1" si="6"/>
        <v>11997.00316</v>
      </c>
      <c r="J17" s="111">
        <f t="shared" ca="1" si="6"/>
        <v>13200.016149999999</v>
      </c>
      <c r="K17" s="111">
        <f t="shared" ca="1" si="6"/>
        <v>12690.71911</v>
      </c>
      <c r="L17" s="111">
        <f t="shared" ca="1" si="6"/>
        <v>12144.61011</v>
      </c>
      <c r="M17" s="111">
        <f t="shared" ca="1" si="6"/>
        <v>12187.36311</v>
      </c>
      <c r="N17" s="111">
        <f t="shared" ca="1" si="7"/>
        <v>11609.24511</v>
      </c>
      <c r="O17" s="111">
        <f t="shared" ca="1" si="7"/>
        <v>12548.151830000001</v>
      </c>
      <c r="P17" s="111">
        <f t="shared" ca="1" si="7"/>
        <v>12166.45865</v>
      </c>
      <c r="Q17" s="111">
        <f t="shared" ca="1" si="7"/>
        <v>12024.69636</v>
      </c>
      <c r="R17" s="111">
        <f t="shared" ca="1" si="7"/>
        <v>13081.918589999999</v>
      </c>
      <c r="S17" s="111">
        <f t="shared" ca="1" si="7"/>
        <v>13100.349119999999</v>
      </c>
      <c r="T17" s="111">
        <f t="shared" ca="1" si="7"/>
        <v>12605.759480000001</v>
      </c>
      <c r="U17" s="111">
        <f t="shared" ca="1" si="7"/>
        <v>12075.81228</v>
      </c>
      <c r="V17" s="111">
        <f t="shared" ca="1" si="7"/>
        <v>13292.910550000001</v>
      </c>
      <c r="W17" s="111">
        <f t="shared" ca="1" si="7"/>
        <v>12732.69355</v>
      </c>
      <c r="X17" s="111">
        <f t="shared" ca="1" si="7"/>
        <v>14378.54616</v>
      </c>
      <c r="Y17" s="111">
        <f t="shared" ca="1" si="7"/>
        <v>14120.22681</v>
      </c>
      <c r="Z17" s="111">
        <f t="shared" ca="1" si="7"/>
        <v>15481.05572</v>
      </c>
      <c r="AA17" s="111">
        <f t="shared" ca="1" si="7"/>
        <v>15115.025679999999</v>
      </c>
      <c r="AB17" s="109"/>
    </row>
    <row r="18" spans="2:28" ht="15.75" thickBot="1" x14ac:dyDescent="0.25">
      <c r="B18" s="39" t="s">
        <v>108</v>
      </c>
      <c r="C18" s="108" t="s">
        <v>99</v>
      </c>
      <c r="D18" s="111">
        <f t="shared" ca="1" si="6"/>
        <v>9700.9635199999993</v>
      </c>
      <c r="E18" s="111">
        <f t="shared" ca="1" si="6"/>
        <v>9381.5131000000001</v>
      </c>
      <c r="F18" s="111">
        <f t="shared" ca="1" si="6"/>
        <v>9545.03125</v>
      </c>
      <c r="G18" s="111">
        <f t="shared" ca="1" si="6"/>
        <v>10360.14892</v>
      </c>
      <c r="H18" s="111">
        <f t="shared" ca="1" si="6"/>
        <v>12845.602220000001</v>
      </c>
      <c r="I18" s="111">
        <f t="shared" ca="1" si="6"/>
        <v>11995.971160000001</v>
      </c>
      <c r="J18" s="111">
        <f t="shared" ca="1" si="6"/>
        <v>13199.05515</v>
      </c>
      <c r="K18" s="111">
        <f t="shared" ca="1" si="6"/>
        <v>12684.920109999999</v>
      </c>
      <c r="L18" s="111">
        <f t="shared" ca="1" si="6"/>
        <v>12133.973109999999</v>
      </c>
      <c r="M18" s="111">
        <f t="shared" ca="1" si="6"/>
        <v>12171.88811</v>
      </c>
      <c r="N18" s="111">
        <f t="shared" ca="1" si="7"/>
        <v>11588.93211</v>
      </c>
      <c r="O18" s="111">
        <f t="shared" ca="1" si="7"/>
        <v>12523.000830000001</v>
      </c>
      <c r="P18" s="111">
        <f t="shared" ca="1" si="7"/>
        <v>12317.48618</v>
      </c>
      <c r="Q18" s="111">
        <f t="shared" ca="1" si="7"/>
        <v>12230.309429999999</v>
      </c>
      <c r="R18" s="111">
        <f t="shared" ca="1" si="7"/>
        <v>13284.25707</v>
      </c>
      <c r="S18" s="111">
        <f t="shared" ca="1" si="7"/>
        <v>13324.21168</v>
      </c>
      <c r="T18" s="111">
        <f t="shared" ca="1" si="7"/>
        <v>12877.86132</v>
      </c>
      <c r="U18" s="111">
        <f t="shared" ca="1" si="7"/>
        <v>12276.17447</v>
      </c>
      <c r="V18" s="111">
        <f t="shared" ca="1" si="7"/>
        <v>13273.210590000001</v>
      </c>
      <c r="W18" s="111">
        <f t="shared" ca="1" si="7"/>
        <v>12883.020980000001</v>
      </c>
      <c r="X18" s="111">
        <f t="shared" ca="1" si="7"/>
        <v>14829.31885</v>
      </c>
      <c r="Y18" s="111">
        <f t="shared" ca="1" si="7"/>
        <v>14570.916359999999</v>
      </c>
      <c r="Z18" s="111">
        <f t="shared" ca="1" si="7"/>
        <v>15894.889720000001</v>
      </c>
      <c r="AA18" s="111">
        <f t="shared" ca="1" si="7"/>
        <v>15615.992400000001</v>
      </c>
      <c r="AB18" s="109"/>
    </row>
    <row r="19" spans="2:28" ht="15.75" thickBot="1" x14ac:dyDescent="0.25">
      <c r="B19" s="133"/>
      <c r="C19" s="134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</row>
    <row r="22" spans="2:28" x14ac:dyDescent="0.2">
      <c r="B22" s="120" t="s">
        <v>101</v>
      </c>
    </row>
    <row r="23" spans="2:28" x14ac:dyDescent="0.2">
      <c r="B23" s="112" t="s">
        <v>89</v>
      </c>
    </row>
    <row r="24" spans="2:28" x14ac:dyDescent="0.2">
      <c r="B24" s="112" t="s">
        <v>90</v>
      </c>
    </row>
    <row r="26" spans="2:28" x14ac:dyDescent="0.2">
      <c r="B26" s="120" t="s">
        <v>102</v>
      </c>
    </row>
    <row r="27" spans="2:28" x14ac:dyDescent="0.2">
      <c r="B27" s="112" t="s">
        <v>92</v>
      </c>
    </row>
    <row r="28" spans="2:28" x14ac:dyDescent="0.2">
      <c r="B28" s="112" t="s">
        <v>93</v>
      </c>
    </row>
    <row r="29" spans="2:28" x14ac:dyDescent="0.2">
      <c r="B29" s="112" t="s">
        <v>94</v>
      </c>
    </row>
    <row r="30" spans="2:28" x14ac:dyDescent="0.2">
      <c r="B30" s="112" t="s">
        <v>95</v>
      </c>
    </row>
  </sheetData>
  <mergeCells count="3">
    <mergeCell ref="B6:C7"/>
    <mergeCell ref="B11:C11"/>
    <mergeCell ref="B19:C19"/>
  </mergeCells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H22"/>
  <sheetViews>
    <sheetView tabSelected="1" zoomScale="115" zoomScaleNormal="115" zoomScalePageLayoutView="115" workbookViewId="0">
      <selection activeCell="J12" sqref="J12"/>
    </sheetView>
  </sheetViews>
  <sheetFormatPr defaultColWidth="9.140625" defaultRowHeight="15" outlineLevelCol="1" x14ac:dyDescent="0.2"/>
  <cols>
    <col min="1" max="1" width="1.7109375" style="59" customWidth="1"/>
    <col min="2" max="2" width="30.28515625" style="60" bestFit="1" customWidth="1"/>
    <col min="3" max="3" width="9.28515625" style="60" customWidth="1"/>
    <col min="4" max="4" width="9.28515625" style="55" customWidth="1" outlineLevel="1"/>
    <col min="5" max="5" width="10.140625" style="55" customWidth="1" outlineLevel="1"/>
    <col min="6" max="9" width="9.28515625" style="55" customWidth="1" outlineLevel="1"/>
    <col min="10" max="10" width="10.42578125" style="55" customWidth="1" outlineLevel="1"/>
    <col min="11" max="11" width="9.28515625" style="55" customWidth="1" outlineLevel="1"/>
    <col min="12" max="12" width="10.28515625" style="55" customWidth="1" outlineLevel="1"/>
    <col min="13" max="14" width="9.28515625" style="55" customWidth="1" outlineLevel="1"/>
    <col min="15" max="15" width="10.140625" style="55" customWidth="1" outlineLevel="1"/>
    <col min="16" max="16" width="9.28515625" style="55" customWidth="1" outlineLevel="1"/>
    <col min="17" max="17" width="10.140625" style="55" customWidth="1" outlineLevel="1"/>
    <col min="18" max="20" width="9.28515625" style="55" customWidth="1" outlineLevel="1"/>
    <col min="21" max="21" width="9.28515625" style="61" customWidth="1" outlineLevel="1"/>
    <col min="22" max="22" width="10.42578125" style="62" customWidth="1" outlineLevel="1"/>
    <col min="23" max="23" width="9.28515625" style="62" customWidth="1" outlineLevel="1"/>
    <col min="24" max="24" width="10.28515625" style="62" customWidth="1" outlineLevel="1"/>
    <col min="25" max="26" width="9.28515625" style="62" customWidth="1" outlineLevel="1"/>
    <col min="27" max="27" width="10.140625" style="55" customWidth="1" outlineLevel="1"/>
    <col min="28" max="190" width="9.140625" style="55"/>
    <col min="191" max="16384" width="9.140625" style="64"/>
  </cols>
  <sheetData>
    <row r="1" spans="1:190" ht="10.35" customHeight="1" thickBot="1" x14ac:dyDescent="0.25"/>
    <row r="2" spans="1:190" ht="15" customHeight="1" x14ac:dyDescent="0.2">
      <c r="B2" s="8" t="s">
        <v>68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27" t="s">
        <v>52</v>
      </c>
      <c r="C3" s="6">
        <v>43830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5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6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56" customFormat="1" ht="12" customHeight="1" x14ac:dyDescent="0.2">
      <c r="A6" s="65"/>
      <c r="B6" s="139"/>
      <c r="C6" s="140"/>
      <c r="D6" s="21">
        <f ca="1">D7-IF(MONTH(D7)=2,IF(OR(YEAR(D7)=2008,YEAR(D7)=2012,YEAR(D7)=2016),29,28),IF(OR(MONTH(D7)=4,MONTH(D7)=6,MONTH(D7)=9,MONTH(D7)=11),30,31))+1</f>
        <v>43101</v>
      </c>
      <c r="E6" s="22">
        <f t="shared" ref="E6:AA6" ca="1" si="0">E7-IF(MONTH(E7)=2,IF(OR(YEAR(E7)=2008,YEAR(E7)=2012,YEAR(E7)=2016),29,28),IF(OR(MONTH(E7)=4,MONTH(E7)=6,MONTH(E7)=9,MONTH(E7)=11),30,31))+1</f>
        <v>43132</v>
      </c>
      <c r="F6" s="22">
        <f t="shared" ca="1" si="0"/>
        <v>43160</v>
      </c>
      <c r="G6" s="22">
        <f t="shared" ca="1" si="0"/>
        <v>43191</v>
      </c>
      <c r="H6" s="22">
        <f t="shared" ca="1" si="0"/>
        <v>43221</v>
      </c>
      <c r="I6" s="22">
        <f t="shared" ca="1" si="0"/>
        <v>43252</v>
      </c>
      <c r="J6" s="22">
        <f t="shared" ca="1" si="0"/>
        <v>43282</v>
      </c>
      <c r="K6" s="22">
        <f t="shared" ca="1" si="0"/>
        <v>43313</v>
      </c>
      <c r="L6" s="22">
        <f t="shared" ca="1" si="0"/>
        <v>43344</v>
      </c>
      <c r="M6" s="22">
        <f t="shared" ca="1" si="0"/>
        <v>43374</v>
      </c>
      <c r="N6" s="22">
        <f t="shared" ca="1" si="0"/>
        <v>43405</v>
      </c>
      <c r="O6" s="22">
        <f t="shared" ca="1" si="0"/>
        <v>43435</v>
      </c>
      <c r="P6" s="22">
        <f t="shared" ca="1" si="0"/>
        <v>43466</v>
      </c>
      <c r="Q6" s="22">
        <f t="shared" ca="1" si="0"/>
        <v>43497</v>
      </c>
      <c r="R6" s="22">
        <f t="shared" ca="1" si="0"/>
        <v>43525</v>
      </c>
      <c r="S6" s="22">
        <f t="shared" ca="1" si="0"/>
        <v>43556</v>
      </c>
      <c r="T6" s="22">
        <f t="shared" ca="1" si="0"/>
        <v>43586</v>
      </c>
      <c r="U6" s="22">
        <f t="shared" ca="1" si="0"/>
        <v>43617</v>
      </c>
      <c r="V6" s="22">
        <f t="shared" ca="1" si="0"/>
        <v>43647</v>
      </c>
      <c r="W6" s="22">
        <f t="shared" ca="1" si="0"/>
        <v>43678</v>
      </c>
      <c r="X6" s="22">
        <f t="shared" ca="1" si="0"/>
        <v>43709</v>
      </c>
      <c r="Y6" s="22">
        <f t="shared" ca="1" si="0"/>
        <v>43739</v>
      </c>
      <c r="Z6" s="22">
        <f t="shared" ca="1" si="0"/>
        <v>43770</v>
      </c>
      <c r="AA6" s="22">
        <f t="shared" ca="1" si="0"/>
        <v>43800</v>
      </c>
    </row>
    <row r="7" spans="1:190" s="56" customFormat="1" ht="12" customHeight="1" thickBot="1" x14ac:dyDescent="0.25">
      <c r="A7" s="65"/>
      <c r="B7" s="141"/>
      <c r="C7" s="142"/>
      <c r="D7" s="25">
        <f t="shared" ref="D7:Z7" ca="1" si="1">E6-1</f>
        <v>43131</v>
      </c>
      <c r="E7" s="26">
        <f t="shared" ca="1" si="1"/>
        <v>43159</v>
      </c>
      <c r="F7" s="26">
        <f t="shared" ca="1" si="1"/>
        <v>43190</v>
      </c>
      <c r="G7" s="26">
        <f t="shared" ca="1" si="1"/>
        <v>43220</v>
      </c>
      <c r="H7" s="26">
        <f t="shared" ca="1" si="1"/>
        <v>43251</v>
      </c>
      <c r="I7" s="26">
        <f t="shared" ca="1" si="1"/>
        <v>43281</v>
      </c>
      <c r="J7" s="26">
        <f t="shared" ca="1" si="1"/>
        <v>43312</v>
      </c>
      <c r="K7" s="26">
        <f t="shared" ca="1" si="1"/>
        <v>43343</v>
      </c>
      <c r="L7" s="26">
        <f t="shared" ca="1" si="1"/>
        <v>43373</v>
      </c>
      <c r="M7" s="26">
        <f t="shared" ca="1" si="1"/>
        <v>43404</v>
      </c>
      <c r="N7" s="26">
        <f t="shared" ca="1" si="1"/>
        <v>43434</v>
      </c>
      <c r="O7" s="26">
        <f t="shared" ca="1" si="1"/>
        <v>43465</v>
      </c>
      <c r="P7" s="26">
        <f t="shared" ca="1" si="1"/>
        <v>43496</v>
      </c>
      <c r="Q7" s="26">
        <f t="shared" ca="1" si="1"/>
        <v>43524</v>
      </c>
      <c r="R7" s="26">
        <f t="shared" ca="1" si="1"/>
        <v>43555</v>
      </c>
      <c r="S7" s="26">
        <f t="shared" ca="1" si="1"/>
        <v>43585</v>
      </c>
      <c r="T7" s="26">
        <f t="shared" ca="1" si="1"/>
        <v>43616</v>
      </c>
      <c r="U7" s="26">
        <f t="shared" ca="1" si="1"/>
        <v>43646</v>
      </c>
      <c r="V7" s="26">
        <f t="shared" ca="1" si="1"/>
        <v>43677</v>
      </c>
      <c r="W7" s="26">
        <f t="shared" ca="1" si="1"/>
        <v>43708</v>
      </c>
      <c r="X7" s="26">
        <f t="shared" ca="1" si="1"/>
        <v>43738</v>
      </c>
      <c r="Y7" s="26">
        <f t="shared" ca="1" si="1"/>
        <v>43769</v>
      </c>
      <c r="Z7" s="26">
        <f t="shared" ca="1" si="1"/>
        <v>43799</v>
      </c>
      <c r="AA7" s="26">
        <f ca="1">C3</f>
        <v>43830</v>
      </c>
    </row>
    <row r="8" spans="1:190" s="57" customFormat="1" ht="12" customHeight="1" thickBot="1" x14ac:dyDescent="0.25">
      <c r="A8" s="66"/>
      <c r="B8" s="28" t="s">
        <v>70</v>
      </c>
      <c r="C8" s="29" t="s">
        <v>114</v>
      </c>
      <c r="D8" s="124">
        <f t="shared" ref="D8:AA8" ca="1" si="2">D6</f>
        <v>43101</v>
      </c>
      <c r="E8" s="124">
        <f t="shared" ca="1" si="2"/>
        <v>43132</v>
      </c>
      <c r="F8" s="124">
        <f t="shared" ca="1" si="2"/>
        <v>43160</v>
      </c>
      <c r="G8" s="124">
        <f t="shared" ca="1" si="2"/>
        <v>43191</v>
      </c>
      <c r="H8" s="124">
        <f t="shared" ca="1" si="2"/>
        <v>43221</v>
      </c>
      <c r="I8" s="124">
        <f t="shared" ca="1" si="2"/>
        <v>43252</v>
      </c>
      <c r="J8" s="124">
        <f t="shared" ca="1" si="2"/>
        <v>43282</v>
      </c>
      <c r="K8" s="124">
        <f t="shared" ca="1" si="2"/>
        <v>43313</v>
      </c>
      <c r="L8" s="124">
        <f t="shared" ca="1" si="2"/>
        <v>43344</v>
      </c>
      <c r="M8" s="124">
        <f t="shared" ca="1" si="2"/>
        <v>43374</v>
      </c>
      <c r="N8" s="124">
        <f ca="1">N6</f>
        <v>43405</v>
      </c>
      <c r="O8" s="124">
        <f ca="1">O6</f>
        <v>43435</v>
      </c>
      <c r="P8" s="124">
        <f ca="1">P6</f>
        <v>43466</v>
      </c>
      <c r="Q8" s="124">
        <f t="shared" ca="1" si="2"/>
        <v>43497</v>
      </c>
      <c r="R8" s="124">
        <f t="shared" ca="1" si="2"/>
        <v>43525</v>
      </c>
      <c r="S8" s="124">
        <f t="shared" ca="1" si="2"/>
        <v>43556</v>
      </c>
      <c r="T8" s="124">
        <f t="shared" ca="1" si="2"/>
        <v>43586</v>
      </c>
      <c r="U8" s="124">
        <f t="shared" ca="1" si="2"/>
        <v>43617</v>
      </c>
      <c r="V8" s="124">
        <f t="shared" ca="1" si="2"/>
        <v>43647</v>
      </c>
      <c r="W8" s="124">
        <f t="shared" ca="1" si="2"/>
        <v>43678</v>
      </c>
      <c r="X8" s="124">
        <f t="shared" ca="1" si="2"/>
        <v>43709</v>
      </c>
      <c r="Y8" s="124">
        <f t="shared" ca="1" si="2"/>
        <v>43739</v>
      </c>
      <c r="Z8" s="124">
        <f t="shared" ca="1" si="2"/>
        <v>43770</v>
      </c>
      <c r="AA8" s="124">
        <f t="shared" ca="1" si="2"/>
        <v>43800</v>
      </c>
    </row>
    <row r="9" spans="1:190" ht="15" customHeight="1" thickBot="1" x14ac:dyDescent="0.25">
      <c r="B9" s="36" t="s">
        <v>119</v>
      </c>
      <c r="C9" s="121" t="s">
        <v>115</v>
      </c>
      <c r="D9" s="38">
        <f t="shared" ref="D9:AA10" ca="1" si="3">AbraPayroll(URL,Username,Password,$C9,D$8)</f>
        <v>0</v>
      </c>
      <c r="E9" s="38">
        <f t="shared" ca="1" si="3"/>
        <v>0</v>
      </c>
      <c r="F9" s="38">
        <f t="shared" ca="1" si="3"/>
        <v>0</v>
      </c>
      <c r="G9" s="38">
        <f t="shared" ca="1" si="3"/>
        <v>0</v>
      </c>
      <c r="H9" s="38">
        <f t="shared" ca="1" si="3"/>
        <v>0</v>
      </c>
      <c r="I9" s="38">
        <f t="shared" ca="1" si="3"/>
        <v>0</v>
      </c>
      <c r="J9" s="38">
        <f t="shared" ca="1" si="3"/>
        <v>0</v>
      </c>
      <c r="K9" s="38">
        <f t="shared" ca="1" si="3"/>
        <v>0</v>
      </c>
      <c r="L9" s="38">
        <f t="shared" ca="1" si="3"/>
        <v>0</v>
      </c>
      <c r="M9" s="38">
        <f t="shared" ca="1" si="3"/>
        <v>0</v>
      </c>
      <c r="N9" s="38">
        <f t="shared" ca="1" si="3"/>
        <v>0</v>
      </c>
      <c r="O9" s="38">
        <f t="shared" ca="1" si="3"/>
        <v>0</v>
      </c>
      <c r="P9" s="38">
        <f t="shared" ca="1" si="3"/>
        <v>0</v>
      </c>
      <c r="Q9" s="38">
        <f t="shared" ca="1" si="3"/>
        <v>0</v>
      </c>
      <c r="R9" s="38">
        <f t="shared" ca="1" si="3"/>
        <v>0</v>
      </c>
      <c r="S9" s="38">
        <f t="shared" ca="1" si="3"/>
        <v>0</v>
      </c>
      <c r="T9" s="38">
        <f t="shared" ca="1" si="3"/>
        <v>0</v>
      </c>
      <c r="U9" s="38">
        <f t="shared" ca="1" si="3"/>
        <v>0</v>
      </c>
      <c r="V9" s="38">
        <f t="shared" ca="1" si="3"/>
        <v>0</v>
      </c>
      <c r="W9" s="38">
        <f t="shared" ca="1" si="3"/>
        <v>0</v>
      </c>
      <c r="X9" s="38">
        <f t="shared" ca="1" si="3"/>
        <v>0</v>
      </c>
      <c r="Y9" s="38">
        <f t="shared" ca="1" si="3"/>
        <v>0</v>
      </c>
      <c r="Z9" s="38">
        <f t="shared" ca="1" si="3"/>
        <v>0</v>
      </c>
      <c r="AA9" s="38">
        <f t="shared" ca="1" si="3"/>
        <v>0</v>
      </c>
      <c r="AB9" s="57"/>
      <c r="AC9" s="57"/>
    </row>
    <row r="10" spans="1:190" ht="15" customHeight="1" thickBot="1" x14ac:dyDescent="0.25">
      <c r="B10" s="116" t="s">
        <v>120</v>
      </c>
      <c r="C10" s="122" t="s">
        <v>116</v>
      </c>
      <c r="D10" s="38">
        <f t="shared" ca="1" si="3"/>
        <v>0</v>
      </c>
      <c r="E10" s="38">
        <f t="shared" ca="1" si="3"/>
        <v>0</v>
      </c>
      <c r="F10" s="38">
        <f t="shared" ca="1" si="3"/>
        <v>0</v>
      </c>
      <c r="G10" s="38">
        <f t="shared" ca="1" si="3"/>
        <v>0</v>
      </c>
      <c r="H10" s="38">
        <f t="shared" ca="1" si="3"/>
        <v>0</v>
      </c>
      <c r="I10" s="38">
        <f t="shared" ca="1" si="3"/>
        <v>0</v>
      </c>
      <c r="J10" s="38">
        <f t="shared" ca="1" si="3"/>
        <v>0</v>
      </c>
      <c r="K10" s="38">
        <f t="shared" ca="1" si="3"/>
        <v>0</v>
      </c>
      <c r="L10" s="38">
        <f t="shared" ca="1" si="3"/>
        <v>0</v>
      </c>
      <c r="M10" s="38">
        <f t="shared" ca="1" si="3"/>
        <v>0</v>
      </c>
      <c r="N10" s="38">
        <f t="shared" ca="1" si="3"/>
        <v>0</v>
      </c>
      <c r="O10" s="38">
        <f t="shared" ca="1" si="3"/>
        <v>0</v>
      </c>
      <c r="P10" s="38">
        <f ca="1">AbraPayroll(URL,Username,Password,$C10,P$8)</f>
        <v>0</v>
      </c>
      <c r="Q10" s="38">
        <f t="shared" ca="1" si="3"/>
        <v>0</v>
      </c>
      <c r="R10" s="38">
        <f t="shared" ca="1" si="3"/>
        <v>0</v>
      </c>
      <c r="S10" s="38">
        <f t="shared" ca="1" si="3"/>
        <v>0</v>
      </c>
      <c r="T10" s="38">
        <f t="shared" ca="1" si="3"/>
        <v>0</v>
      </c>
      <c r="U10" s="38">
        <f t="shared" ca="1" si="3"/>
        <v>0</v>
      </c>
      <c r="V10" s="38">
        <f t="shared" ca="1" si="3"/>
        <v>0</v>
      </c>
      <c r="W10" s="38">
        <f ca="1">AbraPayroll(URL,Username,Password,$C10,W$8)</f>
        <v>0</v>
      </c>
      <c r="X10" s="38">
        <f t="shared" ca="1" si="3"/>
        <v>0</v>
      </c>
      <c r="Y10" s="38">
        <f t="shared" ca="1" si="3"/>
        <v>0</v>
      </c>
      <c r="Z10" s="38">
        <f t="shared" ca="1" si="3"/>
        <v>0</v>
      </c>
      <c r="AA10" s="38">
        <f t="shared" ca="1" si="3"/>
        <v>0</v>
      </c>
      <c r="AB10" s="57"/>
      <c r="AC10" s="57"/>
    </row>
    <row r="11" spans="1:190" ht="15" customHeight="1" thickBot="1" x14ac:dyDescent="0.25">
      <c r="B11" s="116" t="s">
        <v>121</v>
      </c>
      <c r="C11" s="122" t="s">
        <v>117</v>
      </c>
      <c r="D11" s="38">
        <f t="shared" ref="D11:M12" ca="1" si="4">AbraPayroll(URL,Username,Password,$C11,D$8)</f>
        <v>0</v>
      </c>
      <c r="E11" s="38">
        <f t="shared" ca="1" si="4"/>
        <v>0</v>
      </c>
      <c r="F11" s="38">
        <f t="shared" ca="1" si="4"/>
        <v>0</v>
      </c>
      <c r="G11" s="38">
        <f t="shared" ca="1" si="4"/>
        <v>0</v>
      </c>
      <c r="H11" s="38">
        <f t="shared" ca="1" si="4"/>
        <v>0</v>
      </c>
      <c r="I11" s="38">
        <f t="shared" ca="1" si="4"/>
        <v>0</v>
      </c>
      <c r="J11" s="38">
        <f t="shared" ca="1" si="4"/>
        <v>0</v>
      </c>
      <c r="K11" s="38">
        <f t="shared" ca="1" si="4"/>
        <v>0</v>
      </c>
      <c r="L11" s="38">
        <f t="shared" ca="1" si="4"/>
        <v>0</v>
      </c>
      <c r="M11" s="38">
        <f t="shared" ca="1" si="4"/>
        <v>0</v>
      </c>
      <c r="N11" s="38">
        <f t="shared" ref="N11:AA12" ca="1" si="5">AbraPayroll(URL,Username,Password,$C11,N$8)</f>
        <v>0</v>
      </c>
      <c r="O11" s="38">
        <f t="shared" ca="1" si="5"/>
        <v>0</v>
      </c>
      <c r="P11" s="38">
        <f t="shared" ca="1" si="5"/>
        <v>0</v>
      </c>
      <c r="Q11" s="38">
        <f t="shared" ca="1" si="5"/>
        <v>0</v>
      </c>
      <c r="R11" s="38">
        <f t="shared" ca="1" si="5"/>
        <v>0</v>
      </c>
      <c r="S11" s="38">
        <f t="shared" ca="1" si="5"/>
        <v>0</v>
      </c>
      <c r="T11" s="38">
        <f t="shared" ca="1" si="5"/>
        <v>0</v>
      </c>
      <c r="U11" s="38">
        <f t="shared" ca="1" si="5"/>
        <v>0</v>
      </c>
      <c r="V11" s="38">
        <f t="shared" ca="1" si="5"/>
        <v>0</v>
      </c>
      <c r="W11" s="38">
        <f t="shared" ca="1" si="5"/>
        <v>0</v>
      </c>
      <c r="X11" s="38">
        <f t="shared" ca="1" si="5"/>
        <v>0</v>
      </c>
      <c r="Y11" s="38">
        <f t="shared" ca="1" si="5"/>
        <v>0</v>
      </c>
      <c r="Z11" s="38">
        <f t="shared" ca="1" si="5"/>
        <v>0</v>
      </c>
      <c r="AA11" s="38">
        <f t="shared" ca="1" si="5"/>
        <v>0</v>
      </c>
      <c r="AB11" s="57"/>
      <c r="AC11" s="57"/>
    </row>
    <row r="12" spans="1:190" ht="15" customHeight="1" thickBot="1" x14ac:dyDescent="0.25">
      <c r="B12" s="116" t="s">
        <v>122</v>
      </c>
      <c r="C12" s="122" t="s">
        <v>83</v>
      </c>
      <c r="D12" s="38">
        <f t="shared" ca="1" si="4"/>
        <v>0</v>
      </c>
      <c r="E12" s="38">
        <f t="shared" ca="1" si="4"/>
        <v>0</v>
      </c>
      <c r="F12" s="38">
        <f t="shared" ca="1" si="4"/>
        <v>0</v>
      </c>
      <c r="G12" s="38">
        <f t="shared" ca="1" si="4"/>
        <v>0</v>
      </c>
      <c r="H12" s="38">
        <f t="shared" ca="1" si="4"/>
        <v>0</v>
      </c>
      <c r="I12" s="38">
        <f t="shared" ca="1" si="4"/>
        <v>0</v>
      </c>
      <c r="J12" s="38">
        <f t="shared" ca="1" si="4"/>
        <v>0</v>
      </c>
      <c r="K12" s="38">
        <f t="shared" ca="1" si="4"/>
        <v>0</v>
      </c>
      <c r="L12" s="38">
        <f t="shared" ca="1" si="4"/>
        <v>0</v>
      </c>
      <c r="M12" s="38">
        <f t="shared" ca="1" si="4"/>
        <v>0</v>
      </c>
      <c r="N12" s="38">
        <f t="shared" ca="1" si="5"/>
        <v>0</v>
      </c>
      <c r="O12" s="38">
        <f t="shared" ca="1" si="5"/>
        <v>0</v>
      </c>
      <c r="P12" s="38">
        <f t="shared" ca="1" si="5"/>
        <v>0</v>
      </c>
      <c r="Q12" s="38">
        <f t="shared" ca="1" si="5"/>
        <v>0</v>
      </c>
      <c r="R12" s="38">
        <f t="shared" ca="1" si="5"/>
        <v>0</v>
      </c>
      <c r="S12" s="38">
        <f t="shared" ca="1" si="5"/>
        <v>0</v>
      </c>
      <c r="T12" s="38">
        <f t="shared" ca="1" si="5"/>
        <v>0</v>
      </c>
      <c r="U12" s="38">
        <f t="shared" ca="1" si="5"/>
        <v>0</v>
      </c>
      <c r="V12" s="38">
        <f t="shared" ca="1" si="5"/>
        <v>0</v>
      </c>
      <c r="W12" s="38">
        <f t="shared" ca="1" si="5"/>
        <v>0</v>
      </c>
      <c r="X12" s="38">
        <f t="shared" ca="1" si="5"/>
        <v>0</v>
      </c>
      <c r="Y12" s="38">
        <f t="shared" ca="1" si="5"/>
        <v>0</v>
      </c>
      <c r="Z12" s="38">
        <f t="shared" ca="1" si="5"/>
        <v>0</v>
      </c>
      <c r="AA12" s="38">
        <f t="shared" ca="1" si="5"/>
        <v>0</v>
      </c>
      <c r="AB12" s="57"/>
      <c r="AC12" s="57"/>
    </row>
    <row r="13" spans="1:190" ht="15" customHeight="1" x14ac:dyDescent="0.2">
      <c r="B13" s="39" t="s">
        <v>123</v>
      </c>
      <c r="C13" s="123" t="s">
        <v>118</v>
      </c>
      <c r="D13" s="38">
        <f t="shared" ref="D13:AA13" ca="1" si="6">AbraPayroll(URL,Username,Password,$C13,D$8)/1000</f>
        <v>0</v>
      </c>
      <c r="E13" s="38">
        <f t="shared" ca="1" si="6"/>
        <v>0</v>
      </c>
      <c r="F13" s="38">
        <f t="shared" ca="1" si="6"/>
        <v>0</v>
      </c>
      <c r="G13" s="38">
        <f t="shared" ca="1" si="6"/>
        <v>0</v>
      </c>
      <c r="H13" s="38">
        <f t="shared" ca="1" si="6"/>
        <v>0</v>
      </c>
      <c r="I13" s="38">
        <f t="shared" ca="1" si="6"/>
        <v>0</v>
      </c>
      <c r="J13" s="38">
        <f t="shared" ca="1" si="6"/>
        <v>0</v>
      </c>
      <c r="K13" s="38">
        <f t="shared" ca="1" si="6"/>
        <v>0</v>
      </c>
      <c r="L13" s="38">
        <f t="shared" ca="1" si="6"/>
        <v>0</v>
      </c>
      <c r="M13" s="38">
        <f t="shared" ca="1" si="6"/>
        <v>0</v>
      </c>
      <c r="N13" s="38">
        <f t="shared" ca="1" si="6"/>
        <v>0</v>
      </c>
      <c r="O13" s="38">
        <f t="shared" ca="1" si="6"/>
        <v>0</v>
      </c>
      <c r="P13" s="38">
        <f t="shared" ca="1" si="6"/>
        <v>0</v>
      </c>
      <c r="Q13" s="38">
        <f t="shared" ca="1" si="6"/>
        <v>0</v>
      </c>
      <c r="R13" s="38">
        <f t="shared" ca="1" si="6"/>
        <v>0</v>
      </c>
      <c r="S13" s="38">
        <f t="shared" ca="1" si="6"/>
        <v>0</v>
      </c>
      <c r="T13" s="38">
        <f t="shared" ca="1" si="6"/>
        <v>0</v>
      </c>
      <c r="U13" s="38">
        <f t="shared" ca="1" si="6"/>
        <v>0</v>
      </c>
      <c r="V13" s="38">
        <f t="shared" ca="1" si="6"/>
        <v>0</v>
      </c>
      <c r="W13" s="38">
        <f t="shared" ca="1" si="6"/>
        <v>0</v>
      </c>
      <c r="X13" s="38">
        <f t="shared" ca="1" si="6"/>
        <v>0</v>
      </c>
      <c r="Y13" s="38">
        <f t="shared" ca="1" si="6"/>
        <v>0</v>
      </c>
      <c r="Z13" s="38">
        <f t="shared" ca="1" si="6"/>
        <v>0</v>
      </c>
      <c r="AA13" s="38">
        <f t="shared" ca="1" si="6"/>
        <v>0</v>
      </c>
    </row>
    <row r="14" spans="1:190" s="68" customFormat="1" ht="15" customHeight="1" x14ac:dyDescent="0.2">
      <c r="A14" s="67"/>
      <c r="B14" s="105"/>
      <c r="C14" s="105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6"/>
      <c r="W14" s="106"/>
      <c r="X14" s="106"/>
      <c r="Y14" s="106"/>
      <c r="Z14" s="106"/>
      <c r="AA14" s="106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8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8"/>
      <c r="CP14" s="58"/>
      <c r="CQ14" s="58"/>
      <c r="CR14" s="58"/>
      <c r="CS14" s="58"/>
      <c r="CT14" s="58"/>
      <c r="CU14" s="58"/>
      <c r="CV14" s="58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8"/>
      <c r="DT14" s="58"/>
      <c r="DU14" s="58"/>
      <c r="DV14" s="58"/>
      <c r="DW14" s="58"/>
      <c r="DX14" s="58"/>
      <c r="DY14" s="58"/>
      <c r="DZ14" s="58"/>
      <c r="EA14" s="58"/>
      <c r="EB14" s="58"/>
      <c r="EC14" s="58"/>
      <c r="ED14" s="58"/>
      <c r="EE14" s="58"/>
      <c r="EF14" s="58"/>
      <c r="EG14" s="58"/>
      <c r="EH14" s="58"/>
      <c r="EI14" s="58"/>
      <c r="EJ14" s="58"/>
      <c r="EK14" s="58"/>
      <c r="EL14" s="58"/>
      <c r="EM14" s="58"/>
      <c r="EN14" s="58"/>
      <c r="EO14" s="58"/>
      <c r="EP14" s="58"/>
      <c r="EQ14" s="58"/>
      <c r="ER14" s="58"/>
      <c r="ES14" s="58"/>
      <c r="ET14" s="58"/>
      <c r="EU14" s="58"/>
      <c r="EV14" s="58"/>
      <c r="EW14" s="58"/>
      <c r="EX14" s="58"/>
      <c r="EY14" s="58"/>
      <c r="EZ14" s="58"/>
      <c r="FA14" s="58"/>
      <c r="FB14" s="58"/>
      <c r="FC14" s="58"/>
      <c r="FD14" s="58"/>
      <c r="FE14" s="58"/>
      <c r="FF14" s="58"/>
      <c r="FG14" s="58"/>
      <c r="FH14" s="58"/>
      <c r="FI14" s="58"/>
      <c r="FJ14" s="58"/>
      <c r="FK14" s="58"/>
      <c r="FL14" s="58"/>
      <c r="FM14" s="58"/>
      <c r="FN14" s="58"/>
      <c r="FO14" s="58"/>
      <c r="FP14" s="58"/>
      <c r="FQ14" s="58"/>
      <c r="FR14" s="58"/>
      <c r="FS14" s="58"/>
      <c r="FT14" s="58"/>
      <c r="FU14" s="58"/>
      <c r="FV14" s="58"/>
      <c r="FW14" s="58"/>
      <c r="FX14" s="58"/>
      <c r="FY14" s="58"/>
      <c r="FZ14" s="58"/>
      <c r="GA14" s="58"/>
      <c r="GB14" s="58"/>
      <c r="GC14" s="58"/>
      <c r="GD14" s="58"/>
      <c r="GE14" s="58"/>
      <c r="GF14" s="58"/>
      <c r="GG14" s="58"/>
      <c r="GH14" s="58"/>
    </row>
    <row r="18" spans="2:2" x14ac:dyDescent="0.2">
      <c r="B18" s="114" t="s">
        <v>109</v>
      </c>
    </row>
    <row r="19" spans="2:2" x14ac:dyDescent="0.2">
      <c r="B19" s="114" t="s">
        <v>110</v>
      </c>
    </row>
    <row r="20" spans="2:2" x14ac:dyDescent="0.2">
      <c r="B20" s="114" t="s">
        <v>111</v>
      </c>
    </row>
    <row r="21" spans="2:2" x14ac:dyDescent="0.2">
      <c r="B21" s="114" t="s">
        <v>112</v>
      </c>
    </row>
    <row r="22" spans="2:2" x14ac:dyDescent="0.2">
      <c r="B22" s="114" t="s">
        <v>113</v>
      </c>
    </row>
  </sheetData>
  <mergeCells count="1">
    <mergeCell ref="B6:C7"/>
  </mergeCells>
  <pageMargins left="0.7" right="0.7" top="0.78740157499999996" bottom="0.78740157499999996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2"/>
  <dimension ref="A1:J17"/>
  <sheetViews>
    <sheetView workbookViewId="0">
      <selection activeCell="H22" sqref="H22"/>
    </sheetView>
  </sheetViews>
  <sheetFormatPr defaultColWidth="8.85546875" defaultRowHeight="15" customHeight="1" x14ac:dyDescent="0.2"/>
  <cols>
    <col min="1" max="1" width="1.7109375" style="80" customWidth="1"/>
    <col min="2" max="3" width="12.7109375" style="80" customWidth="1"/>
    <col min="4" max="4" width="1.7109375" style="80" customWidth="1"/>
    <col min="5" max="6" width="12.7109375" style="80" customWidth="1"/>
    <col min="7" max="7" width="1.7109375" style="80" customWidth="1"/>
    <col min="8" max="9" width="12.7109375" style="80" customWidth="1"/>
    <col min="10" max="16384" width="8.85546875" style="80"/>
  </cols>
  <sheetData>
    <row r="1" spans="1:10" ht="10.35" customHeight="1" thickBot="1" x14ac:dyDescent="0.25">
      <c r="B1" s="83"/>
      <c r="C1" s="83"/>
    </row>
    <row r="2" spans="1:10" ht="15" customHeight="1" x14ac:dyDescent="0.2">
      <c r="A2" s="81"/>
      <c r="B2" s="143" t="s">
        <v>49</v>
      </c>
      <c r="C2" s="144"/>
      <c r="D2" s="87"/>
      <c r="E2" s="143" t="s">
        <v>4</v>
      </c>
      <c r="F2" s="144"/>
      <c r="G2" s="88"/>
      <c r="H2" s="143" t="s">
        <v>5</v>
      </c>
      <c r="I2" s="144"/>
    </row>
    <row r="3" spans="1:10" ht="15" customHeight="1" x14ac:dyDescent="0.2">
      <c r="A3" s="81"/>
      <c r="B3" s="85" t="s">
        <v>50</v>
      </c>
      <c r="C3" s="86" t="s">
        <v>51</v>
      </c>
      <c r="D3" s="82"/>
      <c r="E3" s="85" t="s">
        <v>50</v>
      </c>
      <c r="F3" s="86" t="s">
        <v>51</v>
      </c>
      <c r="H3" s="85" t="s">
        <v>50</v>
      </c>
      <c r="I3" s="86" t="s">
        <v>51</v>
      </c>
    </row>
    <row r="4" spans="1:10" ht="15" customHeight="1" x14ac:dyDescent="0.2">
      <c r="A4" s="81"/>
      <c r="B4" s="94">
        <v>1</v>
      </c>
      <c r="C4" s="95">
        <v>7.0000000000000007E-2</v>
      </c>
      <c r="D4" s="93"/>
      <c r="E4" s="94">
        <v>1</v>
      </c>
      <c r="F4" s="95">
        <v>0.1</v>
      </c>
      <c r="G4" s="93"/>
      <c r="H4" s="94">
        <v>1</v>
      </c>
      <c r="I4" s="95">
        <v>0.08</v>
      </c>
      <c r="J4" s="82"/>
    </row>
    <row r="5" spans="1:10" ht="15" customHeight="1" x14ac:dyDescent="0.2">
      <c r="A5" s="81"/>
      <c r="B5" s="96">
        <v>2</v>
      </c>
      <c r="C5" s="97">
        <v>0.08</v>
      </c>
      <c r="D5" s="93"/>
      <c r="E5" s="96">
        <v>2</v>
      </c>
      <c r="F5" s="97">
        <v>0.09</v>
      </c>
      <c r="G5" s="93"/>
      <c r="H5" s="96">
        <v>2</v>
      </c>
      <c r="I5" s="97">
        <v>7.0000000000000007E-2</v>
      </c>
      <c r="J5" s="82"/>
    </row>
    <row r="6" spans="1:10" ht="15" customHeight="1" x14ac:dyDescent="0.2">
      <c r="A6" s="81"/>
      <c r="B6" s="96">
        <v>3</v>
      </c>
      <c r="C6" s="97">
        <v>0.09</v>
      </c>
      <c r="D6" s="93"/>
      <c r="E6" s="96">
        <v>3</v>
      </c>
      <c r="F6" s="97">
        <v>0.08</v>
      </c>
      <c r="G6" s="93"/>
      <c r="H6" s="96">
        <v>3</v>
      </c>
      <c r="I6" s="97">
        <v>7.0000000000000007E-2</v>
      </c>
      <c r="J6" s="82"/>
    </row>
    <row r="7" spans="1:10" ht="15" customHeight="1" x14ac:dyDescent="0.2">
      <c r="A7" s="81"/>
      <c r="B7" s="96">
        <v>4</v>
      </c>
      <c r="C7" s="97">
        <v>0.08</v>
      </c>
      <c r="D7" s="93"/>
      <c r="E7" s="96">
        <v>4</v>
      </c>
      <c r="F7" s="97">
        <v>7.0000000000000007E-2</v>
      </c>
      <c r="G7" s="93"/>
      <c r="H7" s="96">
        <v>4</v>
      </c>
      <c r="I7" s="97">
        <v>7.0000000000000007E-2</v>
      </c>
      <c r="J7" s="82"/>
    </row>
    <row r="8" spans="1:10" ht="15" customHeight="1" x14ac:dyDescent="0.2">
      <c r="A8" s="81"/>
      <c r="B8" s="96">
        <v>5</v>
      </c>
      <c r="C8" s="97">
        <v>7.0000000000000007E-2</v>
      </c>
      <c r="D8" s="93"/>
      <c r="E8" s="96">
        <v>5</v>
      </c>
      <c r="F8" s="97">
        <v>7.0000000000000007E-2</v>
      </c>
      <c r="G8" s="93"/>
      <c r="H8" s="96">
        <v>5</v>
      </c>
      <c r="I8" s="97">
        <v>7.0000000000000007E-2</v>
      </c>
      <c r="J8" s="82"/>
    </row>
    <row r="9" spans="1:10" ht="15" customHeight="1" x14ac:dyDescent="0.2">
      <c r="A9" s="81"/>
      <c r="B9" s="96">
        <v>6</v>
      </c>
      <c r="C9" s="97">
        <v>7.0000000000000007E-2</v>
      </c>
      <c r="D9" s="93"/>
      <c r="E9" s="96">
        <v>6</v>
      </c>
      <c r="F9" s="97">
        <v>0.06</v>
      </c>
      <c r="G9" s="93"/>
      <c r="H9" s="96">
        <v>6</v>
      </c>
      <c r="I9" s="97">
        <v>7.0000000000000007E-2</v>
      </c>
      <c r="J9" s="82"/>
    </row>
    <row r="10" spans="1:10" ht="15" customHeight="1" x14ac:dyDescent="0.2">
      <c r="A10" s="81"/>
      <c r="B10" s="96">
        <v>7</v>
      </c>
      <c r="C10" s="97">
        <v>0.08</v>
      </c>
      <c r="D10" s="93"/>
      <c r="E10" s="96">
        <v>7</v>
      </c>
      <c r="F10" s="97">
        <v>0.06</v>
      </c>
      <c r="G10" s="93"/>
      <c r="H10" s="96">
        <v>7</v>
      </c>
      <c r="I10" s="97">
        <v>7.0000000000000007E-2</v>
      </c>
      <c r="J10" s="82"/>
    </row>
    <row r="11" spans="1:10" ht="15" customHeight="1" x14ac:dyDescent="0.2">
      <c r="A11" s="81"/>
      <c r="B11" s="96">
        <v>8</v>
      </c>
      <c r="C11" s="97">
        <v>0.09</v>
      </c>
      <c r="D11" s="93"/>
      <c r="E11" s="96">
        <v>8</v>
      </c>
      <c r="F11" s="97">
        <v>0.06</v>
      </c>
      <c r="G11" s="93"/>
      <c r="H11" s="96">
        <v>8</v>
      </c>
      <c r="I11" s="97">
        <v>0.08</v>
      </c>
      <c r="J11" s="82"/>
    </row>
    <row r="12" spans="1:10" ht="15" customHeight="1" x14ac:dyDescent="0.2">
      <c r="A12" s="81"/>
      <c r="B12" s="96">
        <v>9</v>
      </c>
      <c r="C12" s="97">
        <v>0.1</v>
      </c>
      <c r="D12" s="93"/>
      <c r="E12" s="96">
        <v>9</v>
      </c>
      <c r="F12" s="97">
        <v>7.0000000000000007E-2</v>
      </c>
      <c r="G12" s="93"/>
      <c r="H12" s="96">
        <v>9</v>
      </c>
      <c r="I12" s="97">
        <v>0.09</v>
      </c>
      <c r="J12" s="82"/>
    </row>
    <row r="13" spans="1:10" ht="15" customHeight="1" x14ac:dyDescent="0.2">
      <c r="A13" s="81"/>
      <c r="B13" s="96">
        <v>10</v>
      </c>
      <c r="C13" s="97">
        <v>0.1</v>
      </c>
      <c r="D13" s="93"/>
      <c r="E13" s="96">
        <v>10</v>
      </c>
      <c r="F13" s="97">
        <v>0.09</v>
      </c>
      <c r="G13" s="93"/>
      <c r="H13" s="96">
        <v>10</v>
      </c>
      <c r="I13" s="97">
        <v>0.1</v>
      </c>
      <c r="J13" s="82"/>
    </row>
    <row r="14" spans="1:10" ht="15" customHeight="1" x14ac:dyDescent="0.2">
      <c r="A14" s="81"/>
      <c r="B14" s="96">
        <v>11</v>
      </c>
      <c r="C14" s="97">
        <v>0.13</v>
      </c>
      <c r="D14" s="93"/>
      <c r="E14" s="96">
        <v>11</v>
      </c>
      <c r="F14" s="97">
        <v>0.11</v>
      </c>
      <c r="G14" s="93"/>
      <c r="H14" s="96">
        <v>11</v>
      </c>
      <c r="I14" s="97">
        <v>0.11</v>
      </c>
      <c r="J14" s="82"/>
    </row>
    <row r="15" spans="1:10" ht="15" customHeight="1" x14ac:dyDescent="0.2">
      <c r="A15" s="81"/>
      <c r="B15" s="98">
        <v>12</v>
      </c>
      <c r="C15" s="99">
        <v>0.05</v>
      </c>
      <c r="D15" s="93"/>
      <c r="E15" s="98">
        <v>12</v>
      </c>
      <c r="F15" s="99">
        <v>0.14000000000000001</v>
      </c>
      <c r="G15" s="93"/>
      <c r="H15" s="98">
        <v>12</v>
      </c>
      <c r="I15" s="99">
        <v>0.12</v>
      </c>
      <c r="J15" s="82"/>
    </row>
    <row r="16" spans="1:10" ht="15" customHeight="1" thickBot="1" x14ac:dyDescent="0.25">
      <c r="A16" s="81"/>
      <c r="B16" s="89" t="s">
        <v>37</v>
      </c>
      <c r="C16" s="90">
        <f ca="1">SUM(C4:C15)</f>
        <v>1</v>
      </c>
      <c r="D16" s="91"/>
      <c r="E16" s="89" t="s">
        <v>37</v>
      </c>
      <c r="F16" s="90">
        <f ca="1">SUM(F4:F15)</f>
        <v>1</v>
      </c>
      <c r="G16" s="92"/>
      <c r="H16" s="89" t="s">
        <v>37</v>
      </c>
      <c r="I16" s="90">
        <f ca="1">SUM(I4:I15)</f>
        <v>0.99999999999999989</v>
      </c>
    </row>
    <row r="17" spans="2:3" ht="15" customHeight="1" x14ac:dyDescent="0.2">
      <c r="B17" s="84"/>
      <c r="C17" s="84"/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5</vt:i4>
      </vt:variant>
    </vt:vector>
  </HeadingPairs>
  <TitlesOfParts>
    <vt:vector size="15" baseType="lpstr">
      <vt:lpstr>API</vt:lpstr>
      <vt:lpstr>Model výnosů</vt:lpstr>
      <vt:lpstr>Účty s vývojem</vt:lpstr>
      <vt:lpstr>Penize stav</vt:lpstr>
      <vt:lpstr>Sklady</vt:lpstr>
      <vt:lpstr>Prodej</vt:lpstr>
      <vt:lpstr>Pohledávky a závazky</vt:lpstr>
      <vt:lpstr>Majetek</vt:lpstr>
      <vt:lpstr>Mzdy</vt:lpstr>
      <vt:lpstr>Sezona</vt:lpstr>
      <vt:lpstr>ConnectionTimeout</vt:lpstr>
      <vt:lpstr>Password</vt:lpstr>
      <vt:lpstr>Timeout</vt:lpstr>
      <vt:lpstr>URL</vt:lpstr>
      <vt:lpstr>Username</vt:lpstr>
    </vt:vector>
  </TitlesOfParts>
  <Company>ABRA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Jirmann</dc:creator>
  <cp:lastModifiedBy>Josef Melichárek</cp:lastModifiedBy>
  <cp:lastPrinted>2018-07-16T07:49:44Z</cp:lastPrinted>
  <dcterms:created xsi:type="dcterms:W3CDTF">2009-05-28T11:25:29Z</dcterms:created>
  <dcterms:modified xsi:type="dcterms:W3CDTF">2019-11-05T09:27:56Z</dcterms:modified>
</cp:coreProperties>
</file>