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A42517A8-DD4B-4F36-B2F6-4754CB32A091}" xr6:coauthVersionLast="45" xr6:coauthVersionMax="45" xr10:uidLastSave="{00000000-0000-0000-0000-000000000000}"/>
  <bookViews>
    <workbookView xWindow="-28020" yWindow="-7680" windowWidth="21600" windowHeight="11385" tabRatio="674" xr2:uid="{00000000-000D-0000-FFFF-FFFF00000000}"/>
  </bookViews>
  <sheets>
    <sheet name="API" sheetId="15" r:id="rId1"/>
    <sheet name="Náklady a výnosy" sheetId="1" r:id="rId2"/>
    <sheet name="Účty s vývojem" sheetId="9" r:id="rId3"/>
    <sheet name="Sklady" sheetId="10" r:id="rId4"/>
    <sheet name="Prodej" sheetId="11" r:id="rId5"/>
    <sheet name="Pohledávky a závazky" sheetId="14" r:id="rId6"/>
    <sheet name="Majetek" sheetId="12" r:id="rId7"/>
    <sheet name="Mzdy" sheetId="13" r:id="rId8"/>
  </sheets>
  <functionGroups builtInGroupCount="19"/>
  <definedNames>
    <definedName name="ConnectionTimeout">API!$C$7</definedName>
    <definedName name="Password">API!$C$5</definedName>
    <definedName name="Timeout">API!$C$6</definedName>
    <definedName name="URL">API!$C$3</definedName>
    <definedName name="Username">API!$C$4</definedName>
  </definedNames>
  <calcPr calcId="18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7" i="9" l="1"/>
  <c r="AA6" i="9"/>
  <c r="Z7" i="9"/>
  <c r="Z6" i="9"/>
  <c r="Y7" i="9"/>
  <c r="Y6" i="9"/>
  <c r="X7" i="9"/>
  <c r="X6" i="9"/>
  <c r="W7" i="9"/>
  <c r="W6" i="9"/>
  <c r="V7" i="9"/>
  <c r="V6" i="9"/>
  <c r="U7" i="9"/>
  <c r="U6" i="9"/>
  <c r="T7" i="9"/>
  <c r="T6" i="9"/>
  <c r="S7" i="9"/>
  <c r="S6" i="9"/>
  <c r="R7" i="9"/>
  <c r="R6" i="9"/>
  <c r="Q7" i="9"/>
  <c r="Q6" i="9"/>
  <c r="P7" i="9"/>
  <c r="P6" i="9"/>
  <c r="O7" i="9"/>
  <c r="O6" i="9"/>
  <c r="N7" i="9"/>
  <c r="N6" i="9"/>
  <c r="M7" i="9"/>
  <c r="M6" i="9"/>
  <c r="L7" i="9"/>
  <c r="L6" i="9"/>
  <c r="K7" i="9"/>
  <c r="K6" i="9"/>
  <c r="J7" i="9"/>
  <c r="J6" i="9"/>
  <c r="I7" i="9"/>
  <c r="I6" i="9"/>
  <c r="H7" i="9"/>
  <c r="H6" i="9"/>
  <c r="G7" i="9"/>
  <c r="G6" i="9"/>
  <c r="F7" i="9"/>
  <c r="F6" i="9"/>
  <c r="E7" i="9"/>
  <c r="E6" i="9"/>
  <c r="D7" i="9"/>
  <c r="D6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D9" i="9"/>
  <c r="E9" i="9"/>
  <c r="AA7" i="1"/>
  <c r="AA6" i="1"/>
  <c r="Z7" i="1"/>
  <c r="Z6" i="1"/>
  <c r="Y7" i="1"/>
  <c r="Y6" i="1"/>
  <c r="X7" i="1"/>
  <c r="X6" i="1"/>
  <c r="W7" i="1"/>
  <c r="W6" i="1"/>
  <c r="V7" i="1"/>
  <c r="V6" i="1"/>
  <c r="U7" i="1"/>
  <c r="U6" i="1"/>
  <c r="T7" i="1"/>
  <c r="T6" i="1"/>
  <c r="S7" i="1"/>
  <c r="S6" i="1"/>
  <c r="R7" i="1"/>
  <c r="R6" i="1"/>
  <c r="Q7" i="1"/>
  <c r="Q6" i="1"/>
  <c r="P7" i="1"/>
  <c r="P6" i="1"/>
  <c r="O7" i="1"/>
  <c r="O6" i="1"/>
  <c r="N7" i="1"/>
  <c r="N6" i="1"/>
  <c r="M7" i="1"/>
  <c r="M6" i="1"/>
  <c r="L7" i="1"/>
  <c r="L6" i="1"/>
  <c r="K7" i="1"/>
  <c r="K6" i="1"/>
  <c r="J7" i="1"/>
  <c r="J6" i="1"/>
  <c r="I7" i="1"/>
  <c r="I6" i="1"/>
  <c r="H7" i="1"/>
  <c r="H6" i="1"/>
  <c r="G7" i="1"/>
  <c r="G6" i="1"/>
  <c r="F7" i="1"/>
  <c r="F6" i="1"/>
  <c r="E7" i="1"/>
  <c r="E6" i="1"/>
  <c r="D7" i="1"/>
  <c r="D6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B19" i="12"/>
  <c r="AB18" i="12"/>
  <c r="AA19" i="12"/>
  <c r="AA18" i="12"/>
  <c r="Z19" i="12"/>
  <c r="Z18" i="12"/>
  <c r="Y19" i="12"/>
  <c r="Y18" i="12"/>
  <c r="X19" i="12"/>
  <c r="X18" i="12"/>
  <c r="W19" i="12"/>
  <c r="W18" i="12"/>
  <c r="V19" i="12"/>
  <c r="V18" i="12"/>
  <c r="U19" i="12"/>
  <c r="U18" i="12"/>
  <c r="T19" i="12"/>
  <c r="T18" i="12"/>
  <c r="S19" i="12"/>
  <c r="S18" i="12"/>
  <c r="R19" i="12"/>
  <c r="R18" i="12"/>
  <c r="Q19" i="12"/>
  <c r="Q18" i="12"/>
  <c r="P19" i="12"/>
  <c r="P18" i="12"/>
  <c r="O19" i="12"/>
  <c r="O18" i="12"/>
  <c r="N19" i="12"/>
  <c r="N18" i="12"/>
  <c r="M19" i="12"/>
  <c r="M18" i="12"/>
  <c r="L19" i="12"/>
  <c r="L18" i="12"/>
  <c r="K19" i="12"/>
  <c r="K18" i="12"/>
  <c r="J19" i="12"/>
  <c r="J18" i="12"/>
  <c r="I19" i="12"/>
  <c r="I18" i="12"/>
  <c r="H19" i="12"/>
  <c r="H18" i="12"/>
  <c r="G19" i="12"/>
  <c r="G22" i="12"/>
  <c r="AB7" i="12"/>
  <c r="AB6" i="12"/>
  <c r="AA7" i="12"/>
  <c r="AA6" i="12"/>
  <c r="Z7" i="12"/>
  <c r="Z6" i="12"/>
  <c r="Y7" i="12"/>
  <c r="Y6" i="12"/>
  <c r="X7" i="12"/>
  <c r="X6" i="12"/>
  <c r="W7" i="12"/>
  <c r="W6" i="12"/>
  <c r="V7" i="12"/>
  <c r="V6" i="12"/>
  <c r="U7" i="12"/>
  <c r="U6" i="12"/>
  <c r="T7" i="12"/>
  <c r="T6" i="12"/>
  <c r="S7" i="12"/>
  <c r="S6" i="12"/>
  <c r="R7" i="12"/>
  <c r="R6" i="12"/>
  <c r="Q7" i="12"/>
  <c r="Q6" i="12"/>
  <c r="P7" i="12"/>
  <c r="P6" i="12"/>
  <c r="O7" i="12"/>
  <c r="O6" i="12"/>
  <c r="N7" i="12"/>
  <c r="N6" i="12"/>
  <c r="M7" i="12"/>
  <c r="M6" i="12"/>
  <c r="L7" i="12"/>
  <c r="L6" i="12"/>
  <c r="K7" i="12"/>
  <c r="K6" i="12"/>
  <c r="J7" i="12"/>
  <c r="J6" i="12"/>
  <c r="I7" i="12"/>
  <c r="I6" i="12"/>
  <c r="H7" i="12"/>
  <c r="H6" i="12"/>
  <c r="G7" i="12"/>
  <c r="G6" i="12"/>
  <c r="F7" i="12"/>
  <c r="F6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G18" i="12"/>
  <c r="F19" i="12"/>
  <c r="F18" i="12"/>
  <c r="E19" i="12"/>
  <c r="E22" i="12"/>
  <c r="F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E21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18" i="12"/>
  <c r="E20" i="12"/>
  <c r="AB21" i="14"/>
  <c r="AB20" i="14"/>
  <c r="AA21" i="14"/>
  <c r="AA20" i="14"/>
  <c r="Z21" i="14"/>
  <c r="Z20" i="14"/>
  <c r="Y21" i="14"/>
  <c r="Y20" i="14"/>
  <c r="X21" i="14"/>
  <c r="X20" i="14"/>
  <c r="W21" i="14"/>
  <c r="W20" i="14"/>
  <c r="V21" i="14"/>
  <c r="V20" i="14"/>
  <c r="U21" i="14"/>
  <c r="U20" i="14"/>
  <c r="T21" i="14"/>
  <c r="T20" i="14"/>
  <c r="S21" i="14"/>
  <c r="S20" i="14"/>
  <c r="R21" i="14"/>
  <c r="R20" i="14"/>
  <c r="Q21" i="14"/>
  <c r="Q20" i="14"/>
  <c r="P21" i="14"/>
  <c r="P20" i="14"/>
  <c r="O21" i="14"/>
  <c r="O20" i="14"/>
  <c r="N21" i="14"/>
  <c r="N20" i="14"/>
  <c r="M21" i="14"/>
  <c r="M20" i="14"/>
  <c r="L21" i="14"/>
  <c r="L20" i="14"/>
  <c r="K21" i="14"/>
  <c r="K20" i="14"/>
  <c r="J21" i="14"/>
  <c r="J20" i="14"/>
  <c r="I21" i="14"/>
  <c r="I20" i="14"/>
  <c r="H21" i="14"/>
  <c r="H20" i="14"/>
  <c r="G21" i="14"/>
  <c r="G20" i="14"/>
  <c r="F21" i="14"/>
  <c r="F20" i="14"/>
  <c r="E21" i="14"/>
  <c r="E20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E23" i="14"/>
  <c r="AB7" i="14"/>
  <c r="AB6" i="14"/>
  <c r="AA7" i="14"/>
  <c r="AA6" i="14"/>
  <c r="Z7" i="14"/>
  <c r="Z6" i="14"/>
  <c r="Y7" i="14"/>
  <c r="Y6" i="14"/>
  <c r="X7" i="14"/>
  <c r="X6" i="14"/>
  <c r="W7" i="14"/>
  <c r="W6" i="14"/>
  <c r="V7" i="14"/>
  <c r="V6" i="14"/>
  <c r="U7" i="14"/>
  <c r="U6" i="14"/>
  <c r="T7" i="14"/>
  <c r="T6" i="14"/>
  <c r="S7" i="14"/>
  <c r="S6" i="14"/>
  <c r="R7" i="14"/>
  <c r="R6" i="14"/>
  <c r="Q7" i="14"/>
  <c r="Q6" i="14"/>
  <c r="P7" i="14"/>
  <c r="P6" i="14"/>
  <c r="O7" i="14"/>
  <c r="O6" i="14"/>
  <c r="N7" i="14"/>
  <c r="N6" i="14"/>
  <c r="M7" i="14"/>
  <c r="M6" i="14"/>
  <c r="L7" i="14"/>
  <c r="L6" i="14"/>
  <c r="K7" i="14"/>
  <c r="K6" i="14"/>
  <c r="J7" i="14"/>
  <c r="J6" i="14"/>
  <c r="I7" i="14"/>
  <c r="I6" i="14"/>
  <c r="H7" i="14"/>
  <c r="H6" i="14"/>
  <c r="G7" i="14"/>
  <c r="G6" i="14"/>
  <c r="F7" i="14"/>
  <c r="F6" i="14"/>
  <c r="E7" i="14"/>
  <c r="E6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E9" i="14"/>
  <c r="AB7" i="10"/>
  <c r="AB6" i="10"/>
  <c r="AA7" i="10"/>
  <c r="AA6" i="10"/>
  <c r="Z7" i="10"/>
  <c r="Z6" i="10"/>
  <c r="Y7" i="10"/>
  <c r="Y6" i="10"/>
  <c r="X7" i="10"/>
  <c r="X6" i="10"/>
  <c r="W7" i="10"/>
  <c r="W6" i="10"/>
  <c r="V7" i="10"/>
  <c r="V6" i="10"/>
  <c r="U7" i="10"/>
  <c r="U6" i="10"/>
  <c r="T7" i="10"/>
  <c r="T6" i="10"/>
  <c r="S7" i="10"/>
  <c r="S6" i="10"/>
  <c r="R7" i="10"/>
  <c r="R6" i="10"/>
  <c r="Q7" i="10"/>
  <c r="Q6" i="10"/>
  <c r="P7" i="10"/>
  <c r="P6" i="10"/>
  <c r="O7" i="10"/>
  <c r="O6" i="10"/>
  <c r="N7" i="10"/>
  <c r="N6" i="10"/>
  <c r="M7" i="10"/>
  <c r="M6" i="10"/>
  <c r="M8" i="10"/>
  <c r="L7" i="10"/>
  <c r="L6" i="10"/>
  <c r="K7" i="10"/>
  <c r="K6" i="10"/>
  <c r="J7" i="10"/>
  <c r="J6" i="10"/>
  <c r="I7" i="10"/>
  <c r="I6" i="10"/>
  <c r="H7" i="10"/>
  <c r="H6" i="10"/>
  <c r="G7" i="10"/>
  <c r="G6" i="10"/>
  <c r="F7" i="10"/>
  <c r="F6" i="10"/>
  <c r="F16" i="10"/>
  <c r="E7" i="10"/>
  <c r="E6" i="10"/>
  <c r="E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E15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E9" i="10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Q10" i="13"/>
  <c r="AB7" i="13"/>
  <c r="AB6" i="13"/>
  <c r="AA7" i="13"/>
  <c r="AA6" i="13"/>
  <c r="Z7" i="13"/>
  <c r="Z6" i="13"/>
  <c r="Y7" i="13"/>
  <c r="Y6" i="13"/>
  <c r="X7" i="13"/>
  <c r="X6" i="13"/>
  <c r="W7" i="13"/>
  <c r="W6" i="13"/>
  <c r="V7" i="13"/>
  <c r="V6" i="13"/>
  <c r="U7" i="13"/>
  <c r="U6" i="13"/>
  <c r="T7" i="13"/>
  <c r="T6" i="13"/>
  <c r="S7" i="13"/>
  <c r="S6" i="13"/>
  <c r="R7" i="13"/>
  <c r="R6" i="13"/>
  <c r="Q7" i="13"/>
  <c r="Q6" i="13"/>
  <c r="Q8" i="13"/>
  <c r="P7" i="13"/>
  <c r="P6" i="13"/>
  <c r="P8" i="13"/>
  <c r="O7" i="13"/>
  <c r="O6" i="13"/>
  <c r="O8" i="13"/>
  <c r="V8" i="13"/>
  <c r="W8" i="13"/>
  <c r="X8" i="13"/>
  <c r="Y8" i="13"/>
  <c r="Z8" i="13"/>
  <c r="AA8" i="13"/>
  <c r="X10" i="13"/>
  <c r="N7" i="13"/>
  <c r="N6" i="13"/>
  <c r="M7" i="13"/>
  <c r="M6" i="13"/>
  <c r="L7" i="13"/>
  <c r="L6" i="13"/>
  <c r="K7" i="13"/>
  <c r="K6" i="13"/>
  <c r="J7" i="13"/>
  <c r="J6" i="13"/>
  <c r="I7" i="13"/>
  <c r="I6" i="13"/>
  <c r="H7" i="13"/>
  <c r="H6" i="13"/>
  <c r="G7" i="13"/>
  <c r="G6" i="13"/>
  <c r="F7" i="13"/>
  <c r="F6" i="13"/>
  <c r="E7" i="13"/>
  <c r="E6" i="13"/>
  <c r="E8" i="13"/>
  <c r="E10" i="13"/>
  <c r="F8" i="13"/>
  <c r="F10" i="13"/>
  <c r="G8" i="13"/>
  <c r="G10" i="13"/>
  <c r="H8" i="13"/>
  <c r="H10" i="13"/>
  <c r="I8" i="13"/>
  <c r="I10" i="13"/>
  <c r="J8" i="13"/>
  <c r="J10" i="13"/>
  <c r="K8" i="13"/>
  <c r="K10" i="13"/>
  <c r="L8" i="13"/>
  <c r="L10" i="13"/>
  <c r="M8" i="13"/>
  <c r="M10" i="13"/>
  <c r="N8" i="13"/>
  <c r="N10" i="13"/>
  <c r="O10" i="13"/>
  <c r="P10" i="13"/>
  <c r="R8" i="13"/>
  <c r="R10" i="13"/>
  <c r="S8" i="13"/>
  <c r="S10" i="13"/>
  <c r="T8" i="13"/>
  <c r="T10" i="13"/>
  <c r="U8" i="13"/>
  <c r="U10" i="13"/>
  <c r="V10" i="13"/>
  <c r="W10" i="13"/>
  <c r="Y10" i="13"/>
  <c r="Z10" i="13"/>
  <c r="AA10" i="13"/>
  <c r="AB8" i="13"/>
  <c r="AB10" i="13"/>
  <c r="AB7" i="11"/>
  <c r="AB6" i="11"/>
  <c r="AA7" i="11"/>
  <c r="AA6" i="11"/>
  <c r="Z7" i="11"/>
  <c r="Z6" i="11"/>
  <c r="Y7" i="11"/>
  <c r="Y6" i="11"/>
  <c r="X7" i="11"/>
  <c r="X6" i="11"/>
  <c r="W7" i="11"/>
  <c r="W6" i="11"/>
  <c r="V7" i="11"/>
  <c r="V6" i="11"/>
  <c r="U7" i="11"/>
  <c r="U6" i="11"/>
  <c r="T7" i="11"/>
  <c r="T6" i="11"/>
  <c r="S7" i="11"/>
  <c r="S6" i="11"/>
  <c r="R7" i="11"/>
  <c r="R6" i="11"/>
  <c r="Q7" i="11"/>
  <c r="Q6" i="11"/>
  <c r="P7" i="11"/>
  <c r="P6" i="11"/>
  <c r="O7" i="11"/>
  <c r="O6" i="11"/>
  <c r="N7" i="11"/>
  <c r="N6" i="11"/>
  <c r="M7" i="11"/>
  <c r="M6" i="11"/>
  <c r="L7" i="11"/>
  <c r="L6" i="11"/>
  <c r="K7" i="11"/>
  <c r="K6" i="11"/>
  <c r="J7" i="11"/>
  <c r="J6" i="11"/>
  <c r="I7" i="11"/>
  <c r="I6" i="11"/>
  <c r="H7" i="11"/>
  <c r="H6" i="11"/>
  <c r="G7" i="11"/>
  <c r="G6" i="11"/>
  <c r="F7" i="11"/>
  <c r="F6" i="11"/>
  <c r="E7" i="11"/>
  <c r="E6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E9" i="11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E9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E7" i="12"/>
  <c r="E6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E9" i="12"/>
  <c r="AB11" i="11"/>
  <c r="AB8" i="11"/>
  <c r="AA22" i="14"/>
  <c r="AB22" i="14"/>
  <c r="AA11" i="11"/>
  <c r="AA8" i="11"/>
  <c r="AB8" i="10"/>
  <c r="AB8" i="14"/>
  <c r="AB17" i="10"/>
  <c r="AB11" i="10"/>
  <c r="AB11" i="12"/>
  <c r="AB8" i="12"/>
  <c r="AA8" i="14"/>
  <c r="Z11" i="11"/>
  <c r="Z8" i="11"/>
  <c r="AA11" i="12"/>
  <c r="AA17" i="10"/>
  <c r="AA11" i="10"/>
  <c r="AA8" i="10"/>
  <c r="AA8" i="12"/>
  <c r="Z22" i="14"/>
  <c r="Z8" i="14"/>
  <c r="Y11" i="11"/>
  <c r="Y8" i="11"/>
  <c r="Z11" i="10"/>
  <c r="Z17" i="10"/>
  <c r="Z11" i="12"/>
  <c r="Z8" i="10"/>
  <c r="Z8" i="12"/>
  <c r="AA8" i="9"/>
  <c r="Y22" i="14"/>
  <c r="Y8" i="14"/>
  <c r="X11" i="11"/>
  <c r="X8" i="11"/>
  <c r="Z8" i="9"/>
  <c r="Y17" i="10"/>
  <c r="Y11" i="10"/>
  <c r="Y11" i="12"/>
  <c r="Y8" i="10"/>
  <c r="Y8" i="12"/>
  <c r="X22" i="14"/>
  <c r="Y8" i="9"/>
  <c r="X8" i="14"/>
  <c r="W11" i="11"/>
  <c r="W8" i="11"/>
  <c r="X8" i="9"/>
  <c r="X17" i="10"/>
  <c r="X11" i="10"/>
  <c r="X11" i="12"/>
  <c r="X8" i="10"/>
  <c r="X8" i="12"/>
  <c r="AA8" i="1"/>
  <c r="W22" i="14"/>
  <c r="W8" i="9"/>
  <c r="W8" i="14"/>
  <c r="V11" i="11"/>
  <c r="V8" i="11"/>
  <c r="V8" i="9"/>
  <c r="W17" i="10"/>
  <c r="W11" i="10"/>
  <c r="W11" i="12"/>
  <c r="W8" i="10"/>
  <c r="W8" i="12"/>
  <c r="Z8" i="1"/>
  <c r="V22" i="14"/>
  <c r="U8" i="9"/>
  <c r="V8" i="14"/>
  <c r="U11" i="11"/>
  <c r="U8" i="11"/>
  <c r="T8" i="9"/>
  <c r="V11" i="10"/>
  <c r="V17" i="10"/>
  <c r="V11" i="12"/>
  <c r="V8" i="10"/>
  <c r="V8" i="12"/>
  <c r="Y8" i="1"/>
  <c r="U22" i="14"/>
  <c r="S8" i="9"/>
  <c r="U8" i="14"/>
  <c r="T11" i="11"/>
  <c r="T8" i="11"/>
  <c r="R8" i="9"/>
  <c r="U11" i="10"/>
  <c r="U17" i="10"/>
  <c r="U11" i="12"/>
  <c r="U8" i="10"/>
  <c r="U8" i="12"/>
  <c r="X8" i="1"/>
  <c r="T22" i="14"/>
  <c r="Q8" i="9"/>
  <c r="T8" i="14"/>
  <c r="S11" i="11"/>
  <c r="S8" i="11"/>
  <c r="P8" i="9"/>
  <c r="T11" i="10"/>
  <c r="T17" i="10"/>
  <c r="T11" i="12"/>
  <c r="T8" i="10"/>
  <c r="T8" i="12"/>
  <c r="W8" i="1"/>
  <c r="S22" i="14"/>
  <c r="O8" i="9"/>
  <c r="S8" i="14"/>
  <c r="R11" i="11"/>
  <c r="R8" i="11"/>
  <c r="N8" i="9"/>
  <c r="S11" i="10"/>
  <c r="S17" i="10"/>
  <c r="S11" i="12"/>
  <c r="S8" i="10"/>
  <c r="S8" i="12"/>
  <c r="V8" i="1"/>
  <c r="R22" i="14"/>
  <c r="M8" i="9"/>
  <c r="R8" i="14"/>
  <c r="Q11" i="11"/>
  <c r="Q8" i="11"/>
  <c r="L8" i="9"/>
  <c r="R17" i="10"/>
  <c r="R11" i="10"/>
  <c r="R11" i="12"/>
  <c r="R8" i="10"/>
  <c r="R8" i="12"/>
  <c r="U8" i="1"/>
  <c r="Q22" i="14"/>
  <c r="K8" i="9"/>
  <c r="Q8" i="14"/>
  <c r="P11" i="11"/>
  <c r="P8" i="11"/>
  <c r="J8" i="9"/>
  <c r="Q17" i="10"/>
  <c r="Q11" i="10"/>
  <c r="Q11" i="12"/>
  <c r="Q8" i="10"/>
  <c r="Q8" i="12"/>
  <c r="T8" i="1"/>
  <c r="P22" i="14"/>
  <c r="I8" i="9"/>
  <c r="P8" i="14"/>
  <c r="O11" i="11"/>
  <c r="O8" i="11"/>
  <c r="H8" i="9"/>
  <c r="P17" i="10"/>
  <c r="P11" i="10"/>
  <c r="P11" i="12"/>
  <c r="P8" i="10"/>
  <c r="P8" i="12"/>
  <c r="S8" i="1"/>
  <c r="O22" i="14"/>
  <c r="G8" i="9"/>
  <c r="O8" i="14"/>
  <c r="N11" i="11"/>
  <c r="N8" i="11"/>
  <c r="F8" i="9"/>
  <c r="O17" i="10"/>
  <c r="O11" i="10"/>
  <c r="O11" i="12"/>
  <c r="O8" i="10"/>
  <c r="O8" i="12"/>
  <c r="R8" i="1"/>
  <c r="N22" i="14"/>
  <c r="E8" i="9"/>
  <c r="N8" i="14"/>
  <c r="M11" i="11"/>
  <c r="M8" i="11"/>
  <c r="D8" i="9"/>
  <c r="N17" i="10"/>
  <c r="N11" i="10"/>
  <c r="N11" i="12"/>
  <c r="N8" i="10"/>
  <c r="N8" i="12"/>
  <c r="Q8" i="1"/>
  <c r="M22" i="14"/>
  <c r="D11" i="9"/>
  <c r="M8" i="14"/>
  <c r="L11" i="11"/>
  <c r="L8" i="11"/>
  <c r="E11" i="9"/>
  <c r="M17" i="10"/>
  <c r="M11" i="10"/>
  <c r="M11" i="12"/>
  <c r="M8" i="12"/>
  <c r="P8" i="1"/>
  <c r="L22" i="14"/>
  <c r="F11" i="9"/>
  <c r="L8" i="14"/>
  <c r="K11" i="11"/>
  <c r="K8" i="11"/>
  <c r="G11" i="9"/>
  <c r="L17" i="10"/>
  <c r="L11" i="10"/>
  <c r="L11" i="12"/>
  <c r="L8" i="10"/>
  <c r="L8" i="12"/>
  <c r="O8" i="1"/>
  <c r="K22" i="14"/>
  <c r="H11" i="9"/>
  <c r="K8" i="14"/>
  <c r="J11" i="11"/>
  <c r="J8" i="11"/>
  <c r="I11" i="9"/>
  <c r="K17" i="10"/>
  <c r="K11" i="10"/>
  <c r="K11" i="12"/>
  <c r="K8" i="10"/>
  <c r="K8" i="12"/>
  <c r="N8" i="1"/>
  <c r="J22" i="14"/>
  <c r="J11" i="9"/>
  <c r="J8" i="14"/>
  <c r="I11" i="11"/>
  <c r="I8" i="11"/>
  <c r="K11" i="9"/>
  <c r="J11" i="10"/>
  <c r="J17" i="10"/>
  <c r="J11" i="12"/>
  <c r="J8" i="10"/>
  <c r="J8" i="12"/>
  <c r="M8" i="1"/>
  <c r="I22" i="14"/>
  <c r="L11" i="9"/>
  <c r="I8" i="14"/>
  <c r="H11" i="11"/>
  <c r="H8" i="11"/>
  <c r="M11" i="9"/>
  <c r="I11" i="10"/>
  <c r="I17" i="10"/>
  <c r="I11" i="12"/>
  <c r="I8" i="10"/>
  <c r="I8" i="12"/>
  <c r="L8" i="1"/>
  <c r="H22" i="14"/>
  <c r="N11" i="9"/>
  <c r="H8" i="14"/>
  <c r="G11" i="11"/>
  <c r="G8" i="11"/>
  <c r="O11" i="9"/>
  <c r="H17" i="10"/>
  <c r="H11" i="10"/>
  <c r="H11" i="12"/>
  <c r="H8" i="10"/>
  <c r="H8" i="12"/>
  <c r="K8" i="1"/>
  <c r="G22" i="14"/>
  <c r="P11" i="9"/>
  <c r="G8" i="14"/>
  <c r="F11" i="11"/>
  <c r="F8" i="11"/>
  <c r="Q11" i="9"/>
  <c r="G17" i="10"/>
  <c r="G11" i="10"/>
  <c r="G11" i="12"/>
  <c r="G8" i="10"/>
  <c r="G8" i="12"/>
  <c r="J8" i="1"/>
  <c r="F22" i="14"/>
  <c r="R11" i="9"/>
  <c r="F8" i="14"/>
  <c r="E11" i="11"/>
  <c r="E8" i="11"/>
  <c r="S11" i="9"/>
  <c r="F17" i="10"/>
  <c r="F11" i="10"/>
  <c r="F11" i="12"/>
  <c r="F8" i="10"/>
  <c r="F8" i="12"/>
  <c r="I8" i="1"/>
  <c r="E22" i="14"/>
  <c r="T11" i="9"/>
  <c r="E8" i="14"/>
  <c r="U11" i="9"/>
  <c r="E11" i="10"/>
  <c r="E17" i="10"/>
  <c r="E8" i="10"/>
  <c r="E11" i="12"/>
  <c r="E8" i="12"/>
  <c r="H8" i="1"/>
  <c r="V11" i="9"/>
  <c r="W11" i="9"/>
  <c r="G8" i="1"/>
  <c r="X11" i="9"/>
  <c r="Y11" i="9"/>
  <c r="F8" i="1"/>
  <c r="Z11" i="9"/>
  <c r="AA11" i="9"/>
  <c r="E8" i="1"/>
  <c r="D8" i="1"/>
</calcChain>
</file>

<file path=xl/sharedStrings.xml><?xml version="1.0" encoding="utf-8"?>
<sst xmlns="http://schemas.openxmlformats.org/spreadsheetml/2006/main" count="123" uniqueCount="79">
  <si>
    <t>Období</t>
  </si>
  <si>
    <t>Celkem</t>
  </si>
  <si>
    <t>Účet</t>
  </si>
  <si>
    <t>Historie</t>
  </si>
  <si>
    <t>a</t>
  </si>
  <si>
    <t>211</t>
  </si>
  <si>
    <t>221</t>
  </si>
  <si>
    <t>Banky</t>
  </si>
  <si>
    <t>Pokladny</t>
  </si>
  <si>
    <t>Peníze celkem</t>
  </si>
  <si>
    <t>Peníze - vývoj</t>
  </si>
  <si>
    <t>Sklady vývoj</t>
  </si>
  <si>
    <t>Prodej po období</t>
  </si>
  <si>
    <t>Mzdy</t>
  </si>
  <si>
    <t>typ informace</t>
  </si>
  <si>
    <t xml:space="preserve">Pohledávky </t>
  </si>
  <si>
    <t>Závazky</t>
  </si>
  <si>
    <t>t</t>
  </si>
  <si>
    <t>p</t>
  </si>
  <si>
    <t>np</t>
  </si>
  <si>
    <t>c</t>
  </si>
  <si>
    <t>Rozdíl</t>
  </si>
  <si>
    <t>tb</t>
  </si>
  <si>
    <t>ab</t>
  </si>
  <si>
    <t>tr</t>
  </si>
  <si>
    <t>ar</t>
  </si>
  <si>
    <t>Účetní odpisy</t>
  </si>
  <si>
    <t>Daňové odpisy</t>
  </si>
  <si>
    <t>n</t>
  </si>
  <si>
    <t>d</t>
  </si>
  <si>
    <t>f</t>
  </si>
  <si>
    <t>g</t>
  </si>
  <si>
    <t>počet mzdových listů</t>
  </si>
  <si>
    <t>úvazky v hodinách</t>
  </si>
  <si>
    <t>fond pracovní doby</t>
  </si>
  <si>
    <t>odpracovaná doba</t>
  </si>
  <si>
    <t>hrubá mzda</t>
  </si>
  <si>
    <t>q</t>
  </si>
  <si>
    <t>Průměrná cena</t>
  </si>
  <si>
    <t>ABRA API Settings</t>
  </si>
  <si>
    <t>URL</t>
  </si>
  <si>
    <t>Username</t>
  </si>
  <si>
    <t>Password</t>
  </si>
  <si>
    <t>Max. Timeout [s]</t>
  </si>
  <si>
    <t>Max. Connection Timeout [s]</t>
  </si>
  <si>
    <t>Stav ke dni:</t>
  </si>
  <si>
    <t xml:space="preserve">(údaje v tis. Kč) </t>
  </si>
  <si>
    <t>zkratka</t>
  </si>
  <si>
    <t>Skladová cena</t>
  </si>
  <si>
    <t>Počet</t>
  </si>
  <si>
    <t>Prodejní cena bez DPH</t>
  </si>
  <si>
    <t xml:space="preserve">(údaje v tis. Kč)                        </t>
  </si>
  <si>
    <t xml:space="preserve"> Stav ke dni:</t>
  </si>
  <si>
    <t>Zaplaceno</t>
  </si>
  <si>
    <t>Nezaplaceno</t>
  </si>
  <si>
    <t>Dobropisováno</t>
  </si>
  <si>
    <t xml:space="preserve">(údaje v tis. Kč)                         </t>
  </si>
  <si>
    <t>Daňová vstupní cena</t>
  </si>
  <si>
    <t>Účetní vstupní cena</t>
  </si>
  <si>
    <t>Daňová zůstatková cena</t>
  </si>
  <si>
    <t>Účetní zůstatková cena</t>
  </si>
  <si>
    <t>(údaje v tis. Kč)</t>
  </si>
  <si>
    <t>Majetek - odpisy</t>
  </si>
  <si>
    <t>Majetek - stav</t>
  </si>
  <si>
    <t>mzdové období</t>
  </si>
  <si>
    <t>Pohyby</t>
  </si>
  <si>
    <t>(údaje v tis. Kč)              Stav ke dni:</t>
  </si>
  <si>
    <t>(údaje v tis. Kč)                Stav ke dni:</t>
  </si>
  <si>
    <t>6</t>
  </si>
  <si>
    <t>5</t>
  </si>
  <si>
    <t>Náklady</t>
  </si>
  <si>
    <t>Výnosy</t>
  </si>
  <si>
    <t>24 měsíců</t>
  </si>
  <si>
    <t>Supervisor</t>
  </si>
  <si>
    <t>http://localhost/data</t>
  </si>
  <si>
    <t>Hardware</t>
  </si>
  <si>
    <t>Software</t>
  </si>
  <si>
    <t>Skladové menu</t>
  </si>
  <si>
    <t>v3.6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</si>
</sst>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/m/yyyy;@"/>
    <numFmt numFmtId="165" formatCode="#,##0.00\ [$Kč-405];[Red]\-#,##0.00\ [$Kč-405]"/>
    <numFmt numFmtId="166" formatCode="#,##0\ _K_č"/>
    <numFmt numFmtId="167" formatCode="0.000"/>
    <numFmt numFmtId="168" formatCode="[$-405]mmmm\ yy;@"/>
    <numFmt numFmtId="169" formatCode="#,##0.000\ _K_č"/>
    <numFmt numFmtId="170" formatCode="yyyy\/mm"/>
  </numFmts>
  <fonts count="15" x14ac:knownFonts="1">
    <font>
      <sz val="10"/>
      <name val="Arial"/>
      <charset val="238"/>
    </font>
    <font>
      <sz val="8"/>
      <name val="Arial"/>
      <family val="2"/>
      <charset val="238"/>
    </font>
    <font>
      <b/>
      <sz val="10"/>
      <color rgb="FFFFFFFF"/>
      <name val="Verdana"/>
      <family val="2"/>
      <charset val="238"/>
    </font>
    <font>
      <sz val="10"/>
      <color rgb="FFFFFFFF"/>
      <name val="Verdana"/>
      <family val="2"/>
      <charset val="238"/>
    </font>
    <font>
      <sz val="10"/>
      <name val="Verdana"/>
      <family val="2"/>
      <charset val="238"/>
    </font>
    <font>
      <u/>
      <sz val="10"/>
      <color theme="10"/>
      <name val="Arial"/>
      <family val="2"/>
      <charset val="238"/>
    </font>
    <font>
      <b/>
      <sz val="10"/>
      <color theme="1" tint="0.14999847407452621"/>
      <name val="Verdana"/>
      <family val="2"/>
      <charset val="238"/>
    </font>
    <font>
      <sz val="8"/>
      <color theme="1" tint="0.14999847407452621"/>
      <name val="Verdana"/>
      <family val="2"/>
      <charset val="238"/>
    </font>
    <font>
      <b/>
      <sz val="8"/>
      <color theme="1" tint="0.14999847407452621"/>
      <name val="Verdana"/>
      <family val="2"/>
      <charset val="238"/>
    </font>
    <font>
      <sz val="8"/>
      <name val="Verdana"/>
      <family val="2"/>
      <charset val="238"/>
    </font>
    <font>
      <b/>
      <sz val="8"/>
      <name val="Verdana"/>
      <family val="2"/>
      <charset val="238"/>
    </font>
    <font>
      <b/>
      <sz val="10"/>
      <name val="Verdana"/>
      <family val="2"/>
      <charset val="238"/>
    </font>
    <font>
      <sz val="12"/>
      <name val="Verdana"/>
      <family val="2"/>
      <charset val="238"/>
    </font>
    <font>
      <b/>
      <sz val="11"/>
      <name val="Verdana"/>
      <family val="2"/>
      <charset val="238"/>
    </font>
    <font>
      <b/>
      <i/>
      <sz val="8"/>
      <name val="Verdana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B76D2"/>
        <bgColor indexed="64"/>
      </patternFill>
    </fill>
  </fills>
  <borders count="58">
    <border>
      <left/>
      <right/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thin">
        <color rgb="FFEFFAFF"/>
      </right>
      <top/>
      <bottom style="medium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medium">
        <color theme="0"/>
      </top>
      <bottom style="thin">
        <color theme="0" tint="-0.14996795556505021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 style="thin">
        <color rgb="FF2B76D2"/>
      </left>
      <right style="thin">
        <color rgb="FF2B76D2"/>
      </right>
      <top style="thin">
        <color rgb="FF2B76D2"/>
      </top>
      <bottom style="thin">
        <color rgb="FF2B76D2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/>
      <right/>
      <top style="medium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indexed="9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3743705557422"/>
      </left>
      <right/>
      <top style="medium">
        <color theme="0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medium">
        <color theme="0"/>
      </top>
      <bottom/>
      <diagonal/>
    </border>
    <border>
      <left style="medium">
        <color theme="0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83">
    <xf numFmtId="0" fontId="0" fillId="0" borderId="0" xfId="0"/>
    <xf numFmtId="0" fontId="4" fillId="0" borderId="41" xfId="0" applyFont="1" applyBorder="1"/>
    <xf numFmtId="0" fontId="3" fillId="0" borderId="41" xfId="0" applyFont="1" applyBorder="1"/>
    <xf numFmtId="0" fontId="5" fillId="0" borderId="41" xfId="1" applyBorder="1"/>
    <xf numFmtId="0" fontId="5" fillId="2" borderId="0" xfId="1" applyFill="1"/>
    <xf numFmtId="166" fontId="6" fillId="3" borderId="4" xfId="0" applyNumberFormat="1" applyFont="1" applyFill="1" applyBorder="1"/>
    <xf numFmtId="166" fontId="7" fillId="3" borderId="5" xfId="0" applyNumberFormat="1" applyFont="1" applyFill="1" applyBorder="1"/>
    <xf numFmtId="164" fontId="7" fillId="2" borderId="0" xfId="0" applyNumberFormat="1" applyFont="1" applyFill="1" applyBorder="1" applyAlignment="1">
      <alignment horizontal="right" vertical="center"/>
    </xf>
    <xf numFmtId="166" fontId="7" fillId="3" borderId="0" xfId="0" applyNumberFormat="1" applyFont="1" applyFill="1" applyBorder="1" applyAlignment="1"/>
    <xf numFmtId="0" fontId="7" fillId="3" borderId="1" xfId="0" applyFont="1" applyFill="1" applyBorder="1" applyAlignment="1"/>
    <xf numFmtId="0" fontId="7" fillId="3" borderId="0" xfId="0" applyFont="1" applyFill="1" applyBorder="1" applyAlignment="1"/>
    <xf numFmtId="165" fontId="8" fillId="3" borderId="24" xfId="0" applyNumberFormat="1" applyFont="1" applyFill="1" applyBorder="1" applyAlignment="1">
      <alignment vertical="center"/>
    </xf>
    <xf numFmtId="165" fontId="8" fillId="3" borderId="25" xfId="0" applyNumberFormat="1" applyFont="1" applyFill="1" applyBorder="1" applyAlignment="1">
      <alignment vertical="center"/>
    </xf>
    <xf numFmtId="165" fontId="9" fillId="0" borderId="3" xfId="0" applyNumberFormat="1" applyFont="1" applyFill="1" applyBorder="1" applyAlignment="1">
      <alignment horizontal="left"/>
    </xf>
    <xf numFmtId="165" fontId="10" fillId="0" borderId="3" xfId="0" applyNumberFormat="1" applyFont="1" applyFill="1" applyBorder="1" applyAlignment="1">
      <alignment horizontal="left"/>
    </xf>
    <xf numFmtId="165" fontId="11" fillId="0" borderId="3" xfId="0" applyNumberFormat="1" applyFont="1" applyFill="1" applyBorder="1" applyAlignment="1">
      <alignment horizontal="left"/>
    </xf>
    <xf numFmtId="165" fontId="4" fillId="0" borderId="3" xfId="0" applyNumberFormat="1" applyFont="1" applyFill="1" applyBorder="1" applyAlignment="1">
      <alignment horizontal="left"/>
    </xf>
    <xf numFmtId="166" fontId="6" fillId="3" borderId="5" xfId="0" applyNumberFormat="1" applyFont="1" applyFill="1" applyBorder="1"/>
    <xf numFmtId="166" fontId="7" fillId="3" borderId="0" xfId="0" applyNumberFormat="1" applyFont="1" applyFill="1" applyBorder="1" applyAlignment="1">
      <alignment horizontal="right" vertical="center"/>
    </xf>
    <xf numFmtId="166" fontId="7" fillId="3" borderId="1" xfId="0" applyNumberFormat="1" applyFont="1" applyFill="1" applyBorder="1" applyAlignment="1">
      <alignment horizontal="left"/>
    </xf>
    <xf numFmtId="166" fontId="7" fillId="3" borderId="1" xfId="0" applyNumberFormat="1" applyFont="1" applyFill="1" applyBorder="1" applyAlignment="1">
      <alignment horizontal="left" vertical="center"/>
    </xf>
    <xf numFmtId="0" fontId="12" fillId="0" borderId="3" xfId="0" applyFont="1" applyFill="1" applyBorder="1" applyAlignment="1">
      <alignment vertical="center"/>
    </xf>
    <xf numFmtId="166" fontId="9" fillId="0" borderId="3" xfId="0" applyNumberFormat="1" applyFont="1" applyFill="1" applyBorder="1"/>
    <xf numFmtId="4" fontId="4" fillId="0" borderId="3" xfId="0" applyNumberFormat="1" applyFont="1" applyFill="1" applyBorder="1"/>
    <xf numFmtId="0" fontId="4" fillId="0" borderId="3" xfId="0" applyFont="1" applyFill="1" applyBorder="1"/>
    <xf numFmtId="0" fontId="9" fillId="0" borderId="3" xfId="0" applyFont="1" applyFill="1" applyBorder="1"/>
    <xf numFmtId="166" fontId="7" fillId="3" borderId="0" xfId="0" applyNumberFormat="1" applyFont="1" applyFill="1" applyBorder="1"/>
    <xf numFmtId="164" fontId="12" fillId="0" borderId="3" xfId="0" applyNumberFormat="1" applyFont="1" applyFill="1" applyBorder="1" applyAlignment="1">
      <alignment vertical="center"/>
    </xf>
    <xf numFmtId="164" fontId="9" fillId="0" borderId="3" xfId="0" applyNumberFormat="1" applyFont="1" applyFill="1" applyBorder="1"/>
    <xf numFmtId="164" fontId="9" fillId="0" borderId="3" xfId="0" applyNumberFormat="1" applyFont="1" applyFill="1" applyBorder="1" applyAlignment="1">
      <alignment vertical="center"/>
    </xf>
    <xf numFmtId="0" fontId="12" fillId="0" borderId="3" xfId="0" applyFont="1" applyFill="1" applyBorder="1" applyAlignment="1"/>
    <xf numFmtId="166" fontId="9" fillId="0" borderId="3" xfId="0" applyNumberFormat="1" applyFont="1" applyFill="1" applyBorder="1" applyAlignment="1"/>
    <xf numFmtId="0" fontId="9" fillId="0" borderId="3" xfId="0" applyFont="1" applyFill="1" applyBorder="1" applyAlignment="1"/>
    <xf numFmtId="166" fontId="9" fillId="0" borderId="33" xfId="0" applyNumberFormat="1" applyFont="1" applyFill="1" applyBorder="1"/>
    <xf numFmtId="164" fontId="7" fillId="3" borderId="20" xfId="0" applyNumberFormat="1" applyFont="1" applyFill="1" applyBorder="1" applyAlignment="1">
      <alignment vertical="center"/>
    </xf>
    <xf numFmtId="164" fontId="7" fillId="3" borderId="21" xfId="0" applyNumberFormat="1" applyFont="1" applyFill="1" applyBorder="1" applyAlignment="1">
      <alignment vertical="center"/>
    </xf>
    <xf numFmtId="164" fontId="7" fillId="3" borderId="23" xfId="0" applyNumberFormat="1" applyFont="1" applyFill="1" applyBorder="1" applyAlignment="1">
      <alignment vertical="center"/>
    </xf>
    <xf numFmtId="164" fontId="7" fillId="3" borderId="7" xfId="0" applyNumberFormat="1" applyFont="1" applyFill="1" applyBorder="1" applyAlignment="1">
      <alignment vertical="center"/>
    </xf>
    <xf numFmtId="168" fontId="8" fillId="3" borderId="26" xfId="0" applyNumberFormat="1" applyFont="1" applyFill="1" applyBorder="1" applyAlignment="1">
      <alignment vertical="center"/>
    </xf>
    <xf numFmtId="168" fontId="8" fillId="3" borderId="27" xfId="0" applyNumberFormat="1" applyFont="1" applyFill="1" applyBorder="1" applyAlignment="1">
      <alignment vertical="center"/>
    </xf>
    <xf numFmtId="168" fontId="8" fillId="3" borderId="27" xfId="0" applyNumberFormat="1" applyFont="1" applyFill="1" applyBorder="1" applyAlignment="1">
      <alignment horizontal="right" vertical="center"/>
    </xf>
    <xf numFmtId="49" fontId="7" fillId="0" borderId="16" xfId="0" applyNumberFormat="1" applyFont="1" applyFill="1" applyBorder="1" applyAlignment="1">
      <alignment vertical="center"/>
    </xf>
    <xf numFmtId="49" fontId="7" fillId="0" borderId="43" xfId="0" applyNumberFormat="1" applyFont="1" applyFill="1" applyBorder="1" applyAlignment="1">
      <alignment vertical="center"/>
    </xf>
    <xf numFmtId="49" fontId="7" fillId="0" borderId="17" xfId="0" applyNumberFormat="1" applyFont="1" applyFill="1" applyBorder="1" applyAlignment="1">
      <alignment vertical="center"/>
    </xf>
    <xf numFmtId="3" fontId="7" fillId="0" borderId="17" xfId="0" applyNumberFormat="1" applyFont="1" applyFill="1" applyBorder="1" applyAlignment="1">
      <alignment vertical="center"/>
    </xf>
    <xf numFmtId="49" fontId="7" fillId="0" borderId="18" xfId="0" applyNumberFormat="1" applyFont="1" applyFill="1" applyBorder="1" applyAlignment="1">
      <alignment vertical="center"/>
    </xf>
    <xf numFmtId="49" fontId="7" fillId="0" borderId="28" xfId="0" applyNumberFormat="1" applyFont="1" applyFill="1" applyBorder="1" applyAlignment="1">
      <alignment vertical="center"/>
    </xf>
    <xf numFmtId="49" fontId="7" fillId="0" borderId="19" xfId="0" applyNumberFormat="1" applyFont="1" applyFill="1" applyBorder="1" applyAlignment="1">
      <alignment vertical="center"/>
    </xf>
    <xf numFmtId="3" fontId="8" fillId="3" borderId="10" xfId="0" applyNumberFormat="1" applyFont="1" applyFill="1" applyBorder="1" applyAlignment="1">
      <alignment vertical="center"/>
    </xf>
    <xf numFmtId="3" fontId="8" fillId="3" borderId="11" xfId="0" applyNumberFormat="1" applyFont="1" applyFill="1" applyBorder="1" applyAlignment="1">
      <alignment vertical="center"/>
    </xf>
    <xf numFmtId="165" fontId="8" fillId="3" borderId="0" xfId="0" applyNumberFormat="1" applyFont="1" applyFill="1" applyBorder="1" applyAlignment="1">
      <alignment horizontal="left" vertical="center"/>
    </xf>
    <xf numFmtId="3" fontId="8" fillId="3" borderId="0" xfId="0" applyNumberFormat="1" applyFont="1" applyFill="1" applyBorder="1" applyAlignment="1">
      <alignment vertical="center"/>
    </xf>
    <xf numFmtId="165" fontId="9" fillId="0" borderId="3" xfId="0" applyNumberFormat="1" applyFont="1" applyFill="1" applyBorder="1" applyAlignment="1">
      <alignment horizontal="left" vertical="center"/>
    </xf>
    <xf numFmtId="166" fontId="9" fillId="0" borderId="3" xfId="0" applyNumberFormat="1" applyFont="1" applyFill="1" applyBorder="1" applyAlignment="1">
      <alignment vertical="center"/>
    </xf>
    <xf numFmtId="4" fontId="4" fillId="0" borderId="3" xfId="0" applyNumberFormat="1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49" fontId="7" fillId="0" borderId="34" xfId="0" applyNumberFormat="1" applyFont="1" applyFill="1" applyBorder="1" applyAlignment="1">
      <alignment vertical="center"/>
    </xf>
    <xf numFmtId="49" fontId="7" fillId="0" borderId="44" xfId="0" applyNumberFormat="1" applyFont="1" applyFill="1" applyBorder="1" applyAlignment="1">
      <alignment vertical="center"/>
    </xf>
    <xf numFmtId="49" fontId="7" fillId="0" borderId="36" xfId="0" applyNumberFormat="1" applyFont="1" applyFill="1" applyBorder="1" applyAlignment="1">
      <alignment vertical="center"/>
    </xf>
    <xf numFmtId="3" fontId="7" fillId="0" borderId="35" xfId="0" applyNumberFormat="1" applyFont="1" applyFill="1" applyBorder="1" applyAlignment="1">
      <alignment vertical="center"/>
    </xf>
    <xf numFmtId="49" fontId="7" fillId="0" borderId="45" xfId="0" applyNumberFormat="1" applyFont="1" applyFill="1" applyBorder="1" applyAlignment="1">
      <alignment vertical="center"/>
    </xf>
    <xf numFmtId="49" fontId="7" fillId="0" borderId="37" xfId="0" applyNumberFormat="1" applyFont="1" applyFill="1" applyBorder="1" applyAlignment="1">
      <alignment vertical="center"/>
    </xf>
    <xf numFmtId="3" fontId="8" fillId="3" borderId="14" xfId="0" applyNumberFormat="1" applyFont="1" applyFill="1" applyBorder="1" applyAlignment="1">
      <alignment vertical="center"/>
    </xf>
    <xf numFmtId="166" fontId="6" fillId="3" borderId="5" xfId="0" applyNumberFormat="1" applyFont="1" applyFill="1" applyBorder="1" applyAlignment="1">
      <alignment vertical="center"/>
    </xf>
    <xf numFmtId="166" fontId="7" fillId="3" borderId="1" xfId="0" applyNumberFormat="1" applyFont="1" applyFill="1" applyBorder="1" applyAlignment="1">
      <alignment horizontal="right" vertical="center"/>
    </xf>
    <xf numFmtId="166" fontId="9" fillId="0" borderId="3" xfId="0" applyNumberFormat="1" applyFont="1" applyFill="1" applyBorder="1" applyAlignment="1">
      <alignment horizontal="right" vertical="center"/>
    </xf>
    <xf numFmtId="0" fontId="9" fillId="0" borderId="3" xfId="0" applyFont="1" applyFill="1" applyBorder="1" applyAlignment="1">
      <alignment vertical="center"/>
    </xf>
    <xf numFmtId="166" fontId="6" fillId="3" borderId="4" xfId="0" applyNumberFormat="1" applyFont="1" applyFill="1" applyBorder="1" applyAlignment="1">
      <alignment vertical="center"/>
    </xf>
    <xf numFmtId="166" fontId="7" fillId="3" borderId="5" xfId="0" applyNumberFormat="1" applyFont="1" applyFill="1" applyBorder="1" applyAlignment="1">
      <alignment vertical="center"/>
    </xf>
    <xf numFmtId="166" fontId="7" fillId="3" borderId="6" xfId="0" applyNumberFormat="1" applyFont="1" applyFill="1" applyBorder="1" applyAlignment="1">
      <alignment vertical="center"/>
    </xf>
    <xf numFmtId="166" fontId="7" fillId="3" borderId="0" xfId="0" applyNumberFormat="1" applyFont="1" applyFill="1" applyBorder="1" applyAlignment="1">
      <alignment vertical="center"/>
    </xf>
    <xf numFmtId="166" fontId="7" fillId="3" borderId="2" xfId="0" applyNumberFormat="1" applyFont="1" applyFill="1" applyBorder="1" applyAlignment="1">
      <alignment vertical="center"/>
    </xf>
    <xf numFmtId="166" fontId="7" fillId="3" borderId="1" xfId="0" applyNumberFormat="1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166" fontId="7" fillId="3" borderId="13" xfId="0" applyNumberFormat="1" applyFont="1" applyFill="1" applyBorder="1" applyAlignment="1">
      <alignment vertical="center"/>
    </xf>
    <xf numFmtId="168" fontId="8" fillId="3" borderId="30" xfId="0" applyNumberFormat="1" applyFont="1" applyFill="1" applyBorder="1" applyAlignment="1">
      <alignment horizontal="right" vertical="center"/>
    </xf>
    <xf numFmtId="3" fontId="8" fillId="0" borderId="29" xfId="0" applyNumberFormat="1" applyFont="1" applyFill="1" applyBorder="1" applyAlignment="1">
      <alignment vertical="center"/>
    </xf>
    <xf numFmtId="169" fontId="9" fillId="0" borderId="3" xfId="0" applyNumberFormat="1" applyFont="1" applyFill="1" applyBorder="1" applyAlignment="1">
      <alignment vertical="center"/>
    </xf>
    <xf numFmtId="167" fontId="9" fillId="0" borderId="3" xfId="0" applyNumberFormat="1" applyFont="1" applyFill="1" applyBorder="1" applyAlignment="1">
      <alignment vertical="center"/>
    </xf>
    <xf numFmtId="0" fontId="12" fillId="0" borderId="3" xfId="0" applyFont="1" applyFill="1" applyBorder="1" applyAlignment="1">
      <alignment horizontal="right" vertical="center"/>
    </xf>
    <xf numFmtId="164" fontId="12" fillId="0" borderId="3" xfId="0" applyNumberFormat="1" applyFont="1" applyFill="1" applyBorder="1" applyAlignment="1">
      <alignment horizontal="right" vertical="center"/>
    </xf>
    <xf numFmtId="164" fontId="9" fillId="0" borderId="3" xfId="0" applyNumberFormat="1" applyFont="1" applyFill="1" applyBorder="1" applyAlignment="1">
      <alignment horizontal="right" vertical="center"/>
    </xf>
    <xf numFmtId="165" fontId="9" fillId="0" borderId="3" xfId="0" applyNumberFormat="1" applyFont="1" applyFill="1" applyBorder="1" applyAlignment="1">
      <alignment horizontal="right" vertical="center"/>
    </xf>
    <xf numFmtId="4" fontId="4" fillId="0" borderId="3" xfId="0" applyNumberFormat="1" applyFont="1" applyFill="1" applyBorder="1" applyAlignment="1">
      <alignment horizontal="right" vertical="center"/>
    </xf>
    <xf numFmtId="0" fontId="4" fillId="0" borderId="3" xfId="0" applyFont="1" applyFill="1" applyBorder="1" applyAlignment="1">
      <alignment horizontal="right" vertical="center"/>
    </xf>
    <xf numFmtId="0" fontId="9" fillId="0" borderId="3" xfId="0" applyFont="1" applyFill="1" applyBorder="1" applyAlignment="1">
      <alignment horizontal="right" vertical="center"/>
    </xf>
    <xf numFmtId="166" fontId="7" fillId="3" borderId="5" xfId="0" applyNumberFormat="1" applyFont="1" applyFill="1" applyBorder="1" applyAlignment="1">
      <alignment horizontal="right" vertical="center"/>
    </xf>
    <xf numFmtId="164" fontId="7" fillId="3" borderId="20" xfId="0" applyNumberFormat="1" applyFont="1" applyFill="1" applyBorder="1" applyAlignment="1">
      <alignment horizontal="right" vertical="center"/>
    </xf>
    <xf numFmtId="164" fontId="7" fillId="3" borderId="21" xfId="0" applyNumberFormat="1" applyFont="1" applyFill="1" applyBorder="1" applyAlignment="1">
      <alignment horizontal="right" vertical="center"/>
    </xf>
    <xf numFmtId="164" fontId="7" fillId="3" borderId="23" xfId="0" applyNumberFormat="1" applyFont="1" applyFill="1" applyBorder="1" applyAlignment="1">
      <alignment horizontal="right" vertical="center"/>
    </xf>
    <xf numFmtId="164" fontId="7" fillId="3" borderId="7" xfId="0" applyNumberFormat="1" applyFont="1" applyFill="1" applyBorder="1" applyAlignment="1">
      <alignment horizontal="right" vertical="center"/>
    </xf>
    <xf numFmtId="168" fontId="8" fillId="3" borderId="26" xfId="0" applyNumberFormat="1" applyFont="1" applyFill="1" applyBorder="1" applyAlignment="1">
      <alignment horizontal="right" vertical="center"/>
    </xf>
    <xf numFmtId="3" fontId="7" fillId="0" borderId="17" xfId="0" applyNumberFormat="1" applyFont="1" applyFill="1" applyBorder="1" applyAlignment="1">
      <alignment horizontal="right" vertical="center"/>
    </xf>
    <xf numFmtId="4" fontId="9" fillId="0" borderId="3" xfId="0" applyNumberFormat="1" applyFont="1" applyFill="1" applyBorder="1" applyAlignment="1">
      <alignment horizontal="right" vertical="center"/>
    </xf>
    <xf numFmtId="3" fontId="8" fillId="3" borderId="10" xfId="0" applyNumberFormat="1" applyFont="1" applyFill="1" applyBorder="1" applyAlignment="1">
      <alignment horizontal="right" vertical="center"/>
    </xf>
    <xf numFmtId="3" fontId="8" fillId="3" borderId="0" xfId="0" applyNumberFormat="1" applyFont="1" applyFill="1" applyBorder="1" applyAlignment="1">
      <alignment horizontal="right" vertical="center"/>
    </xf>
    <xf numFmtId="165" fontId="10" fillId="0" borderId="3" xfId="0" applyNumberFormat="1" applyFont="1" applyFill="1" applyBorder="1" applyAlignment="1">
      <alignment horizontal="right" vertical="center"/>
    </xf>
    <xf numFmtId="165" fontId="11" fillId="0" borderId="3" xfId="0" applyNumberFormat="1" applyFont="1" applyFill="1" applyBorder="1" applyAlignment="1">
      <alignment horizontal="right" vertical="center"/>
    </xf>
    <xf numFmtId="165" fontId="4" fillId="0" borderId="3" xfId="0" applyNumberFormat="1" applyFont="1" applyFill="1" applyBorder="1" applyAlignment="1">
      <alignment horizontal="right" vertical="center"/>
    </xf>
    <xf numFmtId="165" fontId="8" fillId="3" borderId="42" xfId="0" applyNumberFormat="1" applyFont="1" applyFill="1" applyBorder="1" applyAlignment="1">
      <alignment horizontal="left" vertical="center"/>
    </xf>
    <xf numFmtId="165" fontId="8" fillId="3" borderId="42" xfId="0" applyNumberFormat="1" applyFont="1" applyFill="1" applyBorder="1" applyAlignment="1">
      <alignment vertical="center"/>
    </xf>
    <xf numFmtId="165" fontId="8" fillId="3" borderId="42" xfId="0" applyNumberFormat="1" applyFont="1" applyFill="1" applyBorder="1" applyAlignment="1">
      <alignment horizontal="left" vertical="center"/>
    </xf>
    <xf numFmtId="166" fontId="6" fillId="3" borderId="4" xfId="0" applyNumberFormat="1" applyFont="1" applyFill="1" applyBorder="1" applyAlignment="1">
      <alignment horizontal="left" vertical="center"/>
    </xf>
    <xf numFmtId="166" fontId="6" fillId="3" borderId="5" xfId="0" applyNumberFormat="1" applyFont="1" applyFill="1" applyBorder="1" applyAlignment="1">
      <alignment horizontal="left" vertical="center"/>
    </xf>
    <xf numFmtId="166" fontId="7" fillId="3" borderId="5" xfId="0" applyNumberFormat="1" applyFont="1" applyFill="1" applyBorder="1" applyAlignment="1">
      <alignment horizontal="left" vertical="center"/>
    </xf>
    <xf numFmtId="166" fontId="7" fillId="3" borderId="0" xfId="0" applyNumberFormat="1" applyFont="1" applyFill="1" applyBorder="1" applyAlignment="1">
      <alignment horizontal="left" vertical="center"/>
    </xf>
    <xf numFmtId="164" fontId="7" fillId="2" borderId="0" xfId="0" applyNumberFormat="1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3" borderId="0" xfId="0" applyFont="1" applyFill="1" applyBorder="1" applyAlignment="1">
      <alignment horizontal="left" vertical="center"/>
    </xf>
    <xf numFmtId="165" fontId="8" fillId="3" borderId="24" xfId="0" applyNumberFormat="1" applyFont="1" applyFill="1" applyBorder="1" applyAlignment="1">
      <alignment horizontal="left" vertical="center"/>
    </xf>
    <xf numFmtId="165" fontId="8" fillId="3" borderId="25" xfId="0" applyNumberFormat="1" applyFont="1" applyFill="1" applyBorder="1" applyAlignment="1">
      <alignment horizontal="left" vertical="center"/>
    </xf>
    <xf numFmtId="49" fontId="7" fillId="0" borderId="16" xfId="0" applyNumberFormat="1" applyFont="1" applyFill="1" applyBorder="1" applyAlignment="1">
      <alignment horizontal="left" vertical="center"/>
    </xf>
    <xf numFmtId="49" fontId="7" fillId="0" borderId="43" xfId="0" applyNumberFormat="1" applyFont="1" applyFill="1" applyBorder="1" applyAlignment="1">
      <alignment horizontal="left" vertical="center"/>
    </xf>
    <xf numFmtId="49" fontId="7" fillId="0" borderId="17" xfId="0" applyNumberFormat="1" applyFont="1" applyFill="1" applyBorder="1" applyAlignment="1">
      <alignment horizontal="left" vertical="center"/>
    </xf>
    <xf numFmtId="49" fontId="7" fillId="0" borderId="18" xfId="0" applyNumberFormat="1" applyFont="1" applyFill="1" applyBorder="1" applyAlignment="1">
      <alignment horizontal="left" vertical="center"/>
    </xf>
    <xf numFmtId="49" fontId="7" fillId="0" borderId="28" xfId="0" applyNumberFormat="1" applyFont="1" applyFill="1" applyBorder="1" applyAlignment="1">
      <alignment horizontal="left" vertical="center"/>
    </xf>
    <xf numFmtId="49" fontId="7" fillId="0" borderId="19" xfId="0" applyNumberFormat="1" applyFont="1" applyFill="1" applyBorder="1" applyAlignment="1">
      <alignment horizontal="left" vertical="center"/>
    </xf>
    <xf numFmtId="165" fontId="10" fillId="0" borderId="3" xfId="0" applyNumberFormat="1" applyFont="1" applyFill="1" applyBorder="1" applyAlignment="1">
      <alignment horizontal="left" vertical="center"/>
    </xf>
    <xf numFmtId="0" fontId="12" fillId="0" borderId="3" xfId="0" applyFont="1" applyFill="1" applyBorder="1" applyAlignment="1">
      <alignment horizontal="left" vertical="center"/>
    </xf>
    <xf numFmtId="164" fontId="12" fillId="0" borderId="3" xfId="0" applyNumberFormat="1" applyFont="1" applyFill="1" applyBorder="1" applyAlignment="1">
      <alignment horizontal="left" vertical="center"/>
    </xf>
    <xf numFmtId="164" fontId="9" fillId="0" borderId="3" xfId="0" applyNumberFormat="1" applyFont="1" applyFill="1" applyBorder="1" applyAlignment="1">
      <alignment horizontal="left" vertical="center"/>
    </xf>
    <xf numFmtId="166" fontId="9" fillId="0" borderId="3" xfId="0" applyNumberFormat="1" applyFont="1" applyFill="1" applyBorder="1" applyAlignment="1">
      <alignment horizontal="left" vertical="center"/>
    </xf>
    <xf numFmtId="4" fontId="4" fillId="0" borderId="3" xfId="0" applyNumberFormat="1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164" fontId="7" fillId="3" borderId="20" xfId="0" applyNumberFormat="1" applyFont="1" applyFill="1" applyBorder="1" applyAlignment="1">
      <alignment horizontal="left" vertical="center"/>
    </xf>
    <xf numFmtId="164" fontId="7" fillId="3" borderId="21" xfId="0" applyNumberFormat="1" applyFont="1" applyFill="1" applyBorder="1" applyAlignment="1">
      <alignment horizontal="left" vertical="center"/>
    </xf>
    <xf numFmtId="164" fontId="7" fillId="3" borderId="23" xfId="0" applyNumberFormat="1" applyFont="1" applyFill="1" applyBorder="1" applyAlignment="1">
      <alignment horizontal="left" vertical="center"/>
    </xf>
    <xf numFmtId="164" fontId="7" fillId="3" borderId="7" xfId="0" applyNumberFormat="1" applyFont="1" applyFill="1" applyBorder="1" applyAlignment="1">
      <alignment horizontal="left" vertical="center"/>
    </xf>
    <xf numFmtId="168" fontId="8" fillId="3" borderId="26" xfId="0" applyNumberFormat="1" applyFont="1" applyFill="1" applyBorder="1" applyAlignment="1">
      <alignment horizontal="left" vertical="center"/>
    </xf>
    <xf numFmtId="168" fontId="8" fillId="3" borderId="27" xfId="0" applyNumberFormat="1" applyFont="1" applyFill="1" applyBorder="1" applyAlignment="1">
      <alignment horizontal="left" vertical="center"/>
    </xf>
    <xf numFmtId="3" fontId="7" fillId="0" borderId="17" xfId="0" applyNumberFormat="1" applyFont="1" applyFill="1" applyBorder="1" applyAlignment="1">
      <alignment horizontal="left" vertical="center"/>
    </xf>
    <xf numFmtId="4" fontId="9" fillId="0" borderId="3" xfId="0" applyNumberFormat="1" applyFont="1" applyFill="1" applyBorder="1" applyAlignment="1">
      <alignment horizontal="left" vertical="center"/>
    </xf>
    <xf numFmtId="49" fontId="7" fillId="0" borderId="38" xfId="0" applyNumberFormat="1" applyFont="1" applyFill="1" applyBorder="1" applyAlignment="1">
      <alignment horizontal="left" vertical="center"/>
    </xf>
    <xf numFmtId="49" fontId="7" fillId="0" borderId="46" xfId="0" applyNumberFormat="1" applyFont="1" applyFill="1" applyBorder="1" applyAlignment="1">
      <alignment horizontal="left" vertical="center"/>
    </xf>
    <xf numFmtId="49" fontId="7" fillId="0" borderId="39" xfId="0" applyNumberFormat="1" applyFont="1" applyFill="1" applyBorder="1" applyAlignment="1">
      <alignment horizontal="left" vertical="center"/>
    </xf>
    <xf numFmtId="3" fontId="8" fillId="3" borderId="0" xfId="0" applyNumberFormat="1" applyFont="1" applyFill="1" applyBorder="1" applyAlignment="1">
      <alignment horizontal="left" vertical="center"/>
    </xf>
    <xf numFmtId="165" fontId="13" fillId="0" borderId="3" xfId="0" applyNumberFormat="1" applyFont="1" applyFill="1" applyBorder="1" applyAlignment="1">
      <alignment horizontal="left" vertical="center"/>
    </xf>
    <xf numFmtId="165" fontId="11" fillId="0" borderId="3" xfId="0" applyNumberFormat="1" applyFont="1" applyFill="1" applyBorder="1" applyAlignment="1">
      <alignment horizontal="left" vertical="center"/>
    </xf>
    <xf numFmtId="3" fontId="7" fillId="0" borderId="39" xfId="0" applyNumberFormat="1" applyFont="1" applyFill="1" applyBorder="1" applyAlignment="1">
      <alignment vertical="center"/>
    </xf>
    <xf numFmtId="166" fontId="9" fillId="0" borderId="33" xfId="0" applyNumberFormat="1" applyFont="1" applyFill="1" applyBorder="1" applyAlignment="1">
      <alignment vertical="center"/>
    </xf>
    <xf numFmtId="49" fontId="7" fillId="0" borderId="38" xfId="0" applyNumberFormat="1" applyFont="1" applyFill="1" applyBorder="1" applyAlignment="1">
      <alignment vertical="center"/>
    </xf>
    <xf numFmtId="49" fontId="7" fillId="0" borderId="40" xfId="0" applyNumberFormat="1" applyFont="1" applyFill="1" applyBorder="1" applyAlignment="1">
      <alignment vertical="center"/>
    </xf>
    <xf numFmtId="165" fontId="14" fillId="0" borderId="3" xfId="0" applyNumberFormat="1" applyFont="1" applyFill="1" applyBorder="1" applyAlignment="1">
      <alignment horizontal="left" vertical="center"/>
    </xf>
    <xf numFmtId="0" fontId="8" fillId="3" borderId="6" xfId="0" applyNumberFormat="1" applyFont="1" applyFill="1" applyBorder="1" applyAlignment="1">
      <alignment horizontal="center" vertical="center"/>
    </xf>
    <xf numFmtId="0" fontId="8" fillId="3" borderId="13" xfId="0" applyNumberFormat="1" applyFont="1" applyFill="1" applyBorder="1" applyAlignment="1">
      <alignment horizontal="center" vertical="center"/>
    </xf>
    <xf numFmtId="170" fontId="8" fillId="3" borderId="26" xfId="0" applyNumberFormat="1" applyFont="1" applyFill="1" applyBorder="1" applyAlignment="1">
      <alignment vertical="center"/>
    </xf>
    <xf numFmtId="49" fontId="8" fillId="0" borderId="17" xfId="0" applyNumberFormat="1" applyFont="1" applyFill="1" applyBorder="1" applyAlignment="1">
      <alignment horizontal="left" vertical="center"/>
    </xf>
    <xf numFmtId="49" fontId="8" fillId="0" borderId="39" xfId="0" applyNumberFormat="1" applyFont="1" applyFill="1" applyBorder="1" applyAlignment="1">
      <alignment horizontal="left" vertical="center"/>
    </xf>
    <xf numFmtId="49" fontId="8" fillId="0" borderId="19" xfId="0" applyNumberFormat="1" applyFont="1" applyFill="1" applyBorder="1" applyAlignment="1">
      <alignment horizontal="left" vertical="center"/>
    </xf>
    <xf numFmtId="3" fontId="7" fillId="0" borderId="47" xfId="0" applyNumberFormat="1" applyFont="1" applyFill="1" applyBorder="1" applyAlignment="1">
      <alignment vertical="center"/>
    </xf>
    <xf numFmtId="3" fontId="7" fillId="0" borderId="48" xfId="0" applyNumberFormat="1" applyFont="1" applyFill="1" applyBorder="1" applyAlignment="1">
      <alignment vertical="center"/>
    </xf>
    <xf numFmtId="3" fontId="7" fillId="0" borderId="49" xfId="0" applyNumberFormat="1" applyFont="1" applyFill="1" applyBorder="1" applyAlignment="1">
      <alignment vertical="center"/>
    </xf>
    <xf numFmtId="3" fontId="8" fillId="3" borderId="15" xfId="0" applyNumberFormat="1" applyFont="1" applyFill="1" applyBorder="1" applyAlignment="1">
      <alignment vertical="center"/>
    </xf>
    <xf numFmtId="3" fontId="7" fillId="0" borderId="50" xfId="0" applyNumberFormat="1" applyFont="1" applyFill="1" applyBorder="1" applyAlignment="1">
      <alignment vertical="center"/>
    </xf>
    <xf numFmtId="3" fontId="7" fillId="0" borderId="0" xfId="0" applyNumberFormat="1" applyFont="1" applyFill="1" applyBorder="1" applyAlignment="1">
      <alignment vertical="center"/>
    </xf>
    <xf numFmtId="3" fontId="7" fillId="0" borderId="51" xfId="0" applyNumberFormat="1" applyFont="1" applyFill="1" applyBorder="1" applyAlignment="1">
      <alignment vertical="center"/>
    </xf>
    <xf numFmtId="168" fontId="8" fillId="3" borderId="53" xfId="0" applyNumberFormat="1" applyFont="1" applyFill="1" applyBorder="1" applyAlignment="1">
      <alignment horizontal="right" vertical="center"/>
    </xf>
    <xf numFmtId="3" fontId="7" fillId="0" borderId="52" xfId="0" applyNumberFormat="1" applyFont="1" applyFill="1" applyBorder="1" applyAlignment="1">
      <alignment vertical="center"/>
    </xf>
    <xf numFmtId="49" fontId="7" fillId="0" borderId="54" xfId="0" applyNumberFormat="1" applyFont="1" applyFill="1" applyBorder="1" applyAlignment="1">
      <alignment vertical="center"/>
    </xf>
    <xf numFmtId="3" fontId="7" fillId="0" borderId="55" xfId="0" applyNumberFormat="1" applyFont="1" applyFill="1" applyBorder="1" applyAlignment="1">
      <alignment vertical="center"/>
    </xf>
    <xf numFmtId="168" fontId="8" fillId="3" borderId="56" xfId="0" applyNumberFormat="1" applyFont="1" applyFill="1" applyBorder="1" applyAlignment="1">
      <alignment vertical="center"/>
    </xf>
    <xf numFmtId="3" fontId="7" fillId="0" borderId="57" xfId="0" applyNumberFormat="1" applyFont="1" applyFill="1" applyBorder="1" applyAlignment="1">
      <alignment vertical="center"/>
    </xf>
    <xf numFmtId="14" fontId="9" fillId="0" borderId="3" xfId="0" applyNumberFormat="1" applyFont="1" applyFill="1" applyBorder="1" applyAlignment="1">
      <alignment vertical="center"/>
    </xf>
    <xf numFmtId="0" fontId="2" fillId="4" borderId="41" xfId="0" applyFont="1" applyFill="1" applyBorder="1" applyAlignment="1">
      <alignment horizontal="center"/>
    </xf>
    <xf numFmtId="164" fontId="7" fillId="3" borderId="31" xfId="0" applyNumberFormat="1" applyFont="1" applyFill="1" applyBorder="1" applyAlignment="1">
      <alignment horizontal="center" vertical="center"/>
    </xf>
    <xf numFmtId="164" fontId="7" fillId="3" borderId="32" xfId="0" applyNumberFormat="1" applyFont="1" applyFill="1" applyBorder="1" applyAlignment="1">
      <alignment horizontal="center" vertical="center"/>
    </xf>
    <xf numFmtId="0" fontId="8" fillId="3" borderId="4" xfId="0" applyNumberFormat="1" applyFont="1" applyFill="1" applyBorder="1" applyAlignment="1">
      <alignment horizontal="center" vertical="center"/>
    </xf>
    <xf numFmtId="0" fontId="8" fillId="3" borderId="6" xfId="0" applyNumberFormat="1" applyFont="1" applyFill="1" applyBorder="1" applyAlignment="1">
      <alignment horizontal="center" vertical="center"/>
    </xf>
    <xf numFmtId="0" fontId="8" fillId="3" borderId="12" xfId="0" applyNumberFormat="1" applyFont="1" applyFill="1" applyBorder="1" applyAlignment="1">
      <alignment horizontal="center" vertical="center"/>
    </xf>
    <xf numFmtId="0" fontId="8" fillId="3" borderId="13" xfId="0" applyNumberFormat="1" applyFont="1" applyFill="1" applyBorder="1" applyAlignment="1">
      <alignment horizontal="center" vertical="center"/>
    </xf>
    <xf numFmtId="165" fontId="8" fillId="3" borderId="8" xfId="0" applyNumberFormat="1" applyFont="1" applyFill="1" applyBorder="1" applyAlignment="1">
      <alignment horizontal="left" vertical="center"/>
    </xf>
    <xf numFmtId="165" fontId="8" fillId="3" borderId="9" xfId="0" applyNumberFormat="1" applyFont="1" applyFill="1" applyBorder="1" applyAlignment="1">
      <alignment horizontal="left" vertical="center"/>
    </xf>
    <xf numFmtId="165" fontId="8" fillId="3" borderId="42" xfId="0" applyNumberFormat="1" applyFont="1" applyFill="1" applyBorder="1" applyAlignment="1">
      <alignment horizontal="left" vertical="center"/>
    </xf>
    <xf numFmtId="0" fontId="8" fillId="3" borderId="5" xfId="0" applyNumberFormat="1" applyFont="1" applyFill="1" applyBorder="1" applyAlignment="1">
      <alignment horizontal="center" vertical="center"/>
    </xf>
    <xf numFmtId="0" fontId="8" fillId="3" borderId="22" xfId="0" applyNumberFormat="1" applyFont="1" applyFill="1" applyBorder="1" applyAlignment="1">
      <alignment horizontal="center" vertical="center"/>
    </xf>
    <xf numFmtId="0" fontId="8" fillId="3" borderId="4" xfId="0" applyNumberFormat="1" applyFont="1" applyFill="1" applyBorder="1" applyAlignment="1">
      <alignment horizontal="left" vertical="center"/>
    </xf>
    <xf numFmtId="0" fontId="8" fillId="3" borderId="5" xfId="0" applyNumberFormat="1" applyFont="1" applyFill="1" applyBorder="1" applyAlignment="1">
      <alignment horizontal="left" vertical="center"/>
    </xf>
    <xf numFmtId="0" fontId="8" fillId="3" borderId="6" xfId="0" applyNumberFormat="1" applyFont="1" applyFill="1" applyBorder="1" applyAlignment="1">
      <alignment horizontal="left" vertical="center"/>
    </xf>
    <xf numFmtId="0" fontId="8" fillId="3" borderId="12" xfId="0" applyNumberFormat="1" applyFont="1" applyFill="1" applyBorder="1" applyAlignment="1">
      <alignment horizontal="left" vertical="center"/>
    </xf>
    <xf numFmtId="0" fontId="8" fillId="3" borderId="22" xfId="0" applyNumberFormat="1" applyFont="1" applyFill="1" applyBorder="1" applyAlignment="1">
      <alignment horizontal="left" vertical="center"/>
    </xf>
    <xf numFmtId="0" fontId="8" fillId="3" borderId="13" xfId="0" applyNumberFormat="1" applyFont="1" applyFill="1" applyBorder="1" applyAlignment="1">
      <alignment horizontal="left" vertical="center"/>
    </xf>
  </cellXfs>
  <cellStyles count="2">
    <cellStyle name="Hypertextový odkaz" xfId="1" builtinId="8"/>
    <cellStyle name="Normální" xfId="0" builtinId="0"/>
  </cellStyles>
  <dxfs count="0"/>
  <tableStyles count="0" defaultTableStyle="TableStyleMedium9" defaultPivotStyle="PivotStyleLight16"/>
  <colors>
    <mruColors>
      <color rgb="FF006AAD"/>
      <color rgb="FF7B7B7B"/>
      <color rgb="FFEC7600"/>
      <color rgb="FFE10080"/>
      <color rgb="FFB20277"/>
      <color rgb="FFFEA4E0"/>
      <color rgb="FFD9F5FF"/>
      <color rgb="FFF4DD9E"/>
      <color rgb="FFFCF5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Náklady a výnosy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4593998630806597E-2"/>
          <c:y val="8.444843441816749E-2"/>
          <c:w val="0.96921454058444101"/>
          <c:h val="0.690133724779745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'Náklady a výnosy'!$B$9</c:f>
              <c:strCache>
                <c:ptCount val="1"/>
                <c:pt idx="0">
                  <c:v>Náklady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'Náklady a výnosy'!$D$8:$AA$8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'Náklady a výnosy'!$D$9:$AA$9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A3A-462A-B577-D323344000B2}"/>
            </c:ext>
          </c:extLst>
        </c:ser>
        <c:ser>
          <c:idx val="1"/>
          <c:order val="1"/>
          <c:tx>
            <c:strRef>
              <c:f>'Náklady a výnosy'!$B$10</c:f>
              <c:strCache>
                <c:ptCount val="1"/>
                <c:pt idx="0">
                  <c:v>Výnosy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'Náklady a výnosy'!$D$8:$AA$8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'Náklady a výnosy'!$D$10:$AA$10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3A-462A-B577-D32334400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4868272"/>
        <c:axId val="634871224"/>
      </c:barChart>
      <c:dateAx>
        <c:axId val="634868272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71224"/>
        <c:crosses val="autoZero"/>
        <c:auto val="1"/>
        <c:lblOffset val="100"/>
        <c:baseTimeUnit val="months"/>
      </c:dateAx>
      <c:valAx>
        <c:axId val="634871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6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Celkově</a:t>
            </a:r>
            <a:r>
              <a:rPr lang="cs-CZ" baseline="0"/>
              <a:t> za období</a:t>
            </a:r>
            <a:endParaRPr lang="cs-C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'Náklady a výnosy'!$B$9</c:f>
              <c:strCache>
                <c:ptCount val="1"/>
                <c:pt idx="0">
                  <c:v>Náklady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strRef>
              <c:f>'Náklady a výnosy'!$AB$8</c:f>
              <c:strCache>
                <c:ptCount val="1"/>
                <c:pt idx="0">
                  <c:v>24 měsíců</c:v>
                </c:pt>
              </c:strCache>
            </c:strRef>
          </c:cat>
          <c:val>
            <c:numRef>
              <c:f>'Náklady a výnosy'!$AB$9</c:f>
              <c:numCache>
                <c:formatCode>#,##0</c:formatCode>
                <c:ptCount val="1"/>
                <c:pt idx="0">
                  <c:v>-2.4000000000000014E-2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D8-4D7F-BC7C-EA78A78ADBE1}"/>
            </c:ext>
          </c:extLst>
        </c:ser>
        <c:ser>
          <c:idx val="1"/>
          <c:order val="1"/>
          <c:tx>
            <c:strRef>
              <c:f>'Náklady a výnosy'!$B$10</c:f>
              <c:strCache>
                <c:ptCount val="1"/>
                <c:pt idx="0">
                  <c:v>Výnosy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AA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9370-450C-B752-8FA5E910FA44}"/>
              </c:ext>
            </c:extLst>
          </c:dPt>
          <c:cat>
            <c:strRef>
              <c:f>'Náklady a výnosy'!$AB$8</c:f>
              <c:strCache>
                <c:ptCount val="1"/>
                <c:pt idx="0">
                  <c:v>24 měsíců</c:v>
                </c:pt>
              </c:strCache>
            </c:strRef>
          </c:cat>
          <c:val>
            <c:numRef>
              <c:f>'Náklady a výnosy'!$AB$10</c:f>
              <c:numCache>
                <c:formatCode>#,##0</c:formatCode>
                <c:ptCount val="1"/>
                <c:pt idx="0">
                  <c:v>-2.2000000000000013E-2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D8-4D7F-BC7C-EA78A78AD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298096"/>
        <c:axId val="485298752"/>
      </c:barChart>
      <c:catAx>
        <c:axId val="48529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5298752"/>
        <c:crosses val="autoZero"/>
        <c:auto val="1"/>
        <c:lblAlgn val="ctr"/>
        <c:lblOffset val="100"/>
        <c:noMultiLvlLbl val="0"/>
      </c:catAx>
      <c:valAx>
        <c:axId val="485298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529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Peníze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8946445863668784E-2"/>
          <c:y val="8.0505432253343015E-2"/>
          <c:w val="0.95455504921808865"/>
          <c:h val="0.6929202676956826"/>
        </c:manualLayout>
      </c:layout>
      <c:lineChart>
        <c:grouping val="standard"/>
        <c:varyColors val="0"/>
        <c:ser>
          <c:idx val="0"/>
          <c:order val="0"/>
          <c:tx>
            <c:strRef>
              <c:f>'Účty s vývojem'!$B$9</c:f>
              <c:strCache>
                <c:ptCount val="1"/>
                <c:pt idx="0">
                  <c:v>Pokladny</c:v>
                </c:pt>
              </c:strCache>
            </c:strRef>
          </c:tx>
          <c:spPr>
            <a:ln w="28575" cap="rnd">
              <a:solidFill>
                <a:srgbClr val="006AAD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'Účty s vývojem'!$D$9:$AA$9</c:f>
              <c:numCache>
                <c:formatCode>#,##0</c:formatCode>
                <c:ptCount val="24"/>
                <c:pt idx="0">
                  <c:v>-2E-3</c:v>
                </c:pt>
                <c:pt idx="1">
                  <c:v>-3.0000000000000001E-3</c:v>
                </c:pt>
                <c:pt idx="2">
                  <c:v>-4.0000000000000001E-3</c:v>
                </c:pt>
                <c:pt idx="3">
                  <c:v>-5.0000000000000001E-3</c:v>
                </c:pt>
                <c:pt idx="4">
                  <c:v>-6.0000000000000001E-3</c:v>
                </c:pt>
                <c:pt idx="5">
                  <c:v>-7.0000000000000001E-3</c:v>
                </c:pt>
                <c:pt idx="6">
                  <c:v>-8.0000000000000002E-3</c:v>
                </c:pt>
                <c:pt idx="7">
                  <c:v>-9.0000000000000011E-3</c:v>
                </c:pt>
                <c:pt idx="8">
                  <c:v>-1.0000000000000002E-2</c:v>
                </c:pt>
                <c:pt idx="9">
                  <c:v>-1.1000000000000003E-2</c:v>
                </c:pt>
                <c:pt idx="10">
                  <c:v>-1.2000000000000004E-2</c:v>
                </c:pt>
                <c:pt idx="11">
                  <c:v>-1.3000000000000005E-2</c:v>
                </c:pt>
                <c:pt idx="12">
                  <c:v>-1.4000000000000005E-2</c:v>
                </c:pt>
                <c:pt idx="13">
                  <c:v>-1.5000000000000006E-2</c:v>
                </c:pt>
                <c:pt idx="14">
                  <c:v>-1.6000000000000007E-2</c:v>
                </c:pt>
                <c:pt idx="15">
                  <c:v>-1.7000000000000008E-2</c:v>
                </c:pt>
                <c:pt idx="16">
                  <c:v>-1.8000000000000009E-2</c:v>
                </c:pt>
                <c:pt idx="17">
                  <c:v>-1.900000000000001E-2</c:v>
                </c:pt>
                <c:pt idx="18">
                  <c:v>-2.0000000000000011E-2</c:v>
                </c:pt>
                <c:pt idx="19">
                  <c:v>-2.1000000000000012E-2</c:v>
                </c:pt>
                <c:pt idx="20">
                  <c:v>-2.2000000000000013E-2</c:v>
                </c:pt>
                <c:pt idx="21">
                  <c:v>-2.3000000000000013E-2</c:v>
                </c:pt>
                <c:pt idx="22">
                  <c:v>-2.4000000000000014E-2</c:v>
                </c:pt>
                <c:pt idx="23">
                  <c:v>-2.5000000000000015E-2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BC-47FB-9F7C-ACBA0C24299E}"/>
            </c:ext>
          </c:extLst>
        </c:ser>
        <c:ser>
          <c:idx val="1"/>
          <c:order val="1"/>
          <c:tx>
            <c:strRef>
              <c:f>'Účty s vývojem'!$B$10</c:f>
              <c:strCache>
                <c:ptCount val="1"/>
                <c:pt idx="0">
                  <c:v>Banky</c:v>
                </c:pt>
              </c:strCache>
            </c:strRef>
          </c:tx>
          <c:spPr>
            <a:ln w="28575" cap="rnd">
              <a:solidFill>
                <a:srgbClr val="EC7600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'Účty s vývojem'!$D$10:$AA$10</c:f>
              <c:numCache>
                <c:formatCode>#,##0</c:formatCode>
                <c:ptCount val="24"/>
                <c:pt idx="0">
                  <c:v>0</c:v>
                </c:pt>
                <c:pt idx="1">
                  <c:v>-1E-3</c:v>
                </c:pt>
                <c:pt idx="2">
                  <c:v>-2E-3</c:v>
                </c:pt>
                <c:pt idx="3">
                  <c:v>-3.0000000000000001E-3</c:v>
                </c:pt>
                <c:pt idx="4">
                  <c:v>-4.0000000000000001E-3</c:v>
                </c:pt>
                <c:pt idx="5">
                  <c:v>-5.0000000000000001E-3</c:v>
                </c:pt>
                <c:pt idx="6">
                  <c:v>-6.0000000000000001E-3</c:v>
                </c:pt>
                <c:pt idx="7">
                  <c:v>-7.0000000000000001E-3</c:v>
                </c:pt>
                <c:pt idx="8">
                  <c:v>-8.0000000000000002E-3</c:v>
                </c:pt>
                <c:pt idx="9">
                  <c:v>-9.0000000000000011E-3</c:v>
                </c:pt>
                <c:pt idx="10">
                  <c:v>-1.0000000000000002E-2</c:v>
                </c:pt>
                <c:pt idx="11">
                  <c:v>-1.1000000000000003E-2</c:v>
                </c:pt>
                <c:pt idx="12">
                  <c:v>-1.2000000000000004E-2</c:v>
                </c:pt>
                <c:pt idx="13">
                  <c:v>-1.3000000000000005E-2</c:v>
                </c:pt>
                <c:pt idx="14">
                  <c:v>-1.4000000000000005E-2</c:v>
                </c:pt>
                <c:pt idx="15">
                  <c:v>-1.5000000000000006E-2</c:v>
                </c:pt>
                <c:pt idx="16">
                  <c:v>-1.6000000000000007E-2</c:v>
                </c:pt>
                <c:pt idx="17">
                  <c:v>-1.7000000000000008E-2</c:v>
                </c:pt>
                <c:pt idx="18">
                  <c:v>-1.8000000000000009E-2</c:v>
                </c:pt>
                <c:pt idx="19">
                  <c:v>-1.900000000000001E-2</c:v>
                </c:pt>
                <c:pt idx="20">
                  <c:v>-2.0000000000000011E-2</c:v>
                </c:pt>
                <c:pt idx="21">
                  <c:v>-2.1000000000000012E-2</c:v>
                </c:pt>
                <c:pt idx="22">
                  <c:v>-2.2000000000000013E-2</c:v>
                </c:pt>
                <c:pt idx="23">
                  <c:v>-2.3000000000000013E-2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BC-47FB-9F7C-ACBA0C242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0150280"/>
        <c:axId val="2110153768"/>
      </c:lineChart>
      <c:dateAx>
        <c:axId val="211015028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3768"/>
        <c:crosses val="autoZero"/>
        <c:auto val="1"/>
        <c:lblOffset val="100"/>
        <c:baseTimeUnit val="months"/>
      </c:dateAx>
      <c:valAx>
        <c:axId val="2110153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5149824373744243"/>
          <c:y val="0.93296022438715742"/>
          <c:w val="0.2922964249484537"/>
          <c:h val="4.73842318319431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  <a:r>
              <a:rPr lang="cs-CZ" baseline="0"/>
              <a:t> skladu k datu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3.0811423895562778E-2"/>
          <c:y val="9.5137013094441086E-2"/>
          <c:w val="0.95487109784184043"/>
          <c:h val="0.665902231230972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Sklady!$C$9</c:f>
              <c:strCache>
                <c:ptCount val="1"/>
                <c:pt idx="0">
                  <c:v>Skladová cena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57642016"/>
        <c:axId val="757639392"/>
        <c:extLst/>
      </c:barChart>
      <c:lineChart>
        <c:grouping val="standard"/>
        <c:varyColors val="0"/>
        <c:ser>
          <c:idx val="1"/>
          <c:order val="1"/>
          <c:tx>
            <c:strRef>
              <c:f>Sklady!$C$10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Sklady!$E$10:$AB$10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6872"/>
        <c:axId val="597161344"/>
      </c:lineChart>
      <c:catAx>
        <c:axId val="757642016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valAx>
        <c:axId val="597161344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7166872"/>
        <c:crosses val="max"/>
        <c:crossBetween val="between"/>
      </c:valAx>
      <c:dateAx>
        <c:axId val="487166872"/>
        <c:scaling>
          <c:orientation val="minMax"/>
        </c:scaling>
        <c:delete val="1"/>
        <c:axPos val="b"/>
        <c:numFmt formatCode="[$-405]mmmm\ yy;@" sourceLinked="1"/>
        <c:majorTickMark val="out"/>
        <c:minorTickMark val="none"/>
        <c:tickLblPos val="nextTo"/>
        <c:crossAx val="597161344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Skladov</a:t>
            </a:r>
            <a:r>
              <a:rPr lang="cs-CZ" baseline="0"/>
              <a:t>é pohyby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9.904384197834562E-2"/>
          <c:y val="8.0879909852280232E-2"/>
          <c:w val="0.81851396747416905"/>
          <c:h val="0.649357295473813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Sklady!$D$15</c:f>
              <c:strCache>
                <c:ptCount val="1"/>
                <c:pt idx="0">
                  <c:v>Hardware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Sklady!$E$15:$AB$15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27-42B2-8AC2-4C54409D97A9}"/>
            </c:ext>
          </c:extLst>
        </c:ser>
        <c:ser>
          <c:idx val="1"/>
          <c:order val="1"/>
          <c:tx>
            <c:strRef>
              <c:f>Sklady!$D$16</c:f>
              <c:strCache>
                <c:ptCount val="1"/>
                <c:pt idx="0">
                  <c:v>Software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Sklady!$E$16:$AB$16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27-42B2-8AC2-4C54409D9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7642016"/>
        <c:axId val="757639392"/>
        <c:extLst/>
      </c:barChart>
      <c:catAx>
        <c:axId val="757642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Měsíc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Skladová cena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Prodej!$C$10</c:f>
              <c:strCache>
                <c:ptCount val="1"/>
                <c:pt idx="0">
                  <c:v>Prodejní cena bez DPH</c:v>
                </c:pt>
              </c:strCache>
              <c:extLst xmlns:c15="http://schemas.microsoft.com/office/drawing/2012/chart"/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Prodej!$E$8:$AB$8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Prodej!$E$10:$AB$10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1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0488128"/>
        <c:axId val="760486816"/>
      </c:barChart>
      <c:lineChart>
        <c:grouping val="standard"/>
        <c:varyColors val="0"/>
        <c:ser>
          <c:idx val="0"/>
          <c:order val="0"/>
          <c:tx>
            <c:strRef>
              <c:f>Prodej!$C$9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Prodej!$E$8:$AB$8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Prodej!$E$9:$AB$9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789360"/>
        <c:axId val="586789688"/>
      </c:lineChart>
      <c:dateAx>
        <c:axId val="760488128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6816"/>
        <c:crosses val="autoZero"/>
        <c:auto val="1"/>
        <c:lblOffset val="100"/>
        <c:baseTimeUnit val="months"/>
      </c:dateAx>
      <c:valAx>
        <c:axId val="760486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8128"/>
        <c:crosses val="autoZero"/>
        <c:crossBetween val="between"/>
      </c:valAx>
      <c:valAx>
        <c:axId val="586789688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86789360"/>
        <c:crosses val="max"/>
        <c:crossBetween val="between"/>
      </c:valAx>
      <c:dateAx>
        <c:axId val="586789360"/>
        <c:scaling>
          <c:orientation val="minMax"/>
        </c:scaling>
        <c:delete val="1"/>
        <c:axPos val="b"/>
        <c:numFmt formatCode="[$-405]mmmm\ yy;@" sourceLinked="1"/>
        <c:majorTickMark val="out"/>
        <c:minorTickMark val="none"/>
        <c:tickLblPos val="nextTo"/>
        <c:crossAx val="586789688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Pohled</a:t>
            </a:r>
            <a:r>
              <a:rPr lang="cs-CZ"/>
              <a:t>ávky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závazky'!$C$9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58-4C80-96DC-93BBCA9208D3}"/>
            </c:ext>
          </c:extLst>
        </c:ser>
        <c:ser>
          <c:idx val="1"/>
          <c:order val="1"/>
          <c:tx>
            <c:strRef>
              <c:f>'Pohledávky a závazky'!$C$10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závazky'!$E$10:$AB$10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58-4C80-96DC-93BBCA9208D3}"/>
            </c:ext>
          </c:extLst>
        </c:ser>
        <c:ser>
          <c:idx val="2"/>
          <c:order val="2"/>
          <c:tx>
            <c:strRef>
              <c:f>'Pohledávky a závazky'!$C$11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závazky'!$E$11:$AB$11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58-4C80-96DC-93BBCA9208D3}"/>
            </c:ext>
          </c:extLst>
        </c:ser>
        <c:ser>
          <c:idx val="3"/>
          <c:order val="3"/>
          <c:tx>
            <c:strRef>
              <c:f>'Pohledávky a závazky'!$C$12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závazky'!$E$12:$AB$12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58-4C80-96DC-93BBCA920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Závazky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závazky'!$C$23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závazky'!$E$23:$AB$23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5-4539-B503-B8F0AFFA6D57}"/>
            </c:ext>
          </c:extLst>
        </c:ser>
        <c:ser>
          <c:idx val="1"/>
          <c:order val="1"/>
          <c:tx>
            <c:strRef>
              <c:f>'Pohledávky a závazky'!$C$24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závazky'!$E$24:$AB$24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5-4539-B503-B8F0AFFA6D57}"/>
            </c:ext>
          </c:extLst>
        </c:ser>
        <c:ser>
          <c:idx val="2"/>
          <c:order val="2"/>
          <c:tx>
            <c:strRef>
              <c:f>'Pohledávky a závazky'!$C$25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závazky'!$E$25:$AB$25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95-4539-B503-B8F0AFFA6D57}"/>
            </c:ext>
          </c:extLst>
        </c:ser>
        <c:ser>
          <c:idx val="3"/>
          <c:order val="3"/>
          <c:tx>
            <c:strRef>
              <c:f>'Pohledávky a závazky'!$C$26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závazky'!$E$26:$AB$26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95-4539-B503-B8F0AFFA6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Odpisy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Majetek!$C$9</c:f>
              <c:strCache>
                <c:ptCount val="1"/>
                <c:pt idx="0">
                  <c:v>Účetní odpisy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F-4AC4-B160-03B60241984E}"/>
            </c:ext>
          </c:extLst>
        </c:ser>
        <c:ser>
          <c:idx val="1"/>
          <c:order val="1"/>
          <c:tx>
            <c:strRef>
              <c:f>Majetek!$C$10</c:f>
              <c:strCache>
                <c:ptCount val="1"/>
                <c:pt idx="0">
                  <c:v>Daňové odpisy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Majetek!$E$10:$AB$10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F-4AC4-B160-03B602419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Majetek!$C$21</c:f>
              <c:strCache>
                <c:ptCount val="1"/>
                <c:pt idx="0">
                  <c:v>Daňová vstupní cena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Majetek!$E$21:$AB$21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B-41CA-832D-2B6A84FCD067}"/>
            </c:ext>
          </c:extLst>
        </c:ser>
        <c:ser>
          <c:idx val="1"/>
          <c:order val="1"/>
          <c:tx>
            <c:strRef>
              <c:f>Majetek!$C$22</c:f>
              <c:strCache>
                <c:ptCount val="1"/>
                <c:pt idx="0">
                  <c:v>Účetní vstupní cena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Majetek!$E$22:$AB$22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B-41CA-832D-2B6A84FCD067}"/>
            </c:ext>
          </c:extLst>
        </c:ser>
        <c:ser>
          <c:idx val="2"/>
          <c:order val="2"/>
          <c:tx>
            <c:strRef>
              <c:f>Majetek!$C$23</c:f>
              <c:strCache>
                <c:ptCount val="1"/>
                <c:pt idx="0">
                  <c:v>Daňová zůstatková cena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Majetek!$E$23:$AB$23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B-41CA-832D-2B6A84FCD067}"/>
            </c:ext>
          </c:extLst>
        </c:ser>
        <c:ser>
          <c:idx val="3"/>
          <c:order val="3"/>
          <c:tx>
            <c:strRef>
              <c:f>Majetek!$C$24</c:f>
              <c:strCache>
                <c:ptCount val="1"/>
                <c:pt idx="0">
                  <c:v>Účetní zůstatková cena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Majetek!$E$24:$AB$24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AB-41CA-832D-2B6A84F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Hrubá mzda v poměru k počtu mzdových listů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Mzdy!$C$13</c:f>
              <c:strCache>
                <c:ptCount val="1"/>
                <c:pt idx="0">
                  <c:v>hrubá mzda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Mzdy!$E$13:$AB$13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</c:barChart>
      <c:lineChart>
        <c:grouping val="standard"/>
        <c:varyColors val="0"/>
        <c:ser>
          <c:idx val="0"/>
          <c:order val="0"/>
          <c:tx>
            <c:strRef>
              <c:f>Mzdy!$C$9</c:f>
              <c:strCache>
                <c:ptCount val="1"/>
                <c:pt idx="0">
                  <c:v>počet mzdových listů</c:v>
                </c:pt>
              </c:strCache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Mzdy!$E$9:$AB$9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7368"/>
        <c:axId val="5964237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Mzdy!$C$10:$D$10</c15:sqref>
                        </c15:formulaRef>
                      </c:ext>
                    </c:extLst>
                    <c:strCache>
                      <c:ptCount val="2"/>
                      <c:pt idx="0">
                        <c:v>úvazky v hodinách</c:v>
                      </c:pt>
                      <c:pt idx="1">
                        <c:v>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24"/>
                      <c:pt idx="0">
                        <c:v>43101</c:v>
                      </c:pt>
                      <c:pt idx="1">
                        <c:v>43132</c:v>
                      </c:pt>
                      <c:pt idx="2">
                        <c:v>43160</c:v>
                      </c:pt>
                      <c:pt idx="3">
                        <c:v>43191</c:v>
                      </c:pt>
                      <c:pt idx="4">
                        <c:v>43221</c:v>
                      </c:pt>
                      <c:pt idx="5">
                        <c:v>43252</c:v>
                      </c:pt>
                      <c:pt idx="6">
                        <c:v>43282</c:v>
                      </c:pt>
                      <c:pt idx="7">
                        <c:v>43313</c:v>
                      </c:pt>
                      <c:pt idx="8">
                        <c:v>43344</c:v>
                      </c:pt>
                      <c:pt idx="9">
                        <c:v>43374</c:v>
                      </c:pt>
                      <c:pt idx="10">
                        <c:v>43405</c:v>
                      </c:pt>
                      <c:pt idx="11">
                        <c:v>43435</c:v>
                      </c:pt>
                      <c:pt idx="12">
                        <c:v>43466</c:v>
                      </c:pt>
                      <c:pt idx="13">
                        <c:v>43497</c:v>
                      </c:pt>
                      <c:pt idx="14">
                        <c:v>43525</c:v>
                      </c:pt>
                      <c:pt idx="15">
                        <c:v>43556</c:v>
                      </c:pt>
                      <c:pt idx="16">
                        <c:v>43586</c:v>
                      </c:pt>
                      <c:pt idx="17">
                        <c:v>43617</c:v>
                      </c:pt>
                      <c:pt idx="18">
                        <c:v>43647</c:v>
                      </c:pt>
                      <c:pt idx="19">
                        <c:v>43678</c:v>
                      </c:pt>
                      <c:pt idx="20">
                        <c:v>43709</c:v>
                      </c:pt>
                      <c:pt idx="21">
                        <c:v>43739</c:v>
                      </c:pt>
                      <c:pt idx="22">
                        <c:v>43770</c:v>
                      </c:pt>
                      <c:pt idx="23">
                        <c:v>43800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Mzdy!$E$10:$AB$10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-1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-1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0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-1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0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43A-4415-ABA3-79714E70E63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Mzdy!$C$11:$D$11</c15:sqref>
                        </c15:formulaRef>
                      </c:ext>
                    </c:extLst>
                    <c:strCache>
                      <c:ptCount val="2"/>
                      <c:pt idx="0">
                        <c:v>fond pracovní doby</c:v>
                      </c:pt>
                      <c:pt idx="1">
                        <c:v>f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24"/>
                      <c:pt idx="0">
                        <c:v>43101</c:v>
                      </c:pt>
                      <c:pt idx="1">
                        <c:v>43132</c:v>
                      </c:pt>
                      <c:pt idx="2">
                        <c:v>43160</c:v>
                      </c:pt>
                      <c:pt idx="3">
                        <c:v>43191</c:v>
                      </c:pt>
                      <c:pt idx="4">
                        <c:v>43221</c:v>
                      </c:pt>
                      <c:pt idx="5">
                        <c:v>43252</c:v>
                      </c:pt>
                      <c:pt idx="6">
                        <c:v>43282</c:v>
                      </c:pt>
                      <c:pt idx="7">
                        <c:v>43313</c:v>
                      </c:pt>
                      <c:pt idx="8">
                        <c:v>43344</c:v>
                      </c:pt>
                      <c:pt idx="9">
                        <c:v>43374</c:v>
                      </c:pt>
                      <c:pt idx="10">
                        <c:v>43405</c:v>
                      </c:pt>
                      <c:pt idx="11">
                        <c:v>43435</c:v>
                      </c:pt>
                      <c:pt idx="12">
                        <c:v>43466</c:v>
                      </c:pt>
                      <c:pt idx="13">
                        <c:v>43497</c:v>
                      </c:pt>
                      <c:pt idx="14">
                        <c:v>43525</c:v>
                      </c:pt>
                      <c:pt idx="15">
                        <c:v>43556</c:v>
                      </c:pt>
                      <c:pt idx="16">
                        <c:v>43586</c:v>
                      </c:pt>
                      <c:pt idx="17">
                        <c:v>43617</c:v>
                      </c:pt>
                      <c:pt idx="18">
                        <c:v>43647</c:v>
                      </c:pt>
                      <c:pt idx="19">
                        <c:v>43678</c:v>
                      </c:pt>
                      <c:pt idx="20">
                        <c:v>43709</c:v>
                      </c:pt>
                      <c:pt idx="21">
                        <c:v>43739</c:v>
                      </c:pt>
                      <c:pt idx="22">
                        <c:v>43770</c:v>
                      </c:pt>
                      <c:pt idx="23">
                        <c:v>43800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Mzdy!$E$11:$AB$11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-1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-1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-1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-1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-1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43A-4415-ABA3-79714E70E63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Mzdy!$C$12:$D$12</c15:sqref>
                        </c15:formulaRef>
                      </c:ext>
                    </c:extLst>
                    <c:strCache>
                      <c:ptCount val="2"/>
                      <c:pt idx="0">
                        <c:v>odpracovaná doba</c:v>
                      </c:pt>
                      <c:pt idx="1">
                        <c:v>t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24"/>
                      <c:pt idx="0">
                        <c:v>43101</c:v>
                      </c:pt>
                      <c:pt idx="1">
                        <c:v>43132</c:v>
                      </c:pt>
                      <c:pt idx="2">
                        <c:v>43160</c:v>
                      </c:pt>
                      <c:pt idx="3">
                        <c:v>43191</c:v>
                      </c:pt>
                      <c:pt idx="4">
                        <c:v>43221</c:v>
                      </c:pt>
                      <c:pt idx="5">
                        <c:v>43252</c:v>
                      </c:pt>
                      <c:pt idx="6">
                        <c:v>43282</c:v>
                      </c:pt>
                      <c:pt idx="7">
                        <c:v>43313</c:v>
                      </c:pt>
                      <c:pt idx="8">
                        <c:v>43344</c:v>
                      </c:pt>
                      <c:pt idx="9">
                        <c:v>43374</c:v>
                      </c:pt>
                      <c:pt idx="10">
                        <c:v>43405</c:v>
                      </c:pt>
                      <c:pt idx="11">
                        <c:v>43435</c:v>
                      </c:pt>
                      <c:pt idx="12">
                        <c:v>43466</c:v>
                      </c:pt>
                      <c:pt idx="13">
                        <c:v>43497</c:v>
                      </c:pt>
                      <c:pt idx="14">
                        <c:v>43525</c:v>
                      </c:pt>
                      <c:pt idx="15">
                        <c:v>43556</c:v>
                      </c:pt>
                      <c:pt idx="16">
                        <c:v>43586</c:v>
                      </c:pt>
                      <c:pt idx="17">
                        <c:v>43617</c:v>
                      </c:pt>
                      <c:pt idx="18">
                        <c:v>43647</c:v>
                      </c:pt>
                      <c:pt idx="19">
                        <c:v>43678</c:v>
                      </c:pt>
                      <c:pt idx="20">
                        <c:v>43709</c:v>
                      </c:pt>
                      <c:pt idx="21">
                        <c:v>43739</c:v>
                      </c:pt>
                      <c:pt idx="22">
                        <c:v>43770</c:v>
                      </c:pt>
                      <c:pt idx="23">
                        <c:v>43800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Mzdy!$E$12:$AB$12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-1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-1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-1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-1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-1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43A-4415-ABA3-79714E70E63C}"/>
                  </c:ext>
                </c:extLst>
              </c15:ser>
            </c15:filteredLineSeries>
          </c:ext>
        </c:extLst>
      </c:lineChart>
      <c:catAx>
        <c:axId val="527602248"/>
        <c:scaling>
          <c:orientation val="minMax"/>
        </c:scaling>
        <c:delete val="0"/>
        <c:axPos val="b"/>
        <c:numFmt formatCode="yyy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0"/>
        <c:lblAlgn val="ctr"/>
        <c:lblOffset val="100"/>
        <c:noMultiLvlLbl val="1"/>
      </c:catAx>
      <c:valAx>
        <c:axId val="527603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3760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7368"/>
        <c:crosses val="max"/>
        <c:crossBetween val="between"/>
      </c:valAx>
      <c:dateAx>
        <c:axId val="596427368"/>
        <c:scaling>
          <c:orientation val="minMax"/>
        </c:scaling>
        <c:delete val="1"/>
        <c:axPos val="b"/>
        <c:numFmt formatCode="yyyy\/mm" sourceLinked="1"/>
        <c:majorTickMark val="out"/>
        <c:minorTickMark val="none"/>
        <c:tickLblPos val="nextTo"/>
        <c:crossAx val="596423760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Pracovní doby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6.4969488545351214E-2"/>
          <c:y val="0.11515079955273742"/>
          <c:w val="0.88225992456101465"/>
          <c:h val="0.6759451159738937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Mzdy!$C$11</c:f>
              <c:strCache>
                <c:ptCount val="1"/>
                <c:pt idx="0">
                  <c:v>fond pracovní doby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Mzdy!$E$11:$AB$11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20-456B-9C7D-2A6B837173B8}"/>
            </c:ext>
          </c:extLst>
        </c:ser>
        <c:ser>
          <c:idx val="3"/>
          <c:order val="2"/>
          <c:tx>
            <c:strRef>
              <c:f>Mzdy!$C$12</c:f>
              <c:strCache>
                <c:ptCount val="1"/>
                <c:pt idx="0">
                  <c:v>odpracovaná doba</c:v>
                </c:pt>
              </c:strCache>
            </c:strRef>
          </c:tx>
          <c:spPr>
            <a:solidFill>
              <a:srgbClr val="006AAD"/>
            </a:solidFill>
            <a:ln>
              <a:solidFill>
                <a:srgbClr val="006AAD"/>
              </a:solidFill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Mzdy!$E$12:$AB$12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  <c:extLst/>
      </c:barChart>
      <c:lineChart>
        <c:grouping val="standard"/>
        <c:varyColors val="0"/>
        <c:ser>
          <c:idx val="1"/>
          <c:order val="0"/>
          <c:tx>
            <c:strRef>
              <c:f>Mzdy!$C$10</c:f>
              <c:strCache>
                <c:ptCount val="1"/>
                <c:pt idx="0">
                  <c:v>úvazky v hodinách</c:v>
                </c:pt>
              </c:strCache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Mzdy!$E$10:$AB$10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0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0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5728"/>
        <c:axId val="596425400"/>
      </c:lineChart>
      <c:catAx>
        <c:axId val="527602248"/>
        <c:scaling>
          <c:orientation val="minMax"/>
        </c:scaling>
        <c:delete val="0"/>
        <c:axPos val="b"/>
        <c:numFmt formatCode="yyy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0"/>
        <c:lblAlgn val="ctr"/>
        <c:lblOffset val="100"/>
        <c:noMultiLvlLbl val="1"/>
      </c:catAx>
      <c:valAx>
        <c:axId val="527603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5400"/>
        <c:scaling>
          <c:orientation val="minMax"/>
          <c:min val="0"/>
        </c:scaling>
        <c:delete val="0"/>
        <c:axPos val="r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5728"/>
        <c:crosses val="max"/>
        <c:crossBetween val="between"/>
      </c:valAx>
      <c:dateAx>
        <c:axId val="596425728"/>
        <c:scaling>
          <c:orientation val="minMax"/>
        </c:scaling>
        <c:delete val="1"/>
        <c:axPos val="b"/>
        <c:numFmt formatCode="yyyy\/mm" sourceLinked="1"/>
        <c:majorTickMark val="out"/>
        <c:minorTickMark val="none"/>
        <c:tickLblPos val="nextTo"/>
        <c:crossAx val="596425400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13607</xdr:colOff>
      <xdr:row>11</xdr:row>
      <xdr:rowOff>81644</xdr:rowOff>
    </xdr:from>
    <xdr:to>
      <xdr:col>27</xdr:col>
      <xdr:colOff>816427</xdr:colOff>
      <xdr:row>35</xdr:row>
      <xdr:rowOff>88900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8779E59-0BBD-4053-B564-7E4A816B7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13606</xdr:colOff>
      <xdr:row>36</xdr:row>
      <xdr:rowOff>9524</xdr:rowOff>
    </xdr:from>
    <xdr:to>
      <xdr:col>27</xdr:col>
      <xdr:colOff>815578</xdr:colOff>
      <xdr:row>58</xdr:row>
      <xdr:rowOff>57149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0A15AE2-ED16-4379-93D9-14457FE909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4142</xdr:colOff>
      <xdr:row>11</xdr:row>
      <xdr:rowOff>103531</xdr:rowOff>
    </xdr:from>
    <xdr:to>
      <xdr:col>27</xdr:col>
      <xdr:colOff>0</xdr:colOff>
      <xdr:row>35</xdr:row>
      <xdr:rowOff>54428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2386</xdr:colOff>
      <xdr:row>18</xdr:row>
      <xdr:rowOff>128432</xdr:rowOff>
    </xdr:from>
    <xdr:to>
      <xdr:col>28</xdr:col>
      <xdr:colOff>122464</xdr:colOff>
      <xdr:row>41</xdr:row>
      <xdr:rowOff>27215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8A4CE06F-8F22-42FD-95B2-262BEE1E3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4481</xdr:colOff>
      <xdr:row>41</xdr:row>
      <xdr:rowOff>125671</xdr:rowOff>
    </xdr:from>
    <xdr:to>
      <xdr:col>28</xdr:col>
      <xdr:colOff>122464</xdr:colOff>
      <xdr:row>63</xdr:row>
      <xdr:rowOff>163286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5E7A7DFC-0850-416D-B73D-D75E36DDF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11204</xdr:colOff>
      <xdr:row>12</xdr:row>
      <xdr:rowOff>114388</xdr:rowOff>
    </xdr:from>
    <xdr:to>
      <xdr:col>27</xdr:col>
      <xdr:colOff>831272</xdr:colOff>
      <xdr:row>32</xdr:row>
      <xdr:rowOff>33986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7E478328-6EA5-45A9-BC78-FFDBD6AEE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13605</xdr:colOff>
      <xdr:row>28</xdr:row>
      <xdr:rowOff>120588</xdr:rowOff>
    </xdr:from>
    <xdr:to>
      <xdr:col>28</xdr:col>
      <xdr:colOff>33617</xdr:colOff>
      <xdr:row>51</xdr:row>
      <xdr:rowOff>125186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4BA9EEB6-4233-420A-852A-528B00DB91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14285</xdr:colOff>
      <xdr:row>52</xdr:row>
      <xdr:rowOff>76614</xdr:rowOff>
    </xdr:from>
    <xdr:to>
      <xdr:col>28</xdr:col>
      <xdr:colOff>33617</xdr:colOff>
      <xdr:row>75</xdr:row>
      <xdr:rowOff>80944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536B8F98-5073-4BF6-A7A5-EDA3AC338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16081</xdr:colOff>
      <xdr:row>25</xdr:row>
      <xdr:rowOff>82878</xdr:rowOff>
    </xdr:from>
    <xdr:to>
      <xdr:col>28</xdr:col>
      <xdr:colOff>34637</xdr:colOff>
      <xdr:row>49</xdr:row>
      <xdr:rowOff>50715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516F915C-404A-428B-B1F6-6F73BADCB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16220</xdr:colOff>
      <xdr:row>49</xdr:row>
      <xdr:rowOff>166620</xdr:rowOff>
    </xdr:from>
    <xdr:to>
      <xdr:col>28</xdr:col>
      <xdr:colOff>33617</xdr:colOff>
      <xdr:row>73</xdr:row>
      <xdr:rowOff>134457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AB7FD66F-6BB5-48EF-80AB-62687249DD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6619</xdr:colOff>
      <xdr:row>14</xdr:row>
      <xdr:rowOff>107382</xdr:rowOff>
    </xdr:from>
    <xdr:to>
      <xdr:col>28</xdr:col>
      <xdr:colOff>38099</xdr:colOff>
      <xdr:row>36</xdr:row>
      <xdr:rowOff>7044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267FF34-6D12-49EB-8113-D3649A5AE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12123</xdr:colOff>
      <xdr:row>36</xdr:row>
      <xdr:rowOff>114300</xdr:rowOff>
    </xdr:from>
    <xdr:to>
      <xdr:col>28</xdr:col>
      <xdr:colOff>36635</xdr:colOff>
      <xdr:row>58</xdr:row>
      <xdr:rowOff>13962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1A7CC52-DC40-412F-A961-4A9F36DE6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dat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FE5F-4913-44E7-9F0D-DF1FDC6A184D}">
  <sheetPr codeName="List3"/>
  <dimension ref="B2:G7"/>
  <sheetViews>
    <sheetView showGridLines="0" tabSelected="1" workbookViewId="0"/>
  </sheetViews>
  <sheetFormatPr defaultRowHeight="12.75" x14ac:dyDescent="0.2"/>
  <cols>
    <col min="2" max="2" width="29.7109375" customWidth="1"/>
    <col min="3" max="3" width="59.7109375" customWidth="1"/>
  </cols>
  <sheetData>
    <row r="2" spans="2:7" x14ac:dyDescent="0.2">
      <c r="B2" s="165" t="s">
        <v>78</v>
      </c>
      <c r="C2" s="165" t="s">
        <v>39</v>
      </c>
    </row>
    <row r="3" spans="2:7" x14ac:dyDescent="0.2">
      <c r="B3" s="1" t="s">
        <v>40</v>
      </c>
      <c r="C3" s="3" t="s">
        <v>74</v>
      </c>
      <c r="G3" s="4"/>
    </row>
    <row r="4" spans="2:7" x14ac:dyDescent="0.2">
      <c r="B4" s="1" t="s">
        <v>41</v>
      </c>
      <c r="C4" s="1" t="s">
        <v>73</v>
      </c>
    </row>
    <row r="5" spans="2:7" x14ac:dyDescent="0.2">
      <c r="B5" s="1" t="s">
        <v>42</v>
      </c>
      <c r="C5" s="2"/>
    </row>
    <row r="6" spans="2:7" x14ac:dyDescent="0.2">
      <c r="B6" s="1" t="s">
        <v>43</v>
      </c>
      <c r="C6" s="1">
        <v>240</v>
      </c>
    </row>
    <row r="7" spans="2:7" x14ac:dyDescent="0.2">
      <c r="B7" s="1" t="s">
        <v>44</v>
      </c>
      <c r="C7" s="1">
        <v>5</v>
      </c>
    </row>
  </sheetData>
  <hyperlinks>
    <hyperlink ref="C3" r:id="rId1" xr:uid="{F5085423-9FF4-46CD-B4C6-77B26901DE5F}"/>
  </hyperlinks>
  <pageMargins left="0.7" right="0.7" top="0.78740157499999996" bottom="0.78740157499999996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GJ22"/>
  <sheetViews>
    <sheetView zoomScaleNormal="100" zoomScalePageLayoutView="130" workbookViewId="0">
      <selection activeCell="C3" sqref="C3"/>
    </sheetView>
  </sheetViews>
  <sheetFormatPr defaultColWidth="9.140625" defaultRowHeight="15" customHeight="1" outlineLevelCol="1" x14ac:dyDescent="0.2"/>
  <cols>
    <col min="1" max="1" width="1.7109375" style="21" customWidth="1"/>
    <col min="2" max="2" width="31.5703125" style="52" customWidth="1"/>
    <col min="3" max="3" width="12.7109375" style="52" customWidth="1"/>
    <col min="4" max="6" width="12.7109375" style="53" customWidth="1"/>
    <col min="7" max="20" width="12.7109375" style="53" hidden="1" customWidth="1" outlineLevel="1"/>
    <col min="21" max="21" width="12.7109375" style="54" hidden="1" customWidth="1" outlineLevel="1"/>
    <col min="22" max="26" width="12.7109375" style="55" hidden="1" customWidth="1" outlineLevel="1"/>
    <col min="27" max="27" width="12.7109375" style="53" hidden="1" customWidth="1" outlineLevel="1"/>
    <col min="28" max="28" width="12.7109375" style="53" customWidth="1" collapsed="1"/>
    <col min="29" max="192" width="9.140625" style="53"/>
    <col min="193" max="16384" width="9.140625" style="66"/>
  </cols>
  <sheetData>
    <row r="1" spans="1:31" ht="10.35" customHeight="1" thickBot="1" x14ac:dyDescent="0.25"/>
    <row r="2" spans="1:31" ht="15" customHeight="1" x14ac:dyDescent="0.2">
      <c r="B2" s="67" t="s">
        <v>3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9"/>
    </row>
    <row r="3" spans="1:31" ht="15" customHeight="1" x14ac:dyDescent="0.2">
      <c r="B3" s="64" t="s">
        <v>66</v>
      </c>
      <c r="C3" s="7">
        <v>43830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1"/>
    </row>
    <row r="4" spans="1:31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1"/>
    </row>
    <row r="5" spans="1:31" ht="15" customHeight="1" thickBot="1" x14ac:dyDescent="0.25">
      <c r="B5" s="73"/>
      <c r="C5" s="74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5"/>
    </row>
    <row r="6" spans="1:31" s="29" customFormat="1" ht="15" customHeight="1" x14ac:dyDescent="0.2">
      <c r="A6" s="27"/>
      <c r="B6" s="168"/>
      <c r="C6" s="169"/>
      <c r="D6" s="34">
        <f t="shared" ref="D6:AA6" ca="1" si="0">D7-IF(MONTH(D7)=2,IF(OR(YEAR(D7)=2008,YEAR(D7)=2012,YEAR(D7)=2016),29,28),IF(OR(MONTH(D7)=4,MONTH(D7)=6,MONTH(D7)=9,MONTH(D7)=11),30,31))+1</f>
        <v>43101</v>
      </c>
      <c r="E6" s="35">
        <f t="shared" ca="1" si="0"/>
        <v>43132</v>
      </c>
      <c r="F6" s="35">
        <f t="shared" ca="1" si="0"/>
        <v>43160</v>
      </c>
      <c r="G6" s="35">
        <f t="shared" ca="1" si="0"/>
        <v>43191</v>
      </c>
      <c r="H6" s="35">
        <f t="shared" ca="1" si="0"/>
        <v>43221</v>
      </c>
      <c r="I6" s="35">
        <f t="shared" ca="1" si="0"/>
        <v>43252</v>
      </c>
      <c r="J6" s="35">
        <f t="shared" ca="1" si="0"/>
        <v>43282</v>
      </c>
      <c r="K6" s="35">
        <f t="shared" ca="1" si="0"/>
        <v>43313</v>
      </c>
      <c r="L6" s="35">
        <f t="shared" ca="1" si="0"/>
        <v>43344</v>
      </c>
      <c r="M6" s="35">
        <f t="shared" ca="1" si="0"/>
        <v>43374</v>
      </c>
      <c r="N6" s="35">
        <f t="shared" ca="1" si="0"/>
        <v>43405</v>
      </c>
      <c r="O6" s="35">
        <f t="shared" ca="1" si="0"/>
        <v>43435</v>
      </c>
      <c r="P6" s="35">
        <f t="shared" ca="1" si="0"/>
        <v>43466</v>
      </c>
      <c r="Q6" s="35">
        <f t="shared" ca="1" si="0"/>
        <v>43497</v>
      </c>
      <c r="R6" s="35">
        <f t="shared" ca="1" si="0"/>
        <v>43525</v>
      </c>
      <c r="S6" s="35">
        <f t="shared" ca="1" si="0"/>
        <v>43556</v>
      </c>
      <c r="T6" s="35">
        <f t="shared" ca="1" si="0"/>
        <v>43586</v>
      </c>
      <c r="U6" s="35">
        <f t="shared" ca="1" si="0"/>
        <v>43617</v>
      </c>
      <c r="V6" s="35">
        <f t="shared" ca="1" si="0"/>
        <v>43647</v>
      </c>
      <c r="W6" s="35">
        <f t="shared" ca="1" si="0"/>
        <v>43678</v>
      </c>
      <c r="X6" s="35">
        <f t="shared" ca="1" si="0"/>
        <v>43709</v>
      </c>
      <c r="Y6" s="35">
        <f t="shared" ca="1" si="0"/>
        <v>43739</v>
      </c>
      <c r="Z6" s="35">
        <f t="shared" ca="1" si="0"/>
        <v>43770</v>
      </c>
      <c r="AA6" s="35">
        <f t="shared" ca="1" si="0"/>
        <v>43800</v>
      </c>
      <c r="AB6" s="166"/>
    </row>
    <row r="7" spans="1:31" s="29" customFormat="1" ht="15" customHeight="1" thickBot="1" x14ac:dyDescent="0.25">
      <c r="A7" s="27"/>
      <c r="B7" s="170"/>
      <c r="C7" s="171"/>
      <c r="D7" s="36">
        <f t="shared" ref="D7:Z7" ca="1" si="1">E6-1</f>
        <v>43131</v>
      </c>
      <c r="E7" s="37">
        <f t="shared" ca="1" si="1"/>
        <v>43159</v>
      </c>
      <c r="F7" s="37">
        <f t="shared" ca="1" si="1"/>
        <v>43190</v>
      </c>
      <c r="G7" s="37">
        <f t="shared" ca="1" si="1"/>
        <v>43220</v>
      </c>
      <c r="H7" s="37">
        <f t="shared" ca="1" si="1"/>
        <v>43251</v>
      </c>
      <c r="I7" s="37">
        <f t="shared" ca="1" si="1"/>
        <v>43281</v>
      </c>
      <c r="J7" s="37">
        <f t="shared" ca="1" si="1"/>
        <v>43312</v>
      </c>
      <c r="K7" s="37">
        <f t="shared" ca="1" si="1"/>
        <v>43343</v>
      </c>
      <c r="L7" s="37">
        <f t="shared" ca="1" si="1"/>
        <v>43373</v>
      </c>
      <c r="M7" s="37">
        <f t="shared" ca="1" si="1"/>
        <v>43404</v>
      </c>
      <c r="N7" s="37">
        <f t="shared" ca="1" si="1"/>
        <v>43434</v>
      </c>
      <c r="O7" s="37">
        <f t="shared" ca="1" si="1"/>
        <v>43465</v>
      </c>
      <c r="P7" s="37">
        <f t="shared" ca="1" si="1"/>
        <v>43496</v>
      </c>
      <c r="Q7" s="37">
        <f t="shared" ca="1" si="1"/>
        <v>43524</v>
      </c>
      <c r="R7" s="37">
        <f t="shared" ca="1" si="1"/>
        <v>43555</v>
      </c>
      <c r="S7" s="37">
        <f t="shared" ca="1" si="1"/>
        <v>43585</v>
      </c>
      <c r="T7" s="37">
        <f t="shared" ca="1" si="1"/>
        <v>43616</v>
      </c>
      <c r="U7" s="37">
        <f t="shared" ca="1" si="1"/>
        <v>43646</v>
      </c>
      <c r="V7" s="37">
        <f t="shared" ca="1" si="1"/>
        <v>43677</v>
      </c>
      <c r="W7" s="37">
        <f t="shared" ca="1" si="1"/>
        <v>43708</v>
      </c>
      <c r="X7" s="37">
        <f t="shared" ca="1" si="1"/>
        <v>43738</v>
      </c>
      <c r="Y7" s="37">
        <f t="shared" ca="1" si="1"/>
        <v>43769</v>
      </c>
      <c r="Z7" s="37">
        <f t="shared" ca="1" si="1"/>
        <v>43799</v>
      </c>
      <c r="AA7" s="37">
        <f ca="1">C3</f>
        <v>43830</v>
      </c>
      <c r="AB7" s="167"/>
    </row>
    <row r="8" spans="1:31" s="29" customFormat="1" ht="15" customHeight="1" thickBot="1" x14ac:dyDescent="0.25">
      <c r="B8" s="11" t="s">
        <v>0</v>
      </c>
      <c r="C8" s="12" t="s">
        <v>2</v>
      </c>
      <c r="D8" s="38">
        <f t="shared" ref="D8:AA8" ca="1" si="2">D6</f>
        <v>43101</v>
      </c>
      <c r="E8" s="39">
        <f t="shared" ca="1" si="2"/>
        <v>43132</v>
      </c>
      <c r="F8" s="39">
        <f t="shared" ca="1" si="2"/>
        <v>43160</v>
      </c>
      <c r="G8" s="40">
        <f t="shared" ca="1" si="2"/>
        <v>43191</v>
      </c>
      <c r="H8" s="40">
        <f t="shared" ca="1" si="2"/>
        <v>43221</v>
      </c>
      <c r="I8" s="40">
        <f t="shared" ca="1" si="2"/>
        <v>43252</v>
      </c>
      <c r="J8" s="40">
        <f t="shared" ca="1" si="2"/>
        <v>43282</v>
      </c>
      <c r="K8" s="40">
        <f t="shared" ca="1" si="2"/>
        <v>43313</v>
      </c>
      <c r="L8" s="40">
        <f t="shared" ca="1" si="2"/>
        <v>43344</v>
      </c>
      <c r="M8" s="40">
        <f t="shared" ca="1" si="2"/>
        <v>43374</v>
      </c>
      <c r="N8" s="40">
        <f t="shared" ca="1" si="2"/>
        <v>43405</v>
      </c>
      <c r="O8" s="40">
        <f t="shared" ca="1" si="2"/>
        <v>43435</v>
      </c>
      <c r="P8" s="40">
        <f t="shared" ca="1" si="2"/>
        <v>43466</v>
      </c>
      <c r="Q8" s="40">
        <f t="shared" ca="1" si="2"/>
        <v>43497</v>
      </c>
      <c r="R8" s="40">
        <f t="shared" ca="1" si="2"/>
        <v>43525</v>
      </c>
      <c r="S8" s="40">
        <f t="shared" ca="1" si="2"/>
        <v>43556</v>
      </c>
      <c r="T8" s="40">
        <f t="shared" ca="1" si="2"/>
        <v>43586</v>
      </c>
      <c r="U8" s="40">
        <f t="shared" ca="1" si="2"/>
        <v>43617</v>
      </c>
      <c r="V8" s="40">
        <f t="shared" ca="1" si="2"/>
        <v>43647</v>
      </c>
      <c r="W8" s="40">
        <f t="shared" ca="1" si="2"/>
        <v>43678</v>
      </c>
      <c r="X8" s="40">
        <f t="shared" ca="1" si="2"/>
        <v>43709</v>
      </c>
      <c r="Y8" s="40">
        <f t="shared" ca="1" si="2"/>
        <v>43739</v>
      </c>
      <c r="Z8" s="40">
        <f t="shared" ca="1" si="2"/>
        <v>43770</v>
      </c>
      <c r="AA8" s="40">
        <f t="shared" ca="1" si="2"/>
        <v>43800</v>
      </c>
      <c r="AB8" s="76" t="s">
        <v>72</v>
      </c>
    </row>
    <row r="9" spans="1:31" ht="15" customHeight="1" thickBot="1" x14ac:dyDescent="0.25">
      <c r="B9" s="41" t="s">
        <v>70</v>
      </c>
      <c r="C9" s="43" t="s">
        <v>69</v>
      </c>
      <c r="D9" s="44">
        <f t="shared" ref="D9:M10" ca="1" si="3">AbraTurnover(URL,Username,Password,$C9,D$6,D$7)/1000</f>
        <v>-1E-3</v>
      </c>
      <c r="E9" s="44">
        <f t="shared" ca="1" si="3"/>
        <v>-1E-3</v>
      </c>
      <c r="F9" s="44">
        <f t="shared" ca="1" si="3"/>
        <v>-1E-3</v>
      </c>
      <c r="G9" s="44">
        <f t="shared" ca="1" si="3"/>
        <v>-1E-3</v>
      </c>
      <c r="H9" s="44">
        <f t="shared" ca="1" si="3"/>
        <v>-1E-3</v>
      </c>
      <c r="I9" s="44">
        <f t="shared" ca="1" si="3"/>
        <v>-1E-3</v>
      </c>
      <c r="J9" s="44">
        <f t="shared" ca="1" si="3"/>
        <v>-1E-3</v>
      </c>
      <c r="K9" s="44">
        <f t="shared" ca="1" si="3"/>
        <v>-1E-3</v>
      </c>
      <c r="L9" s="44">
        <f t="shared" ca="1" si="3"/>
        <v>-1E-3</v>
      </c>
      <c r="M9" s="44">
        <f t="shared" ca="1" si="3"/>
        <v>-1E-3</v>
      </c>
      <c r="N9" s="44">
        <f t="shared" ref="N9:AA10" ca="1" si="4">AbraTurnover(URL,Username,Password,$C9,N$6,N$7)/1000</f>
        <v>-1E-3</v>
      </c>
      <c r="O9" s="44">
        <f t="shared" ca="1" si="4"/>
        <v>-1E-3</v>
      </c>
      <c r="P9" s="44">
        <f t="shared" ca="1" si="4"/>
        <v>-1E-3</v>
      </c>
      <c r="Q9" s="44">
        <f t="shared" ca="1" si="4"/>
        <v>-1E-3</v>
      </c>
      <c r="R9" s="44">
        <f t="shared" ca="1" si="4"/>
        <v>-1E-3</v>
      </c>
      <c r="S9" s="44">
        <f t="shared" ca="1" si="4"/>
        <v>-1E-3</v>
      </c>
      <c r="T9" s="44">
        <f t="shared" ca="1" si="4"/>
        <v>-1E-3</v>
      </c>
      <c r="U9" s="44">
        <f t="shared" ca="1" si="4"/>
        <v>-1E-3</v>
      </c>
      <c r="V9" s="44">
        <f t="shared" ca="1" si="4"/>
        <v>-1E-3</v>
      </c>
      <c r="W9" s="44">
        <f t="shared" ca="1" si="4"/>
        <v>-1E-3</v>
      </c>
      <c r="X9" s="44">
        <f t="shared" ca="1" si="4"/>
        <v>-1E-3</v>
      </c>
      <c r="Y9" s="44">
        <f t="shared" ca="1" si="4"/>
        <v>-1E-3</v>
      </c>
      <c r="Z9" s="44">
        <f t="shared" ca="1" si="4"/>
        <v>-1E-3</v>
      </c>
      <c r="AA9" s="44">
        <f t="shared" ca="1" si="4"/>
        <v>-1E-3</v>
      </c>
      <c r="AB9" s="77">
        <f ca="1">SUM(D9:AA9)</f>
        <v>-2.4000000000000014E-2</v>
      </c>
      <c r="AD9" s="29"/>
      <c r="AE9" s="29"/>
    </row>
    <row r="10" spans="1:31" ht="15" customHeight="1" x14ac:dyDescent="0.2">
      <c r="B10" s="45" t="s">
        <v>71</v>
      </c>
      <c r="C10" s="47" t="s">
        <v>68</v>
      </c>
      <c r="D10" s="44">
        <f t="shared" ca="1" si="3"/>
        <v>0</v>
      </c>
      <c r="E10" s="44">
        <f t="shared" ca="1" si="3"/>
        <v>0</v>
      </c>
      <c r="F10" s="44">
        <f t="shared" ca="1" si="3"/>
        <v>-1E-3</v>
      </c>
      <c r="G10" s="44">
        <f t="shared" ca="1" si="3"/>
        <v>-1E-3</v>
      </c>
      <c r="H10" s="44">
        <f t="shared" ca="1" si="3"/>
        <v>-1E-3</v>
      </c>
      <c r="I10" s="44">
        <f t="shared" ca="1" si="3"/>
        <v>-1E-3</v>
      </c>
      <c r="J10" s="44">
        <f t="shared" ca="1" si="3"/>
        <v>-1E-3</v>
      </c>
      <c r="K10" s="44">
        <f t="shared" ca="1" si="3"/>
        <v>-1E-3</v>
      </c>
      <c r="L10" s="44">
        <f t="shared" ca="1" si="3"/>
        <v>-1E-3</v>
      </c>
      <c r="M10" s="44">
        <f t="shared" ca="1" si="3"/>
        <v>-1E-3</v>
      </c>
      <c r="N10" s="44">
        <f t="shared" ca="1" si="4"/>
        <v>-1E-3</v>
      </c>
      <c r="O10" s="44">
        <f t="shared" ca="1" si="4"/>
        <v>-1E-3</v>
      </c>
      <c r="P10" s="44">
        <f t="shared" ca="1" si="4"/>
        <v>-1E-3</v>
      </c>
      <c r="Q10" s="44">
        <f t="shared" ca="1" si="4"/>
        <v>-1E-3</v>
      </c>
      <c r="R10" s="44">
        <f t="shared" ca="1" si="4"/>
        <v>-1E-3</v>
      </c>
      <c r="S10" s="44">
        <f t="shared" ca="1" si="4"/>
        <v>-1E-3</v>
      </c>
      <c r="T10" s="44">
        <f t="shared" ca="1" si="4"/>
        <v>-1E-3</v>
      </c>
      <c r="U10" s="44">
        <f t="shared" ca="1" si="4"/>
        <v>-1E-3</v>
      </c>
      <c r="V10" s="44">
        <f t="shared" ca="1" si="4"/>
        <v>-1E-3</v>
      </c>
      <c r="W10" s="44">
        <f t="shared" ca="1" si="4"/>
        <v>-1E-3</v>
      </c>
      <c r="X10" s="44">
        <f t="shared" ca="1" si="4"/>
        <v>-1E-3</v>
      </c>
      <c r="Y10" s="44">
        <f t="shared" ca="1" si="4"/>
        <v>-1E-3</v>
      </c>
      <c r="Z10" s="44">
        <f t="shared" ca="1" si="4"/>
        <v>-1E-3</v>
      </c>
      <c r="AA10" s="44">
        <f t="shared" ca="1" si="4"/>
        <v>-1E-3</v>
      </c>
      <c r="AB10" s="77">
        <f ca="1">SUM(D10:AA10)</f>
        <v>-2.2000000000000013E-2</v>
      </c>
    </row>
    <row r="11" spans="1:31" ht="15" customHeight="1" x14ac:dyDescent="0.2"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1"/>
    </row>
    <row r="12" spans="1:31" ht="15" customHeight="1" x14ac:dyDescent="0.2"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</row>
    <row r="13" spans="1:31" ht="15" customHeight="1" x14ac:dyDescent="0.2">
      <c r="D13" s="79"/>
      <c r="AA13" s="55"/>
      <c r="AB13" s="55"/>
    </row>
    <row r="14" spans="1:31" ht="15" customHeight="1" x14ac:dyDescent="0.2">
      <c r="AA14" s="55"/>
      <c r="AB14" s="55"/>
    </row>
    <row r="15" spans="1:31" ht="15" customHeight="1" x14ac:dyDescent="0.2">
      <c r="AA15" s="55"/>
      <c r="AB15" s="55"/>
    </row>
    <row r="16" spans="1:31" ht="15" customHeight="1" x14ac:dyDescent="0.2">
      <c r="AA16" s="55"/>
      <c r="AB16" s="55"/>
    </row>
    <row r="17" spans="27:28" ht="15" customHeight="1" x14ac:dyDescent="0.2">
      <c r="AA17" s="55"/>
      <c r="AB17" s="55"/>
    </row>
    <row r="18" spans="27:28" ht="15" customHeight="1" x14ac:dyDescent="0.2">
      <c r="AA18" s="55"/>
      <c r="AB18" s="55"/>
    </row>
    <row r="19" spans="27:28" ht="15" customHeight="1" x14ac:dyDescent="0.2">
      <c r="AA19" s="55"/>
      <c r="AB19" s="55"/>
    </row>
    <row r="20" spans="27:28" ht="15" customHeight="1" x14ac:dyDescent="0.2">
      <c r="AA20" s="55"/>
      <c r="AB20" s="55"/>
    </row>
    <row r="21" spans="27:28" ht="15" customHeight="1" x14ac:dyDescent="0.2">
      <c r="AA21" s="55"/>
      <c r="AB21" s="55"/>
    </row>
    <row r="22" spans="27:28" ht="15" customHeight="1" x14ac:dyDescent="0.2">
      <c r="AA22" s="55"/>
      <c r="AB22" s="55"/>
    </row>
  </sheetData>
  <mergeCells count="2">
    <mergeCell ref="AB6:AB7"/>
    <mergeCell ref="B6:C7"/>
  </mergeCells>
  <phoneticPr fontId="1" type="noConversion"/>
  <pageMargins left="0.78740157499999996" right="0.78740157499999996" top="0.984251969" bottom="0.984251969" header="0.4921259845" footer="0.4921259845"/>
  <pageSetup paperSize="9" orientation="portrait" horizontalDpi="4294967294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5"/>
  <dimension ref="A1:GI40"/>
  <sheetViews>
    <sheetView zoomScale="115" zoomScaleNormal="115" workbookViewId="0">
      <selection activeCell="C3" sqref="C3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52" bestFit="1" customWidth="1"/>
    <col min="3" max="3" width="12.7109375" style="52" customWidth="1"/>
    <col min="4" max="6" width="12.7109375" style="53" customWidth="1"/>
    <col min="7" max="20" width="12.7109375" style="53" hidden="1" customWidth="1" outlineLevel="1"/>
    <col min="21" max="21" width="12.7109375" style="54" hidden="1" customWidth="1" outlineLevel="1"/>
    <col min="22" max="26" width="12.7109375" style="55" hidden="1" customWidth="1" outlineLevel="1"/>
    <col min="27" max="27" width="12.7109375" style="53" hidden="1" customWidth="1" outlineLevel="1"/>
    <col min="28" max="28" width="9.140625" style="53" collapsed="1"/>
    <col min="29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10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</row>
    <row r="3" spans="1:30" ht="15" customHeight="1" x14ac:dyDescent="0.2">
      <c r="B3" s="64" t="s">
        <v>67</v>
      </c>
      <c r="C3" s="7">
        <v>43830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</row>
    <row r="5" spans="1:30" ht="12" customHeight="1" thickBot="1" x14ac:dyDescent="0.25">
      <c r="B5" s="73"/>
      <c r="C5" s="74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</row>
    <row r="6" spans="1:30" s="29" customFormat="1" ht="12" customHeight="1" x14ac:dyDescent="0.2">
      <c r="A6" s="27"/>
      <c r="B6" s="168"/>
      <c r="C6" s="169"/>
      <c r="D6" s="34">
        <f ca="1">D7-IF(MONTH(D7)=2,IF(OR(YEAR(D7)=2008,YEAR(D7)=2012,YEAR(D7)=2016),29,28),IF(OR(MONTH(D7)=4,MONTH(D7)=6,MONTH(D7)=9,MONTH(D7)=11),30,31))+1</f>
        <v>43101</v>
      </c>
      <c r="E6" s="35">
        <f t="shared" ref="E6:AA6" ca="1" si="0">E7-IF(MONTH(E7)=2,IF(OR(YEAR(E7)=2008,YEAR(E7)=2012,YEAR(E7)=2016),29,28),IF(OR(MONTH(E7)=4,MONTH(E7)=6,MONTH(E7)=9,MONTH(E7)=11),30,31))+1</f>
        <v>43132</v>
      </c>
      <c r="F6" s="35">
        <f t="shared" ca="1" si="0"/>
        <v>43160</v>
      </c>
      <c r="G6" s="35">
        <f t="shared" ca="1" si="0"/>
        <v>43191</v>
      </c>
      <c r="H6" s="35">
        <f t="shared" ca="1" si="0"/>
        <v>43221</v>
      </c>
      <c r="I6" s="35">
        <f t="shared" ca="1" si="0"/>
        <v>43252</v>
      </c>
      <c r="J6" s="35">
        <f t="shared" ca="1" si="0"/>
        <v>43282</v>
      </c>
      <c r="K6" s="35">
        <f t="shared" ca="1" si="0"/>
        <v>43313</v>
      </c>
      <c r="L6" s="35">
        <f t="shared" ca="1" si="0"/>
        <v>43344</v>
      </c>
      <c r="M6" s="35">
        <f t="shared" ca="1" si="0"/>
        <v>43374</v>
      </c>
      <c r="N6" s="35">
        <f t="shared" ca="1" si="0"/>
        <v>43405</v>
      </c>
      <c r="O6" s="35">
        <f t="shared" ca="1" si="0"/>
        <v>43435</v>
      </c>
      <c r="P6" s="35">
        <f t="shared" ca="1" si="0"/>
        <v>43466</v>
      </c>
      <c r="Q6" s="35">
        <f t="shared" ca="1" si="0"/>
        <v>43497</v>
      </c>
      <c r="R6" s="35">
        <f t="shared" ca="1" si="0"/>
        <v>43525</v>
      </c>
      <c r="S6" s="35">
        <f t="shared" ca="1" si="0"/>
        <v>43556</v>
      </c>
      <c r="T6" s="35">
        <f t="shared" ca="1" si="0"/>
        <v>43586</v>
      </c>
      <c r="U6" s="35">
        <f t="shared" ca="1" si="0"/>
        <v>43617</v>
      </c>
      <c r="V6" s="35">
        <f t="shared" ca="1" si="0"/>
        <v>43647</v>
      </c>
      <c r="W6" s="35">
        <f t="shared" ca="1" si="0"/>
        <v>43678</v>
      </c>
      <c r="X6" s="35">
        <f t="shared" ca="1" si="0"/>
        <v>43709</v>
      </c>
      <c r="Y6" s="35">
        <f t="shared" ca="1" si="0"/>
        <v>43739</v>
      </c>
      <c r="Z6" s="35">
        <f t="shared" ca="1" si="0"/>
        <v>43770</v>
      </c>
      <c r="AA6" s="35">
        <f t="shared" ca="1" si="0"/>
        <v>43800</v>
      </c>
    </row>
    <row r="7" spans="1:30" s="29" customFormat="1" ht="12" customHeight="1" thickBot="1" x14ac:dyDescent="0.25">
      <c r="A7" s="27"/>
      <c r="B7" s="170"/>
      <c r="C7" s="171"/>
      <c r="D7" s="36">
        <f t="shared" ref="D7:Z7" ca="1" si="1">E6-1</f>
        <v>43131</v>
      </c>
      <c r="E7" s="37">
        <f t="shared" ca="1" si="1"/>
        <v>43159</v>
      </c>
      <c r="F7" s="37">
        <f t="shared" ca="1" si="1"/>
        <v>43190</v>
      </c>
      <c r="G7" s="37">
        <f t="shared" ca="1" si="1"/>
        <v>43220</v>
      </c>
      <c r="H7" s="37">
        <f t="shared" ca="1" si="1"/>
        <v>43251</v>
      </c>
      <c r="I7" s="37">
        <f t="shared" ca="1" si="1"/>
        <v>43281</v>
      </c>
      <c r="J7" s="37">
        <f t="shared" ca="1" si="1"/>
        <v>43312</v>
      </c>
      <c r="K7" s="37">
        <f t="shared" ca="1" si="1"/>
        <v>43343</v>
      </c>
      <c r="L7" s="37">
        <f t="shared" ca="1" si="1"/>
        <v>43373</v>
      </c>
      <c r="M7" s="37">
        <f t="shared" ca="1" si="1"/>
        <v>43404</v>
      </c>
      <c r="N7" s="37">
        <f t="shared" ca="1" si="1"/>
        <v>43434</v>
      </c>
      <c r="O7" s="37">
        <f t="shared" ca="1" si="1"/>
        <v>43465</v>
      </c>
      <c r="P7" s="37">
        <f t="shared" ca="1" si="1"/>
        <v>43496</v>
      </c>
      <c r="Q7" s="37">
        <f t="shared" ca="1" si="1"/>
        <v>43524</v>
      </c>
      <c r="R7" s="37">
        <f t="shared" ca="1" si="1"/>
        <v>43555</v>
      </c>
      <c r="S7" s="37">
        <f t="shared" ca="1" si="1"/>
        <v>43585</v>
      </c>
      <c r="T7" s="37">
        <f t="shared" ca="1" si="1"/>
        <v>43616</v>
      </c>
      <c r="U7" s="37">
        <f t="shared" ca="1" si="1"/>
        <v>43646</v>
      </c>
      <c r="V7" s="37">
        <f t="shared" ca="1" si="1"/>
        <v>43677</v>
      </c>
      <c r="W7" s="37">
        <f t="shared" ca="1" si="1"/>
        <v>43708</v>
      </c>
      <c r="X7" s="37">
        <f t="shared" ca="1" si="1"/>
        <v>43738</v>
      </c>
      <c r="Y7" s="37">
        <f t="shared" ca="1" si="1"/>
        <v>43769</v>
      </c>
      <c r="Z7" s="37">
        <f t="shared" ca="1" si="1"/>
        <v>43799</v>
      </c>
      <c r="AA7" s="37">
        <f ca="1">C3</f>
        <v>43830</v>
      </c>
    </row>
    <row r="8" spans="1:30" s="29" customFormat="1" ht="12" customHeight="1" thickBot="1" x14ac:dyDescent="0.25">
      <c r="B8" s="11" t="s">
        <v>0</v>
      </c>
      <c r="C8" s="12" t="s">
        <v>2</v>
      </c>
      <c r="D8" s="38">
        <f t="shared" ref="D8:AA8" ca="1" si="2">D6</f>
        <v>43101</v>
      </c>
      <c r="E8" s="39">
        <f t="shared" ca="1" si="2"/>
        <v>43132</v>
      </c>
      <c r="F8" s="39">
        <f t="shared" ca="1" si="2"/>
        <v>43160</v>
      </c>
      <c r="G8" s="40">
        <f t="shared" ca="1" si="2"/>
        <v>43191</v>
      </c>
      <c r="H8" s="40">
        <f t="shared" ca="1" si="2"/>
        <v>43221</v>
      </c>
      <c r="I8" s="40">
        <f t="shared" ca="1" si="2"/>
        <v>43252</v>
      </c>
      <c r="J8" s="40">
        <f t="shared" ca="1" si="2"/>
        <v>43282</v>
      </c>
      <c r="K8" s="40">
        <f t="shared" ca="1" si="2"/>
        <v>43313</v>
      </c>
      <c r="L8" s="40">
        <f t="shared" ca="1" si="2"/>
        <v>43344</v>
      </c>
      <c r="M8" s="40">
        <f t="shared" ca="1" si="2"/>
        <v>43374</v>
      </c>
      <c r="N8" s="40">
        <f t="shared" ca="1" si="2"/>
        <v>43405</v>
      </c>
      <c r="O8" s="40">
        <f t="shared" ca="1" si="2"/>
        <v>43435</v>
      </c>
      <c r="P8" s="40">
        <f t="shared" ca="1" si="2"/>
        <v>43466</v>
      </c>
      <c r="Q8" s="40">
        <f t="shared" ca="1" si="2"/>
        <v>43497</v>
      </c>
      <c r="R8" s="40">
        <f t="shared" ca="1" si="2"/>
        <v>43525</v>
      </c>
      <c r="S8" s="40">
        <f t="shared" ca="1" si="2"/>
        <v>43556</v>
      </c>
      <c r="T8" s="40">
        <f t="shared" ca="1" si="2"/>
        <v>43586</v>
      </c>
      <c r="U8" s="40">
        <f t="shared" ca="1" si="2"/>
        <v>43617</v>
      </c>
      <c r="V8" s="40">
        <f t="shared" ca="1" si="2"/>
        <v>43647</v>
      </c>
      <c r="W8" s="40">
        <f t="shared" ca="1" si="2"/>
        <v>43678</v>
      </c>
      <c r="X8" s="40">
        <f t="shared" ca="1" si="2"/>
        <v>43709</v>
      </c>
      <c r="Y8" s="40">
        <f t="shared" ca="1" si="2"/>
        <v>43739</v>
      </c>
      <c r="Z8" s="40">
        <f t="shared" ca="1" si="2"/>
        <v>43770</v>
      </c>
      <c r="AA8" s="40">
        <f t="shared" ca="1" si="2"/>
        <v>43800</v>
      </c>
    </row>
    <row r="9" spans="1:30" ht="15" customHeight="1" thickBot="1" x14ac:dyDescent="0.25">
      <c r="B9" s="41" t="s">
        <v>8</v>
      </c>
      <c r="C9" s="43" t="s">
        <v>5</v>
      </c>
      <c r="D9" s="44">
        <f ca="1">AbraBalance(URL,Username,Password,$C9,(D$6-1))/1000+AbraTurnover(URL,Username,Password,$C9,D$6,D$7)/1000</f>
        <v>-2E-3</v>
      </c>
      <c r="E9" s="44">
        <f ca="1">D9+AbraTurnover(URL,Username,Password,$C9,E$6,E$7)/1000</f>
        <v>-3.0000000000000001E-3</v>
      </c>
      <c r="F9" s="44">
        <f t="shared" ref="F9:AA10" ca="1" si="3">E9+AbraTurnover(URL,Username,Password,$C9,F$6,F$7)/1000</f>
        <v>-4.0000000000000001E-3</v>
      </c>
      <c r="G9" s="44">
        <f t="shared" ca="1" si="3"/>
        <v>-5.0000000000000001E-3</v>
      </c>
      <c r="H9" s="44">
        <f t="shared" ca="1" si="3"/>
        <v>-6.0000000000000001E-3</v>
      </c>
      <c r="I9" s="44">
        <f t="shared" ca="1" si="3"/>
        <v>-7.0000000000000001E-3</v>
      </c>
      <c r="J9" s="44">
        <f t="shared" ca="1" si="3"/>
        <v>-8.0000000000000002E-3</v>
      </c>
      <c r="K9" s="44">
        <f t="shared" ca="1" si="3"/>
        <v>-9.0000000000000011E-3</v>
      </c>
      <c r="L9" s="44">
        <f t="shared" ca="1" si="3"/>
        <v>-1.0000000000000002E-2</v>
      </c>
      <c r="M9" s="44">
        <f t="shared" ca="1" si="3"/>
        <v>-1.1000000000000003E-2</v>
      </c>
      <c r="N9" s="44">
        <f t="shared" ca="1" si="3"/>
        <v>-1.2000000000000004E-2</v>
      </c>
      <c r="O9" s="44">
        <f t="shared" ca="1" si="3"/>
        <v>-1.3000000000000005E-2</v>
      </c>
      <c r="P9" s="44">
        <f t="shared" ca="1" si="3"/>
        <v>-1.4000000000000005E-2</v>
      </c>
      <c r="Q9" s="44">
        <f t="shared" ca="1" si="3"/>
        <v>-1.5000000000000006E-2</v>
      </c>
      <c r="R9" s="44">
        <f t="shared" ca="1" si="3"/>
        <v>-1.6000000000000007E-2</v>
      </c>
      <c r="S9" s="44">
        <f t="shared" ca="1" si="3"/>
        <v>-1.7000000000000008E-2</v>
      </c>
      <c r="T9" s="44">
        <f t="shared" ca="1" si="3"/>
        <v>-1.8000000000000009E-2</v>
      </c>
      <c r="U9" s="44">
        <f t="shared" ca="1" si="3"/>
        <v>-1.900000000000001E-2</v>
      </c>
      <c r="V9" s="44">
        <f t="shared" ca="1" si="3"/>
        <v>-2.0000000000000011E-2</v>
      </c>
      <c r="W9" s="44">
        <f t="shared" ca="1" si="3"/>
        <v>-2.1000000000000012E-2</v>
      </c>
      <c r="X9" s="44">
        <f t="shared" ca="1" si="3"/>
        <v>-2.2000000000000013E-2</v>
      </c>
      <c r="Y9" s="44">
        <f t="shared" ca="1" si="3"/>
        <v>-2.3000000000000013E-2</v>
      </c>
      <c r="Z9" s="44">
        <f t="shared" ca="1" si="3"/>
        <v>-2.4000000000000014E-2</v>
      </c>
      <c r="AA9" s="44">
        <f t="shared" ca="1" si="3"/>
        <v>-2.5000000000000015E-2</v>
      </c>
      <c r="AC9" s="29"/>
      <c r="AD9" s="29"/>
    </row>
    <row r="10" spans="1:30" ht="15" customHeight="1" thickBot="1" x14ac:dyDescent="0.25">
      <c r="B10" s="45" t="s">
        <v>7</v>
      </c>
      <c r="C10" s="47" t="s">
        <v>6</v>
      </c>
      <c r="D10" s="44">
        <f ca="1">AbraBalance(URL,Username,Password,$C10,(D$6-1))/1000+AbraTurnover(URL,Username,Password,$C10,D$6,D$7)/1000</f>
        <v>0</v>
      </c>
      <c r="E10" s="44">
        <f ca="1">D10+AbraTurnover(URL,Username,Password,$C10,E$6,E$7)/1000</f>
        <v>-1E-3</v>
      </c>
      <c r="F10" s="44">
        <f ca="1">E10+AbraTurnover(URL,Username,Password,$C10,F$6,F$7)/1000</f>
        <v>-2E-3</v>
      </c>
      <c r="G10" s="44">
        <f t="shared" ca="1" si="3"/>
        <v>-3.0000000000000001E-3</v>
      </c>
      <c r="H10" s="44">
        <f t="shared" ca="1" si="3"/>
        <v>-4.0000000000000001E-3</v>
      </c>
      <c r="I10" s="44">
        <f t="shared" ca="1" si="3"/>
        <v>-5.0000000000000001E-3</v>
      </c>
      <c r="J10" s="44">
        <f t="shared" ca="1" si="3"/>
        <v>-6.0000000000000001E-3</v>
      </c>
      <c r="K10" s="44">
        <f t="shared" ca="1" si="3"/>
        <v>-7.0000000000000001E-3</v>
      </c>
      <c r="L10" s="44">
        <f t="shared" ca="1" si="3"/>
        <v>-8.0000000000000002E-3</v>
      </c>
      <c r="M10" s="44">
        <f t="shared" ca="1" si="3"/>
        <v>-9.0000000000000011E-3</v>
      </c>
      <c r="N10" s="44">
        <f t="shared" ca="1" si="3"/>
        <v>-1.0000000000000002E-2</v>
      </c>
      <c r="O10" s="44">
        <f t="shared" ca="1" si="3"/>
        <v>-1.1000000000000003E-2</v>
      </c>
      <c r="P10" s="44">
        <f t="shared" ca="1" si="3"/>
        <v>-1.2000000000000004E-2</v>
      </c>
      <c r="Q10" s="44">
        <f t="shared" ca="1" si="3"/>
        <v>-1.3000000000000005E-2</v>
      </c>
      <c r="R10" s="44">
        <f t="shared" ca="1" si="3"/>
        <v>-1.4000000000000005E-2</v>
      </c>
      <c r="S10" s="44">
        <f t="shared" ca="1" si="3"/>
        <v>-1.5000000000000006E-2</v>
      </c>
      <c r="T10" s="44">
        <f t="shared" ca="1" si="3"/>
        <v>-1.6000000000000007E-2</v>
      </c>
      <c r="U10" s="44">
        <f t="shared" ca="1" si="3"/>
        <v>-1.7000000000000008E-2</v>
      </c>
      <c r="V10" s="44">
        <f t="shared" ca="1" si="3"/>
        <v>-1.8000000000000009E-2</v>
      </c>
      <c r="W10" s="44">
        <f t="shared" ca="1" si="3"/>
        <v>-1.900000000000001E-2</v>
      </c>
      <c r="X10" s="44">
        <f t="shared" ca="1" si="3"/>
        <v>-2.0000000000000011E-2</v>
      </c>
      <c r="Y10" s="44">
        <f t="shared" ca="1" si="3"/>
        <v>-2.1000000000000012E-2</v>
      </c>
      <c r="Z10" s="44">
        <f t="shared" ca="1" si="3"/>
        <v>-2.2000000000000013E-2</v>
      </c>
      <c r="AA10" s="44">
        <f t="shared" ca="1" si="3"/>
        <v>-2.3000000000000013E-2</v>
      </c>
    </row>
    <row r="11" spans="1:30" ht="15" customHeight="1" thickBot="1" x14ac:dyDescent="0.25">
      <c r="B11" s="172" t="s">
        <v>9</v>
      </c>
      <c r="C11" s="173"/>
      <c r="D11" s="48">
        <f t="shared" ref="D11:AA11" ca="1" si="4">SUM(D9:D10)</f>
        <v>-2E-3</v>
      </c>
      <c r="E11" s="49">
        <f t="shared" ca="1" si="4"/>
        <v>-4.0000000000000001E-3</v>
      </c>
      <c r="F11" s="49">
        <f t="shared" ca="1" si="4"/>
        <v>-6.0000000000000001E-3</v>
      </c>
      <c r="G11" s="49">
        <f t="shared" ca="1" si="4"/>
        <v>-8.0000000000000002E-3</v>
      </c>
      <c r="H11" s="49">
        <f t="shared" ca="1" si="4"/>
        <v>-0.01</v>
      </c>
      <c r="I11" s="49">
        <f t="shared" ca="1" si="4"/>
        <v>-1.2E-2</v>
      </c>
      <c r="J11" s="49">
        <f t="shared" ca="1" si="4"/>
        <v>-1.4E-2</v>
      </c>
      <c r="K11" s="49">
        <f t="shared" ca="1" si="4"/>
        <v>-1.6E-2</v>
      </c>
      <c r="L11" s="49">
        <f t="shared" ca="1" si="4"/>
        <v>-1.8000000000000002E-2</v>
      </c>
      <c r="M11" s="49">
        <f t="shared" ca="1" si="4"/>
        <v>-2.0000000000000004E-2</v>
      </c>
      <c r="N11" s="49">
        <f t="shared" ca="1" si="4"/>
        <v>-2.2000000000000006E-2</v>
      </c>
      <c r="O11" s="49">
        <f t="shared" ca="1" si="4"/>
        <v>-2.4000000000000007E-2</v>
      </c>
      <c r="P11" s="49">
        <f t="shared" ca="1" si="4"/>
        <v>-2.6000000000000009E-2</v>
      </c>
      <c r="Q11" s="49">
        <f t="shared" ca="1" si="4"/>
        <v>-2.8000000000000011E-2</v>
      </c>
      <c r="R11" s="49">
        <f t="shared" ca="1" si="4"/>
        <v>-3.0000000000000013E-2</v>
      </c>
      <c r="S11" s="49">
        <f t="shared" ca="1" si="4"/>
        <v>-3.2000000000000015E-2</v>
      </c>
      <c r="T11" s="49">
        <f t="shared" ca="1" si="4"/>
        <v>-3.4000000000000016E-2</v>
      </c>
      <c r="U11" s="49">
        <f t="shared" ca="1" si="4"/>
        <v>-3.6000000000000018E-2</v>
      </c>
      <c r="V11" s="49">
        <f t="shared" ca="1" si="4"/>
        <v>-3.800000000000002E-2</v>
      </c>
      <c r="W11" s="49">
        <f t="shared" ca="1" si="4"/>
        <v>-4.0000000000000022E-2</v>
      </c>
      <c r="X11" s="49">
        <f t="shared" ca="1" si="4"/>
        <v>-4.2000000000000023E-2</v>
      </c>
      <c r="Y11" s="49">
        <f t="shared" ca="1" si="4"/>
        <v>-4.4000000000000025E-2</v>
      </c>
      <c r="Z11" s="49">
        <f t="shared" ca="1" si="4"/>
        <v>-4.6000000000000027E-2</v>
      </c>
      <c r="AA11" s="49">
        <f t="shared" ca="1" si="4"/>
        <v>-4.8000000000000029E-2</v>
      </c>
    </row>
    <row r="12" spans="1:30" ht="15" customHeight="1" x14ac:dyDescent="0.2"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</row>
    <row r="40" spans="5:5" x14ac:dyDescent="0.2">
      <c r="E40" s="164"/>
    </row>
  </sheetData>
  <mergeCells count="2">
    <mergeCell ref="B6:C7"/>
    <mergeCell ref="B11:C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6"/>
  <dimension ref="A1:GI23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13" bestFit="1" customWidth="1"/>
    <col min="3" max="3" width="19.85546875" style="13" customWidth="1"/>
    <col min="4" max="4" width="15.85546875" style="13" customWidth="1"/>
    <col min="5" max="7" width="12.7109375" style="22" customWidth="1"/>
    <col min="8" max="21" width="12.7109375" style="22" hidden="1" customWidth="1" outlineLevel="1"/>
    <col min="22" max="22" width="12.7109375" style="23" hidden="1" customWidth="1" outlineLevel="1"/>
    <col min="23" max="27" width="12.7109375" style="24" hidden="1" customWidth="1" outlineLevel="1"/>
    <col min="28" max="28" width="12.7109375" style="22" hidden="1" customWidth="1" outlineLevel="1"/>
    <col min="29" max="29" width="9.140625" style="22" collapsed="1"/>
    <col min="30" max="191" width="9.140625" style="22"/>
    <col min="192" max="16384" width="9.140625" style="25"/>
  </cols>
  <sheetData>
    <row r="1" spans="1:191" ht="10.35" customHeight="1" thickBot="1" x14ac:dyDescent="0.25"/>
    <row r="2" spans="1:191" ht="15" customHeight="1" x14ac:dyDescent="0.2">
      <c r="B2" s="5" t="s">
        <v>11</v>
      </c>
      <c r="C2" s="17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</row>
    <row r="3" spans="1:191" ht="15" customHeight="1" x14ac:dyDescent="0.15">
      <c r="B3" s="20" t="s">
        <v>46</v>
      </c>
      <c r="C3" s="18" t="s">
        <v>45</v>
      </c>
      <c r="D3" s="7">
        <v>43830</v>
      </c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</row>
    <row r="4" spans="1:191" ht="15" customHeight="1" x14ac:dyDescent="0.15">
      <c r="B4" s="19"/>
      <c r="C4" s="8"/>
      <c r="D4" s="8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</row>
    <row r="5" spans="1:191" ht="15" customHeight="1" thickBot="1" x14ac:dyDescent="0.2">
      <c r="B5" s="9"/>
      <c r="C5" s="10"/>
      <c r="D5" s="10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</row>
    <row r="6" spans="1:191" s="28" customFormat="1" ht="15" customHeight="1" x14ac:dyDescent="0.15">
      <c r="A6" s="27"/>
      <c r="B6" s="168"/>
      <c r="C6" s="175"/>
      <c r="D6" s="169"/>
      <c r="E6" s="34">
        <f ca="1">E7-IF(MONTH(E7)=2,IF(OR(YEAR(E7)=2008,YEAR(E7)=2012,YEAR(E7)=2016),29,28),IF(OR(MONTH(E7)=4,MONTH(E7)=6,MONTH(E7)=9,MONTH(E7)=11),30,31))+1</f>
        <v>43101</v>
      </c>
      <c r="F6" s="35">
        <f t="shared" ref="F6:AB6" ca="1" si="0">F7-IF(MONTH(F7)=2,IF(OR(YEAR(F7)=2008,YEAR(F7)=2012,YEAR(F7)=2016),29,28),IF(OR(MONTH(F7)=4,MONTH(F7)=6,MONTH(F7)=9,MONTH(F7)=11),30,31))+1</f>
        <v>43132</v>
      </c>
      <c r="G6" s="35">
        <f t="shared" ca="1" si="0"/>
        <v>43160</v>
      </c>
      <c r="H6" s="35">
        <f t="shared" ca="1" si="0"/>
        <v>43191</v>
      </c>
      <c r="I6" s="35">
        <f t="shared" ca="1" si="0"/>
        <v>43221</v>
      </c>
      <c r="J6" s="35">
        <f t="shared" ca="1" si="0"/>
        <v>43252</v>
      </c>
      <c r="K6" s="35">
        <f t="shared" ca="1" si="0"/>
        <v>43282</v>
      </c>
      <c r="L6" s="35">
        <f t="shared" ca="1" si="0"/>
        <v>43313</v>
      </c>
      <c r="M6" s="35">
        <f t="shared" ca="1" si="0"/>
        <v>43344</v>
      </c>
      <c r="N6" s="35">
        <f t="shared" ca="1" si="0"/>
        <v>43374</v>
      </c>
      <c r="O6" s="35">
        <f t="shared" ca="1" si="0"/>
        <v>43405</v>
      </c>
      <c r="P6" s="35">
        <f t="shared" ca="1" si="0"/>
        <v>43435</v>
      </c>
      <c r="Q6" s="35">
        <f t="shared" ca="1" si="0"/>
        <v>43466</v>
      </c>
      <c r="R6" s="35">
        <f t="shared" ca="1" si="0"/>
        <v>43497</v>
      </c>
      <c r="S6" s="35">
        <f t="shared" ca="1" si="0"/>
        <v>43525</v>
      </c>
      <c r="T6" s="35">
        <f t="shared" ca="1" si="0"/>
        <v>43556</v>
      </c>
      <c r="U6" s="35">
        <f t="shared" ca="1" si="0"/>
        <v>43586</v>
      </c>
      <c r="V6" s="35">
        <f t="shared" ca="1" si="0"/>
        <v>43617</v>
      </c>
      <c r="W6" s="35">
        <f t="shared" ca="1" si="0"/>
        <v>43647</v>
      </c>
      <c r="X6" s="35">
        <f t="shared" ca="1" si="0"/>
        <v>43678</v>
      </c>
      <c r="Y6" s="35">
        <f t="shared" ca="1" si="0"/>
        <v>43709</v>
      </c>
      <c r="Z6" s="35">
        <f t="shared" ca="1" si="0"/>
        <v>43739</v>
      </c>
      <c r="AA6" s="35">
        <f t="shared" ca="1" si="0"/>
        <v>43770</v>
      </c>
      <c r="AB6" s="35">
        <f t="shared" ca="1" si="0"/>
        <v>43800</v>
      </c>
    </row>
    <row r="7" spans="1:191" s="28" customFormat="1" ht="15" customHeight="1" thickBot="1" x14ac:dyDescent="0.2">
      <c r="A7" s="27"/>
      <c r="B7" s="170"/>
      <c r="C7" s="176"/>
      <c r="D7" s="171"/>
      <c r="E7" s="36">
        <f t="shared" ref="E7:AA7" ca="1" si="1">F6-1</f>
        <v>43131</v>
      </c>
      <c r="F7" s="37">
        <f t="shared" ca="1" si="1"/>
        <v>43159</v>
      </c>
      <c r="G7" s="37">
        <f t="shared" ca="1" si="1"/>
        <v>43190</v>
      </c>
      <c r="H7" s="37">
        <f t="shared" ca="1" si="1"/>
        <v>43220</v>
      </c>
      <c r="I7" s="37">
        <f t="shared" ca="1" si="1"/>
        <v>43251</v>
      </c>
      <c r="J7" s="37">
        <f t="shared" ca="1" si="1"/>
        <v>43281</v>
      </c>
      <c r="K7" s="37">
        <f t="shared" ca="1" si="1"/>
        <v>43312</v>
      </c>
      <c r="L7" s="37">
        <f t="shared" ca="1" si="1"/>
        <v>43343</v>
      </c>
      <c r="M7" s="37">
        <f t="shared" ca="1" si="1"/>
        <v>43373</v>
      </c>
      <c r="N7" s="37">
        <f t="shared" ca="1" si="1"/>
        <v>43404</v>
      </c>
      <c r="O7" s="37">
        <f t="shared" ca="1" si="1"/>
        <v>43434</v>
      </c>
      <c r="P7" s="37">
        <f t="shared" ca="1" si="1"/>
        <v>43465</v>
      </c>
      <c r="Q7" s="37">
        <f t="shared" ca="1" si="1"/>
        <v>43496</v>
      </c>
      <c r="R7" s="37">
        <f t="shared" ca="1" si="1"/>
        <v>43524</v>
      </c>
      <c r="S7" s="37">
        <f t="shared" ca="1" si="1"/>
        <v>43555</v>
      </c>
      <c r="T7" s="37">
        <f t="shared" ca="1" si="1"/>
        <v>43585</v>
      </c>
      <c r="U7" s="37">
        <f t="shared" ca="1" si="1"/>
        <v>43616</v>
      </c>
      <c r="V7" s="37">
        <f t="shared" ca="1" si="1"/>
        <v>43646</v>
      </c>
      <c r="W7" s="37">
        <f t="shared" ca="1" si="1"/>
        <v>43677</v>
      </c>
      <c r="X7" s="37">
        <f t="shared" ca="1" si="1"/>
        <v>43708</v>
      </c>
      <c r="Y7" s="37">
        <f t="shared" ca="1" si="1"/>
        <v>43738</v>
      </c>
      <c r="Z7" s="37">
        <f t="shared" ca="1" si="1"/>
        <v>43769</v>
      </c>
      <c r="AA7" s="37">
        <f t="shared" ca="1" si="1"/>
        <v>43799</v>
      </c>
      <c r="AB7" s="37">
        <f ca="1">D3</f>
        <v>43830</v>
      </c>
    </row>
    <row r="8" spans="1:191" s="28" customFormat="1" ht="15" customHeight="1" thickBot="1" x14ac:dyDescent="0.2">
      <c r="A8" s="29"/>
      <c r="B8" s="11" t="s">
        <v>0</v>
      </c>
      <c r="C8" s="12" t="s">
        <v>14</v>
      </c>
      <c r="D8" s="12" t="s">
        <v>47</v>
      </c>
      <c r="E8" s="38">
        <f t="shared" ref="E8:AB8" ca="1" si="2">E6</f>
        <v>43101</v>
      </c>
      <c r="F8" s="39">
        <f t="shared" ca="1" si="2"/>
        <v>43132</v>
      </c>
      <c r="G8" s="39">
        <f t="shared" ca="1" si="2"/>
        <v>43160</v>
      </c>
      <c r="H8" s="40">
        <f t="shared" ca="1" si="2"/>
        <v>43191</v>
      </c>
      <c r="I8" s="40">
        <f t="shared" ca="1" si="2"/>
        <v>43221</v>
      </c>
      <c r="J8" s="40">
        <f t="shared" ca="1" si="2"/>
        <v>43252</v>
      </c>
      <c r="K8" s="40">
        <f t="shared" ca="1" si="2"/>
        <v>43282</v>
      </c>
      <c r="L8" s="158">
        <f t="shared" ca="1" si="2"/>
        <v>43313</v>
      </c>
      <c r="M8" s="40">
        <f t="shared" ca="1" si="2"/>
        <v>43344</v>
      </c>
      <c r="N8" s="40">
        <f t="shared" ca="1" si="2"/>
        <v>43374</v>
      </c>
      <c r="O8" s="40">
        <f t="shared" ca="1" si="2"/>
        <v>43405</v>
      </c>
      <c r="P8" s="40">
        <f t="shared" ca="1" si="2"/>
        <v>43435</v>
      </c>
      <c r="Q8" s="40">
        <f t="shared" ca="1" si="2"/>
        <v>43466</v>
      </c>
      <c r="R8" s="40">
        <f t="shared" ca="1" si="2"/>
        <v>43497</v>
      </c>
      <c r="S8" s="40">
        <f t="shared" ca="1" si="2"/>
        <v>43525</v>
      </c>
      <c r="T8" s="40">
        <f t="shared" ca="1" si="2"/>
        <v>43556</v>
      </c>
      <c r="U8" s="40">
        <f t="shared" ca="1" si="2"/>
        <v>43586</v>
      </c>
      <c r="V8" s="40">
        <f t="shared" ca="1" si="2"/>
        <v>43617</v>
      </c>
      <c r="W8" s="40">
        <f t="shared" ca="1" si="2"/>
        <v>43647</v>
      </c>
      <c r="X8" s="40">
        <f t="shared" ca="1" si="2"/>
        <v>43678</v>
      </c>
      <c r="Y8" s="40">
        <f t="shared" ca="1" si="2"/>
        <v>43709</v>
      </c>
      <c r="Z8" s="40">
        <f t="shared" ca="1" si="2"/>
        <v>43739</v>
      </c>
      <c r="AA8" s="40">
        <f t="shared" ca="1" si="2"/>
        <v>43770</v>
      </c>
      <c r="AB8" s="40">
        <f t="shared" ca="1" si="2"/>
        <v>43800</v>
      </c>
    </row>
    <row r="9" spans="1:191" ht="15" customHeight="1" x14ac:dyDescent="0.15">
      <c r="B9" s="41"/>
      <c r="C9" s="42" t="s">
        <v>48</v>
      </c>
      <c r="D9" s="43" t="s">
        <v>4</v>
      </c>
      <c r="E9" s="152">
        <f t="shared" ref="E9:N10" ca="1" si="3">AbraStock(URL,Username,Password,$D9,E$6)/1000</f>
        <v>-1E-3</v>
      </c>
      <c r="F9" s="152">
        <f t="shared" ca="1" si="3"/>
        <v>-1E-3</v>
      </c>
      <c r="G9" s="152">
        <f t="shared" ca="1" si="3"/>
        <v>-1E-3</v>
      </c>
      <c r="H9" s="152">
        <f t="shared" ca="1" si="3"/>
        <v>-1E-3</v>
      </c>
      <c r="I9" s="152">
        <f t="shared" ca="1" si="3"/>
        <v>-1E-3</v>
      </c>
      <c r="J9" s="152">
        <f t="shared" ca="1" si="3"/>
        <v>-1E-3</v>
      </c>
      <c r="K9" s="152">
        <f t="shared" ca="1" si="3"/>
        <v>-1E-3</v>
      </c>
      <c r="L9" s="159">
        <f t="shared" ca="1" si="3"/>
        <v>-1E-3</v>
      </c>
      <c r="M9" s="152">
        <f t="shared" ca="1" si="3"/>
        <v>-1E-3</v>
      </c>
      <c r="N9" s="152">
        <f t="shared" ca="1" si="3"/>
        <v>-1E-3</v>
      </c>
      <c r="O9" s="152">
        <f t="shared" ref="O9:AB10" ca="1" si="4">AbraStock(URL,Username,Password,$D9,O$6)/1000</f>
        <v>-1E-3</v>
      </c>
      <c r="P9" s="152">
        <f t="shared" ca="1" si="4"/>
        <v>-1E-3</v>
      </c>
      <c r="Q9" s="152">
        <f t="shared" ca="1" si="4"/>
        <v>-1E-3</v>
      </c>
      <c r="R9" s="152">
        <f t="shared" ca="1" si="4"/>
        <v>-1E-3</v>
      </c>
      <c r="S9" s="152">
        <f t="shared" ca="1" si="4"/>
        <v>-1E-3</v>
      </c>
      <c r="T9" s="152">
        <f t="shared" ca="1" si="4"/>
        <v>-1E-3</v>
      </c>
      <c r="U9" s="152">
        <f t="shared" ca="1" si="4"/>
        <v>-1E-3</v>
      </c>
      <c r="V9" s="152">
        <f t="shared" ca="1" si="4"/>
        <v>-1E-3</v>
      </c>
      <c r="W9" s="152">
        <f t="shared" ca="1" si="4"/>
        <v>-1E-3</v>
      </c>
      <c r="X9" s="152">
        <f t="shared" ca="1" si="4"/>
        <v>-1E-3</v>
      </c>
      <c r="Y9" s="152">
        <f t="shared" ca="1" si="4"/>
        <v>-1E-3</v>
      </c>
      <c r="Z9" s="152">
        <f t="shared" ca="1" si="4"/>
        <v>-1E-3</v>
      </c>
      <c r="AA9" s="152">
        <f t="shared" ca="1" si="4"/>
        <v>-1E-3</v>
      </c>
      <c r="AB9" s="152">
        <f t="shared" ca="1" si="4"/>
        <v>-1E-3</v>
      </c>
      <c r="AC9" s="28"/>
      <c r="AD9" s="28"/>
    </row>
    <row r="10" spans="1:191" ht="15" customHeight="1" thickBot="1" x14ac:dyDescent="0.2">
      <c r="B10" s="45"/>
      <c r="C10" s="46" t="s">
        <v>49</v>
      </c>
      <c r="D10" s="61" t="s">
        <v>37</v>
      </c>
      <c r="E10" s="155">
        <f t="shared" ca="1" si="3"/>
        <v>-1E-3</v>
      </c>
      <c r="F10" s="156">
        <f t="shared" ca="1" si="3"/>
        <v>-1E-3</v>
      </c>
      <c r="G10" s="156">
        <f t="shared" ca="1" si="3"/>
        <v>-1E-3</v>
      </c>
      <c r="H10" s="156">
        <f t="shared" ca="1" si="3"/>
        <v>-1E-3</v>
      </c>
      <c r="I10" s="156">
        <f t="shared" ca="1" si="3"/>
        <v>-1E-3</v>
      </c>
      <c r="J10" s="156">
        <f t="shared" ca="1" si="3"/>
        <v>-1E-3</v>
      </c>
      <c r="K10" s="156">
        <f t="shared" ca="1" si="3"/>
        <v>-1E-3</v>
      </c>
      <c r="L10" s="156">
        <f t="shared" ca="1" si="3"/>
        <v>-1E-3</v>
      </c>
      <c r="M10" s="156">
        <f t="shared" ca="1" si="3"/>
        <v>-1E-3</v>
      </c>
      <c r="N10" s="156">
        <f t="shared" ca="1" si="3"/>
        <v>-1E-3</v>
      </c>
      <c r="O10" s="156">
        <f t="shared" ca="1" si="4"/>
        <v>-1E-3</v>
      </c>
      <c r="P10" s="156">
        <f t="shared" ca="1" si="4"/>
        <v>-1E-3</v>
      </c>
      <c r="Q10" s="156">
        <f t="shared" ca="1" si="4"/>
        <v>-1E-3</v>
      </c>
      <c r="R10" s="156">
        <f t="shared" ca="1" si="4"/>
        <v>-1E-3</v>
      </c>
      <c r="S10" s="156">
        <f t="shared" ca="1" si="4"/>
        <v>-1E-3</v>
      </c>
      <c r="T10" s="156">
        <f t="shared" ca="1" si="4"/>
        <v>-1E-3</v>
      </c>
      <c r="U10" s="156">
        <f t="shared" ca="1" si="4"/>
        <v>-1E-3</v>
      </c>
      <c r="V10" s="156">
        <f t="shared" ca="1" si="4"/>
        <v>-1E-3</v>
      </c>
      <c r="W10" s="156">
        <f t="shared" ca="1" si="4"/>
        <v>-1E-3</v>
      </c>
      <c r="X10" s="156">
        <f t="shared" ca="1" si="4"/>
        <v>-1E-3</v>
      </c>
      <c r="Y10" s="156">
        <f t="shared" ca="1" si="4"/>
        <v>-1E-3</v>
      </c>
      <c r="Z10" s="156">
        <f t="shared" ca="1" si="4"/>
        <v>-1E-3</v>
      </c>
      <c r="AA10" s="156">
        <f t="shared" ca="1" si="4"/>
        <v>-1E-3</v>
      </c>
      <c r="AB10" s="157">
        <f t="shared" ca="1" si="4"/>
        <v>-1E-3</v>
      </c>
      <c r="AC10" s="33"/>
    </row>
    <row r="11" spans="1:191" s="32" customFormat="1" ht="15" customHeight="1" thickBot="1" x14ac:dyDescent="0.25">
      <c r="A11" s="30"/>
      <c r="B11" s="172" t="s">
        <v>1</v>
      </c>
      <c r="C11" s="174"/>
      <c r="D11" s="173"/>
      <c r="E11" s="62">
        <f t="shared" ref="E11:AB11" ca="1" si="5">SUM(E9:E10)</f>
        <v>-2E-3</v>
      </c>
      <c r="F11" s="154">
        <f t="shared" ca="1" si="5"/>
        <v>-2E-3</v>
      </c>
      <c r="G11" s="154">
        <f t="shared" ca="1" si="5"/>
        <v>-2E-3</v>
      </c>
      <c r="H11" s="154">
        <f t="shared" ca="1" si="5"/>
        <v>-2E-3</v>
      </c>
      <c r="I11" s="154">
        <f t="shared" ca="1" si="5"/>
        <v>-2E-3</v>
      </c>
      <c r="J11" s="154">
        <f t="shared" ca="1" si="5"/>
        <v>-2E-3</v>
      </c>
      <c r="K11" s="154">
        <f t="shared" ca="1" si="5"/>
        <v>-2E-3</v>
      </c>
      <c r="L11" s="154">
        <f t="shared" ca="1" si="5"/>
        <v>-2E-3</v>
      </c>
      <c r="M11" s="154">
        <f t="shared" ca="1" si="5"/>
        <v>-2E-3</v>
      </c>
      <c r="N11" s="154">
        <f t="shared" ca="1" si="5"/>
        <v>-2E-3</v>
      </c>
      <c r="O11" s="154">
        <f t="shared" ca="1" si="5"/>
        <v>-2E-3</v>
      </c>
      <c r="P11" s="154">
        <f t="shared" ca="1" si="5"/>
        <v>-2E-3</v>
      </c>
      <c r="Q11" s="154">
        <f t="shared" ca="1" si="5"/>
        <v>-2E-3</v>
      </c>
      <c r="R11" s="154">
        <f t="shared" ca="1" si="5"/>
        <v>-2E-3</v>
      </c>
      <c r="S11" s="154">
        <f t="shared" ca="1" si="5"/>
        <v>-2E-3</v>
      </c>
      <c r="T11" s="154">
        <f t="shared" ca="1" si="5"/>
        <v>-2E-3</v>
      </c>
      <c r="U11" s="154">
        <f t="shared" ca="1" si="5"/>
        <v>-2E-3</v>
      </c>
      <c r="V11" s="154">
        <f t="shared" ca="1" si="5"/>
        <v>-2E-3</v>
      </c>
      <c r="W11" s="154">
        <f t="shared" ca="1" si="5"/>
        <v>-2E-3</v>
      </c>
      <c r="X11" s="154">
        <f t="shared" ca="1" si="5"/>
        <v>-2E-3</v>
      </c>
      <c r="Y11" s="154">
        <f t="shared" ca="1" si="5"/>
        <v>-2E-3</v>
      </c>
      <c r="Z11" s="154">
        <f t="shared" ca="1" si="5"/>
        <v>-2E-3</v>
      </c>
      <c r="AA11" s="154">
        <f t="shared" ca="1" si="5"/>
        <v>-2E-3</v>
      </c>
      <c r="AB11" s="154">
        <f t="shared" ca="1" si="5"/>
        <v>-2E-3</v>
      </c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1"/>
      <c r="FB11" s="31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  <c r="FX11" s="31"/>
      <c r="FY11" s="31"/>
      <c r="FZ11" s="31"/>
      <c r="GA11" s="31"/>
      <c r="GB11" s="31"/>
      <c r="GC11" s="31"/>
      <c r="GD11" s="31"/>
      <c r="GE11" s="31"/>
      <c r="GF11" s="31"/>
      <c r="GG11" s="31"/>
      <c r="GH11" s="31"/>
      <c r="GI11" s="31"/>
    </row>
    <row r="12" spans="1:191" s="32" customFormat="1" ht="15" customHeight="1" x14ac:dyDescent="0.2">
      <c r="A12" s="30"/>
      <c r="B12" s="50"/>
      <c r="C12" s="50"/>
      <c r="D12" s="50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</row>
    <row r="13" spans="1:191" x14ac:dyDescent="0.15">
      <c r="B13" s="52"/>
      <c r="C13" s="52"/>
      <c r="D13" s="52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4"/>
      <c r="W13" s="55"/>
      <c r="X13" s="55"/>
      <c r="Y13" s="55"/>
      <c r="Z13" s="55"/>
      <c r="AA13" s="55"/>
      <c r="AB13" s="53"/>
    </row>
    <row r="14" spans="1:191" ht="15" customHeight="1" thickBot="1" x14ac:dyDescent="0.2">
      <c r="B14" s="50" t="s">
        <v>65</v>
      </c>
      <c r="C14" s="50"/>
      <c r="D14" s="50" t="s">
        <v>77</v>
      </c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</row>
    <row r="15" spans="1:191" ht="15" customHeight="1" x14ac:dyDescent="0.15">
      <c r="B15" s="56"/>
      <c r="C15" s="57"/>
      <c r="D15" s="58" t="s">
        <v>75</v>
      </c>
      <c r="E15" s="153">
        <f t="shared" ref="E15:N16" ca="1" si="6">AbraMoves(URL,Username,Password,"a",E$6,E$7,$D15)/1000</f>
        <v>-1E-3</v>
      </c>
      <c r="F15" s="153">
        <f t="shared" ca="1" si="6"/>
        <v>-1E-3</v>
      </c>
      <c r="G15" s="153">
        <f t="shared" ca="1" si="6"/>
        <v>-1E-3</v>
      </c>
      <c r="H15" s="153">
        <f t="shared" ca="1" si="6"/>
        <v>-1E-3</v>
      </c>
      <c r="I15" s="153">
        <f t="shared" ca="1" si="6"/>
        <v>-1E-3</v>
      </c>
      <c r="J15" s="153">
        <f t="shared" ca="1" si="6"/>
        <v>-1E-3</v>
      </c>
      <c r="K15" s="153">
        <f t="shared" ca="1" si="6"/>
        <v>-1E-3</v>
      </c>
      <c r="L15" s="153">
        <f t="shared" ca="1" si="6"/>
        <v>-1E-3</v>
      </c>
      <c r="M15" s="153">
        <f t="shared" ca="1" si="6"/>
        <v>-1E-3</v>
      </c>
      <c r="N15" s="153">
        <f t="shared" ca="1" si="6"/>
        <v>-1E-3</v>
      </c>
      <c r="O15" s="153">
        <f t="shared" ref="O15:AB16" ca="1" si="7">AbraMoves(URL,Username,Password,"a",O$6,O$7,$D15)/1000</f>
        <v>-1E-3</v>
      </c>
      <c r="P15" s="153">
        <f t="shared" ca="1" si="7"/>
        <v>-1E-3</v>
      </c>
      <c r="Q15" s="153">
        <f t="shared" ca="1" si="7"/>
        <v>-1E-3</v>
      </c>
      <c r="R15" s="153">
        <f t="shared" ca="1" si="7"/>
        <v>-1E-3</v>
      </c>
      <c r="S15" s="153">
        <f t="shared" ca="1" si="7"/>
        <v>-1E-3</v>
      </c>
      <c r="T15" s="153">
        <f t="shared" ca="1" si="7"/>
        <v>-1E-3</v>
      </c>
      <c r="U15" s="153">
        <f t="shared" ca="1" si="7"/>
        <v>-1E-3</v>
      </c>
      <c r="V15" s="153">
        <f t="shared" ca="1" si="7"/>
        <v>-1E-3</v>
      </c>
      <c r="W15" s="153">
        <f t="shared" ca="1" si="7"/>
        <v>-1E-3</v>
      </c>
      <c r="X15" s="153">
        <f t="shared" ca="1" si="7"/>
        <v>-1E-3</v>
      </c>
      <c r="Y15" s="153">
        <f t="shared" ca="1" si="7"/>
        <v>-1E-3</v>
      </c>
      <c r="Z15" s="153">
        <f t="shared" ca="1" si="7"/>
        <v>-1E-3</v>
      </c>
      <c r="AA15" s="153">
        <f t="shared" ca="1" si="7"/>
        <v>-1E-3</v>
      </c>
      <c r="AB15" s="153">
        <f t="shared" ca="1" si="7"/>
        <v>-1E-3</v>
      </c>
      <c r="AC15" s="33"/>
    </row>
    <row r="16" spans="1:191" ht="15" customHeight="1" thickBot="1" x14ac:dyDescent="0.2">
      <c r="B16" s="45"/>
      <c r="C16" s="60"/>
      <c r="D16" s="61" t="s">
        <v>76</v>
      </c>
      <c r="E16" s="151">
        <f t="shared" ca="1" si="6"/>
        <v>-1E-3</v>
      </c>
      <c r="F16" s="151">
        <f t="shared" ca="1" si="6"/>
        <v>-1E-3</v>
      </c>
      <c r="G16" s="151">
        <f t="shared" ca="1" si="6"/>
        <v>-1E-3</v>
      </c>
      <c r="H16" s="151">
        <f t="shared" ca="1" si="6"/>
        <v>-1E-3</v>
      </c>
      <c r="I16" s="151">
        <f t="shared" ca="1" si="6"/>
        <v>-1E-3</v>
      </c>
      <c r="J16" s="151">
        <f t="shared" ca="1" si="6"/>
        <v>-1E-3</v>
      </c>
      <c r="K16" s="151">
        <f t="shared" ca="1" si="6"/>
        <v>-1E-3</v>
      </c>
      <c r="L16" s="151">
        <f t="shared" ca="1" si="6"/>
        <v>-1E-3</v>
      </c>
      <c r="M16" s="151">
        <f t="shared" ca="1" si="6"/>
        <v>-1E-3</v>
      </c>
      <c r="N16" s="151">
        <f t="shared" ca="1" si="6"/>
        <v>-1E-3</v>
      </c>
      <c r="O16" s="151">
        <f t="shared" ca="1" si="7"/>
        <v>-1E-3</v>
      </c>
      <c r="P16" s="151">
        <f t="shared" ca="1" si="7"/>
        <v>-1E-3</v>
      </c>
      <c r="Q16" s="151">
        <f t="shared" ca="1" si="7"/>
        <v>-1E-3</v>
      </c>
      <c r="R16" s="151">
        <f t="shared" ca="1" si="7"/>
        <v>-1E-3</v>
      </c>
      <c r="S16" s="151">
        <f t="shared" ca="1" si="7"/>
        <v>-1E-3</v>
      </c>
      <c r="T16" s="151">
        <f t="shared" ca="1" si="7"/>
        <v>-1E-3</v>
      </c>
      <c r="U16" s="151">
        <f t="shared" ca="1" si="7"/>
        <v>-1E-3</v>
      </c>
      <c r="V16" s="151">
        <f t="shared" ca="1" si="7"/>
        <v>-1E-3</v>
      </c>
      <c r="W16" s="151">
        <f t="shared" ca="1" si="7"/>
        <v>-1E-3</v>
      </c>
      <c r="X16" s="151">
        <f t="shared" ca="1" si="7"/>
        <v>-1E-3</v>
      </c>
      <c r="Y16" s="151">
        <f t="shared" ca="1" si="7"/>
        <v>-1E-3</v>
      </c>
      <c r="Z16" s="151">
        <f t="shared" ca="1" si="7"/>
        <v>-1E-3</v>
      </c>
      <c r="AA16" s="151">
        <f t="shared" ca="1" si="7"/>
        <v>-1E-3</v>
      </c>
      <c r="AB16" s="151">
        <f t="shared" ca="1" si="7"/>
        <v>-1E-3</v>
      </c>
      <c r="AC16" s="33"/>
    </row>
    <row r="17" spans="2:28" ht="15" customHeight="1" thickBot="1" x14ac:dyDescent="0.2">
      <c r="B17" s="172" t="s">
        <v>1</v>
      </c>
      <c r="C17" s="174"/>
      <c r="D17" s="173"/>
      <c r="E17" s="62">
        <f ca="1">SUM(E15:E16)</f>
        <v>-2E-3</v>
      </c>
      <c r="F17" s="62">
        <f t="shared" ref="F17:AB17" ca="1" si="8">SUM(F15:F16)</f>
        <v>-2E-3</v>
      </c>
      <c r="G17" s="62">
        <f t="shared" ca="1" si="8"/>
        <v>-2E-3</v>
      </c>
      <c r="H17" s="62">
        <f t="shared" ca="1" si="8"/>
        <v>-2E-3</v>
      </c>
      <c r="I17" s="62">
        <f t="shared" ca="1" si="8"/>
        <v>-2E-3</v>
      </c>
      <c r="J17" s="62">
        <f t="shared" ca="1" si="8"/>
        <v>-2E-3</v>
      </c>
      <c r="K17" s="62">
        <f t="shared" ca="1" si="8"/>
        <v>-2E-3</v>
      </c>
      <c r="L17" s="62">
        <f t="shared" ca="1" si="8"/>
        <v>-2E-3</v>
      </c>
      <c r="M17" s="62">
        <f t="shared" ca="1" si="8"/>
        <v>-2E-3</v>
      </c>
      <c r="N17" s="62">
        <f t="shared" ca="1" si="8"/>
        <v>-2E-3</v>
      </c>
      <c r="O17" s="62">
        <f t="shared" ca="1" si="8"/>
        <v>-2E-3</v>
      </c>
      <c r="P17" s="62">
        <f t="shared" ca="1" si="8"/>
        <v>-2E-3</v>
      </c>
      <c r="Q17" s="62">
        <f t="shared" ca="1" si="8"/>
        <v>-2E-3</v>
      </c>
      <c r="R17" s="62">
        <f t="shared" ca="1" si="8"/>
        <v>-2E-3</v>
      </c>
      <c r="S17" s="62">
        <f t="shared" ca="1" si="8"/>
        <v>-2E-3</v>
      </c>
      <c r="T17" s="62">
        <f t="shared" ca="1" si="8"/>
        <v>-2E-3</v>
      </c>
      <c r="U17" s="62">
        <f t="shared" ca="1" si="8"/>
        <v>-2E-3</v>
      </c>
      <c r="V17" s="62">
        <f t="shared" ca="1" si="8"/>
        <v>-2E-3</v>
      </c>
      <c r="W17" s="62">
        <f t="shared" ca="1" si="8"/>
        <v>-2E-3</v>
      </c>
      <c r="X17" s="62">
        <f t="shared" ca="1" si="8"/>
        <v>-2E-3</v>
      </c>
      <c r="Y17" s="62">
        <f t="shared" ca="1" si="8"/>
        <v>-2E-3</v>
      </c>
      <c r="Z17" s="62">
        <f t="shared" ca="1" si="8"/>
        <v>-2E-3</v>
      </c>
      <c r="AA17" s="62">
        <f t="shared" ca="1" si="8"/>
        <v>-2E-3</v>
      </c>
      <c r="AB17" s="62">
        <f t="shared" ca="1" si="8"/>
        <v>-2E-3</v>
      </c>
    </row>
    <row r="19" spans="2:28" x14ac:dyDescent="0.2">
      <c r="B19" s="14"/>
      <c r="C19" s="14"/>
    </row>
    <row r="21" spans="2:28" x14ac:dyDescent="0.2">
      <c r="B21" s="15"/>
      <c r="C21" s="15"/>
    </row>
    <row r="22" spans="2:28" x14ac:dyDescent="0.2">
      <c r="B22" s="16"/>
      <c r="C22" s="16"/>
    </row>
    <row r="23" spans="2:28" x14ac:dyDescent="0.2">
      <c r="B23" s="15"/>
      <c r="C23" s="15"/>
    </row>
  </sheetData>
  <mergeCells count="3">
    <mergeCell ref="B17:D17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7"/>
  <dimension ref="A1:GI19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80" customWidth="1"/>
    <col min="2" max="2" width="30.28515625" style="83" bestFit="1" customWidth="1"/>
    <col min="3" max="3" width="23" style="83" customWidth="1"/>
    <col min="4" max="4" width="12.7109375" style="83" customWidth="1"/>
    <col min="5" max="7" width="12.7109375" style="65" customWidth="1"/>
    <col min="8" max="21" width="12.7109375" style="65" hidden="1" customWidth="1" outlineLevel="1"/>
    <col min="22" max="22" width="12.7109375" style="84" hidden="1" customWidth="1" outlineLevel="1"/>
    <col min="23" max="27" width="12.7109375" style="85" hidden="1" customWidth="1" outlineLevel="1"/>
    <col min="28" max="28" width="12.7109375" style="65" hidden="1" customWidth="1" outlineLevel="1"/>
    <col min="29" max="29" width="15.7109375" style="65" customWidth="1" collapsed="1"/>
    <col min="30" max="191" width="9.140625" style="65"/>
    <col min="192" max="16384" width="9.140625" style="86"/>
  </cols>
  <sheetData>
    <row r="1" spans="1:30" ht="10.35" customHeight="1" thickBot="1" x14ac:dyDescent="0.25"/>
    <row r="2" spans="1:30" ht="15" customHeight="1" x14ac:dyDescent="0.2">
      <c r="B2" s="103" t="s">
        <v>12</v>
      </c>
      <c r="C2" s="104"/>
      <c r="D2" s="105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</row>
    <row r="3" spans="1:30" ht="15" customHeight="1" x14ac:dyDescent="0.2">
      <c r="B3" s="20" t="s">
        <v>46</v>
      </c>
      <c r="C3" s="18" t="s">
        <v>45</v>
      </c>
      <c r="D3" s="107">
        <v>43830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</row>
    <row r="4" spans="1:30" ht="15" customHeight="1" x14ac:dyDescent="0.2">
      <c r="B4" s="20"/>
      <c r="C4" s="106"/>
      <c r="D4" s="106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</row>
    <row r="5" spans="1:30" ht="15" customHeight="1" thickBot="1" x14ac:dyDescent="0.25">
      <c r="B5" s="108"/>
      <c r="C5" s="109"/>
      <c r="D5" s="109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</row>
    <row r="6" spans="1:30" s="82" customFormat="1" ht="15" customHeight="1" x14ac:dyDescent="0.2">
      <c r="A6" s="81"/>
      <c r="B6" s="177"/>
      <c r="C6" s="178"/>
      <c r="D6" s="179"/>
      <c r="E6" s="88">
        <f ca="1">E7-IF(MONTH(E7)=2,IF(OR(YEAR(E7)=2008,YEAR(E7)=2012,YEAR(E7)=2016),29,28),IF(OR(MONTH(E7)=4,MONTH(E7)=6,MONTH(E7)=9,MONTH(E7)=11),30,31))+1</f>
        <v>43101</v>
      </c>
      <c r="F6" s="89">
        <f t="shared" ref="F6:AB6" ca="1" si="0">F7-IF(MONTH(F7)=2,IF(OR(YEAR(F7)=2008,YEAR(F7)=2012,YEAR(F7)=2016),29,28),IF(OR(MONTH(F7)=4,MONTH(F7)=6,MONTH(F7)=9,MONTH(F7)=11),30,31))+1</f>
        <v>43132</v>
      </c>
      <c r="G6" s="89">
        <f t="shared" ca="1" si="0"/>
        <v>43160</v>
      </c>
      <c r="H6" s="89">
        <f t="shared" ca="1" si="0"/>
        <v>43191</v>
      </c>
      <c r="I6" s="89">
        <f t="shared" ca="1" si="0"/>
        <v>43221</v>
      </c>
      <c r="J6" s="89">
        <f t="shared" ca="1" si="0"/>
        <v>43252</v>
      </c>
      <c r="K6" s="89">
        <f t="shared" ca="1" si="0"/>
        <v>43282</v>
      </c>
      <c r="L6" s="89">
        <f t="shared" ca="1" si="0"/>
        <v>43313</v>
      </c>
      <c r="M6" s="89">
        <f t="shared" ca="1" si="0"/>
        <v>43344</v>
      </c>
      <c r="N6" s="89">
        <f t="shared" ca="1" si="0"/>
        <v>43374</v>
      </c>
      <c r="O6" s="89">
        <f t="shared" ca="1" si="0"/>
        <v>43405</v>
      </c>
      <c r="P6" s="89">
        <f t="shared" ca="1" si="0"/>
        <v>43435</v>
      </c>
      <c r="Q6" s="89">
        <f t="shared" ca="1" si="0"/>
        <v>43466</v>
      </c>
      <c r="R6" s="89">
        <f t="shared" ca="1" si="0"/>
        <v>43497</v>
      </c>
      <c r="S6" s="89">
        <f t="shared" ca="1" si="0"/>
        <v>43525</v>
      </c>
      <c r="T6" s="89">
        <f t="shared" ca="1" si="0"/>
        <v>43556</v>
      </c>
      <c r="U6" s="89">
        <f t="shared" ca="1" si="0"/>
        <v>43586</v>
      </c>
      <c r="V6" s="89">
        <f t="shared" ca="1" si="0"/>
        <v>43617</v>
      </c>
      <c r="W6" s="89">
        <f t="shared" ca="1" si="0"/>
        <v>43647</v>
      </c>
      <c r="X6" s="89">
        <f t="shared" ca="1" si="0"/>
        <v>43678</v>
      </c>
      <c r="Y6" s="89">
        <f t="shared" ca="1" si="0"/>
        <v>43709</v>
      </c>
      <c r="Z6" s="89">
        <f t="shared" ca="1" si="0"/>
        <v>43739</v>
      </c>
      <c r="AA6" s="89">
        <f t="shared" ca="1" si="0"/>
        <v>43770</v>
      </c>
      <c r="AB6" s="89">
        <f t="shared" ca="1" si="0"/>
        <v>43800</v>
      </c>
    </row>
    <row r="7" spans="1:30" s="82" customFormat="1" ht="15" customHeight="1" thickBot="1" x14ac:dyDescent="0.25">
      <c r="A7" s="81"/>
      <c r="B7" s="180"/>
      <c r="C7" s="181"/>
      <c r="D7" s="182"/>
      <c r="E7" s="90">
        <f t="shared" ref="E7:AA7" ca="1" si="1">F6-1</f>
        <v>43131</v>
      </c>
      <c r="F7" s="91">
        <f t="shared" ca="1" si="1"/>
        <v>43159</v>
      </c>
      <c r="G7" s="91">
        <f t="shared" ca="1" si="1"/>
        <v>43190</v>
      </c>
      <c r="H7" s="91">
        <f t="shared" ca="1" si="1"/>
        <v>43220</v>
      </c>
      <c r="I7" s="91">
        <f t="shared" ca="1" si="1"/>
        <v>43251</v>
      </c>
      <c r="J7" s="91">
        <f t="shared" ca="1" si="1"/>
        <v>43281</v>
      </c>
      <c r="K7" s="91">
        <f t="shared" ca="1" si="1"/>
        <v>43312</v>
      </c>
      <c r="L7" s="91">
        <f t="shared" ca="1" si="1"/>
        <v>43343</v>
      </c>
      <c r="M7" s="91">
        <f t="shared" ca="1" si="1"/>
        <v>43373</v>
      </c>
      <c r="N7" s="91">
        <f t="shared" ca="1" si="1"/>
        <v>43404</v>
      </c>
      <c r="O7" s="91">
        <f t="shared" ca="1" si="1"/>
        <v>43434</v>
      </c>
      <c r="P7" s="91">
        <f t="shared" ca="1" si="1"/>
        <v>43465</v>
      </c>
      <c r="Q7" s="91">
        <f t="shared" ca="1" si="1"/>
        <v>43496</v>
      </c>
      <c r="R7" s="91">
        <f t="shared" ca="1" si="1"/>
        <v>43524</v>
      </c>
      <c r="S7" s="91">
        <f t="shared" ca="1" si="1"/>
        <v>43555</v>
      </c>
      <c r="T7" s="91">
        <f t="shared" ca="1" si="1"/>
        <v>43585</v>
      </c>
      <c r="U7" s="91">
        <f t="shared" ca="1" si="1"/>
        <v>43616</v>
      </c>
      <c r="V7" s="91">
        <f t="shared" ca="1" si="1"/>
        <v>43646</v>
      </c>
      <c r="W7" s="91">
        <f t="shared" ca="1" si="1"/>
        <v>43677</v>
      </c>
      <c r="X7" s="91">
        <f t="shared" ca="1" si="1"/>
        <v>43708</v>
      </c>
      <c r="Y7" s="91">
        <f t="shared" ca="1" si="1"/>
        <v>43738</v>
      </c>
      <c r="Z7" s="91">
        <f t="shared" ca="1" si="1"/>
        <v>43769</v>
      </c>
      <c r="AA7" s="91">
        <f t="shared" ca="1" si="1"/>
        <v>43799</v>
      </c>
      <c r="AB7" s="91">
        <f ca="1">D3</f>
        <v>43830</v>
      </c>
    </row>
    <row r="8" spans="1:30" s="82" customFormat="1" ht="15" customHeight="1" thickBot="1" x14ac:dyDescent="0.25">
      <c r="B8" s="110" t="s">
        <v>0</v>
      </c>
      <c r="C8" s="100" t="s">
        <v>14</v>
      </c>
      <c r="D8" s="111" t="s">
        <v>47</v>
      </c>
      <c r="E8" s="92">
        <f t="shared" ref="E8:AB8" ca="1" si="2">E6</f>
        <v>43101</v>
      </c>
      <c r="F8" s="40">
        <f t="shared" ca="1" si="2"/>
        <v>43132</v>
      </c>
      <c r="G8" s="40">
        <f t="shared" ca="1" si="2"/>
        <v>43160</v>
      </c>
      <c r="H8" s="40">
        <f t="shared" ca="1" si="2"/>
        <v>43191</v>
      </c>
      <c r="I8" s="40">
        <f t="shared" ca="1" si="2"/>
        <v>43221</v>
      </c>
      <c r="J8" s="40">
        <f t="shared" ca="1" si="2"/>
        <v>43252</v>
      </c>
      <c r="K8" s="40">
        <f t="shared" ca="1" si="2"/>
        <v>43282</v>
      </c>
      <c r="L8" s="40">
        <f t="shared" ca="1" si="2"/>
        <v>43313</v>
      </c>
      <c r="M8" s="40">
        <f t="shared" ca="1" si="2"/>
        <v>43344</v>
      </c>
      <c r="N8" s="40">
        <f t="shared" ca="1" si="2"/>
        <v>43374</v>
      </c>
      <c r="O8" s="40">
        <f t="shared" ca="1" si="2"/>
        <v>43405</v>
      </c>
      <c r="P8" s="40">
        <f t="shared" ca="1" si="2"/>
        <v>43435</v>
      </c>
      <c r="Q8" s="40">
        <f t="shared" ca="1" si="2"/>
        <v>43466</v>
      </c>
      <c r="R8" s="40">
        <f t="shared" ca="1" si="2"/>
        <v>43497</v>
      </c>
      <c r="S8" s="40">
        <f t="shared" ca="1" si="2"/>
        <v>43525</v>
      </c>
      <c r="T8" s="40">
        <f t="shared" ca="1" si="2"/>
        <v>43556</v>
      </c>
      <c r="U8" s="40">
        <f t="shared" ca="1" si="2"/>
        <v>43586</v>
      </c>
      <c r="V8" s="40">
        <f t="shared" ca="1" si="2"/>
        <v>43617</v>
      </c>
      <c r="W8" s="40">
        <f t="shared" ca="1" si="2"/>
        <v>43647</v>
      </c>
      <c r="X8" s="40">
        <f t="shared" ca="1" si="2"/>
        <v>43678</v>
      </c>
      <c r="Y8" s="40">
        <f t="shared" ca="1" si="2"/>
        <v>43709</v>
      </c>
      <c r="Z8" s="40">
        <f t="shared" ca="1" si="2"/>
        <v>43739</v>
      </c>
      <c r="AA8" s="40">
        <f t="shared" ca="1" si="2"/>
        <v>43770</v>
      </c>
      <c r="AB8" s="40">
        <f t="shared" ca="1" si="2"/>
        <v>43800</v>
      </c>
    </row>
    <row r="9" spans="1:30" ht="15" customHeight="1" thickBot="1" x14ac:dyDescent="0.25">
      <c r="B9" s="112"/>
      <c r="C9" s="113" t="s">
        <v>49</v>
      </c>
      <c r="D9" s="114" t="s">
        <v>37</v>
      </c>
      <c r="E9" s="93">
        <f t="shared" ref="E9:N10" ca="1" si="3">AbraSale(URL,Username,Password,$D9,E$6,E$7)/1000</f>
        <v>-1E-3</v>
      </c>
      <c r="F9" s="93">
        <f t="shared" ca="1" si="3"/>
        <v>-1E-3</v>
      </c>
      <c r="G9" s="93">
        <f t="shared" ca="1" si="3"/>
        <v>-1E-3</v>
      </c>
      <c r="H9" s="93">
        <f t="shared" ca="1" si="3"/>
        <v>-1E-3</v>
      </c>
      <c r="I9" s="93">
        <f t="shared" ca="1" si="3"/>
        <v>-1E-3</v>
      </c>
      <c r="J9" s="93">
        <f t="shared" ca="1" si="3"/>
        <v>-1E-3</v>
      </c>
      <c r="K9" s="93">
        <f t="shared" ca="1" si="3"/>
        <v>-1E-3</v>
      </c>
      <c r="L9" s="93">
        <f t="shared" ca="1" si="3"/>
        <v>-1E-3</v>
      </c>
      <c r="M9" s="93">
        <f t="shared" ca="1" si="3"/>
        <v>-1E-3</v>
      </c>
      <c r="N9" s="93">
        <f t="shared" ca="1" si="3"/>
        <v>-1E-3</v>
      </c>
      <c r="O9" s="93">
        <f t="shared" ref="O9:AB10" ca="1" si="4">AbraSale(URL,Username,Password,$D9,O$6,O$7)/1000</f>
        <v>-1E-3</v>
      </c>
      <c r="P9" s="93">
        <f t="shared" ca="1" si="4"/>
        <v>-1E-3</v>
      </c>
      <c r="Q9" s="93">
        <f t="shared" ca="1" si="4"/>
        <v>-1E-3</v>
      </c>
      <c r="R9" s="93">
        <f t="shared" ca="1" si="4"/>
        <v>-1E-3</v>
      </c>
      <c r="S9" s="93">
        <f t="shared" ca="1" si="4"/>
        <v>-1E-3</v>
      </c>
      <c r="T9" s="93">
        <f t="shared" ca="1" si="4"/>
        <v>-1E-3</v>
      </c>
      <c r="U9" s="93">
        <f t="shared" ca="1" si="4"/>
        <v>-1E-3</v>
      </c>
      <c r="V9" s="93">
        <f t="shared" ca="1" si="4"/>
        <v>-1E-3</v>
      </c>
      <c r="W9" s="93">
        <f t="shared" ca="1" si="4"/>
        <v>-1E-3</v>
      </c>
      <c r="X9" s="93">
        <f t="shared" ca="1" si="4"/>
        <v>-1E-3</v>
      </c>
      <c r="Y9" s="93">
        <f t="shared" ca="1" si="4"/>
        <v>-1E-3</v>
      </c>
      <c r="Z9" s="93">
        <f t="shared" ca="1" si="4"/>
        <v>-1E-3</v>
      </c>
      <c r="AA9" s="93">
        <f t="shared" ca="1" si="4"/>
        <v>-1E-3</v>
      </c>
      <c r="AB9" s="93">
        <f t="shared" ca="1" si="4"/>
        <v>-1E-3</v>
      </c>
      <c r="AC9" s="94"/>
      <c r="AD9" s="82"/>
    </row>
    <row r="10" spans="1:30" ht="15" customHeight="1" thickBot="1" x14ac:dyDescent="0.25">
      <c r="B10" s="115"/>
      <c r="C10" s="116" t="s">
        <v>50</v>
      </c>
      <c r="D10" s="117" t="s">
        <v>4</v>
      </c>
      <c r="E10" s="93">
        <f t="shared" ca="1" si="3"/>
        <v>0</v>
      </c>
      <c r="F10" s="93">
        <f t="shared" ca="1" si="3"/>
        <v>0</v>
      </c>
      <c r="G10" s="93">
        <f t="shared" ca="1" si="3"/>
        <v>0</v>
      </c>
      <c r="H10" s="93">
        <f t="shared" ca="1" si="3"/>
        <v>-1E-3</v>
      </c>
      <c r="I10" s="93">
        <f t="shared" ca="1" si="3"/>
        <v>-1E-3</v>
      </c>
      <c r="J10" s="93">
        <f t="shared" ca="1" si="3"/>
        <v>-1E-3</v>
      </c>
      <c r="K10" s="93">
        <f t="shared" ca="1" si="3"/>
        <v>-1E-3</v>
      </c>
      <c r="L10" s="93">
        <f t="shared" ca="1" si="3"/>
        <v>-1E-3</v>
      </c>
      <c r="M10" s="93">
        <f t="shared" ca="1" si="3"/>
        <v>-1E-3</v>
      </c>
      <c r="N10" s="93">
        <f t="shared" ca="1" si="3"/>
        <v>-1E-3</v>
      </c>
      <c r="O10" s="93">
        <f t="shared" ca="1" si="4"/>
        <v>-1E-3</v>
      </c>
      <c r="P10" s="93">
        <f t="shared" ca="1" si="4"/>
        <v>-1E-3</v>
      </c>
      <c r="Q10" s="93">
        <f t="shared" ca="1" si="4"/>
        <v>-1E-3</v>
      </c>
      <c r="R10" s="93">
        <f t="shared" ca="1" si="4"/>
        <v>-1E-3</v>
      </c>
      <c r="S10" s="93">
        <f t="shared" ca="1" si="4"/>
        <v>-1E-3</v>
      </c>
      <c r="T10" s="93">
        <f t="shared" ca="1" si="4"/>
        <v>-1E-3</v>
      </c>
      <c r="U10" s="93">
        <f t="shared" ca="1" si="4"/>
        <v>-1E-3</v>
      </c>
      <c r="V10" s="93">
        <f t="shared" ca="1" si="4"/>
        <v>-1E-3</v>
      </c>
      <c r="W10" s="93">
        <f t="shared" ca="1" si="4"/>
        <v>-1E-3</v>
      </c>
      <c r="X10" s="93">
        <f t="shared" ca="1" si="4"/>
        <v>-1E-3</v>
      </c>
      <c r="Y10" s="93">
        <f t="shared" ca="1" si="4"/>
        <v>-1E-3</v>
      </c>
      <c r="Z10" s="93">
        <f t="shared" ca="1" si="4"/>
        <v>-1E-3</v>
      </c>
      <c r="AA10" s="93">
        <f t="shared" ca="1" si="4"/>
        <v>-1E-3</v>
      </c>
      <c r="AB10" s="93">
        <f t="shared" ca="1" si="4"/>
        <v>-1E-3</v>
      </c>
      <c r="AC10" s="94"/>
    </row>
    <row r="11" spans="1:30" ht="15" customHeight="1" thickBot="1" x14ac:dyDescent="0.25">
      <c r="B11" s="172" t="s">
        <v>38</v>
      </c>
      <c r="C11" s="174"/>
      <c r="D11" s="173"/>
      <c r="E11" s="95">
        <f ca="1">E10/E9</f>
        <v>0</v>
      </c>
      <c r="F11" s="95">
        <f t="shared" ref="F11:AB11" ca="1" si="5">F10/F9</f>
        <v>0</v>
      </c>
      <c r="G11" s="95">
        <f t="shared" ca="1" si="5"/>
        <v>0</v>
      </c>
      <c r="H11" s="95">
        <f t="shared" ca="1" si="5"/>
        <v>1</v>
      </c>
      <c r="I11" s="95">
        <f t="shared" ca="1" si="5"/>
        <v>1</v>
      </c>
      <c r="J11" s="95">
        <f t="shared" ca="1" si="5"/>
        <v>1</v>
      </c>
      <c r="K11" s="95">
        <f t="shared" ca="1" si="5"/>
        <v>1</v>
      </c>
      <c r="L11" s="95">
        <f t="shared" ca="1" si="5"/>
        <v>1</v>
      </c>
      <c r="M11" s="95">
        <f t="shared" ca="1" si="5"/>
        <v>1</v>
      </c>
      <c r="N11" s="95">
        <f t="shared" ca="1" si="5"/>
        <v>1</v>
      </c>
      <c r="O11" s="95">
        <f t="shared" ca="1" si="5"/>
        <v>1</v>
      </c>
      <c r="P11" s="95">
        <f t="shared" ca="1" si="5"/>
        <v>1</v>
      </c>
      <c r="Q11" s="95">
        <f t="shared" ca="1" si="5"/>
        <v>1</v>
      </c>
      <c r="R11" s="95">
        <f t="shared" ca="1" si="5"/>
        <v>1</v>
      </c>
      <c r="S11" s="95">
        <f t="shared" ca="1" si="5"/>
        <v>1</v>
      </c>
      <c r="T11" s="95">
        <f t="shared" ca="1" si="5"/>
        <v>1</v>
      </c>
      <c r="U11" s="95">
        <f t="shared" ca="1" si="5"/>
        <v>1</v>
      </c>
      <c r="V11" s="95">
        <f t="shared" ca="1" si="5"/>
        <v>1</v>
      </c>
      <c r="W11" s="95">
        <f t="shared" ca="1" si="5"/>
        <v>1</v>
      </c>
      <c r="X11" s="95">
        <f t="shared" ca="1" si="5"/>
        <v>1</v>
      </c>
      <c r="Y11" s="95">
        <f t="shared" ca="1" si="5"/>
        <v>1</v>
      </c>
      <c r="Z11" s="95">
        <f t="shared" ca="1" si="5"/>
        <v>1</v>
      </c>
      <c r="AA11" s="95">
        <f t="shared" ca="1" si="5"/>
        <v>1</v>
      </c>
      <c r="AB11" s="95">
        <f t="shared" ca="1" si="5"/>
        <v>1</v>
      </c>
    </row>
    <row r="12" spans="1:30" ht="15" customHeight="1" x14ac:dyDescent="0.2">
      <c r="B12" s="50"/>
      <c r="C12" s="50"/>
      <c r="D12" s="50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</row>
    <row r="13" spans="1:30" x14ac:dyDescent="0.2">
      <c r="B13" s="118"/>
      <c r="C13" s="118"/>
      <c r="D13" s="52"/>
    </row>
    <row r="14" spans="1:30" x14ac:dyDescent="0.2">
      <c r="B14" s="52"/>
      <c r="C14" s="52"/>
      <c r="D14" s="52"/>
    </row>
    <row r="15" spans="1:30" x14ac:dyDescent="0.2">
      <c r="B15" s="97"/>
      <c r="C15" s="97"/>
    </row>
    <row r="17" spans="2:3" x14ac:dyDescent="0.2">
      <c r="B17" s="98"/>
      <c r="C17" s="98"/>
    </row>
    <row r="18" spans="2:3" x14ac:dyDescent="0.2">
      <c r="B18" s="99"/>
      <c r="C18" s="99"/>
    </row>
    <row r="19" spans="2:3" x14ac:dyDescent="0.2">
      <c r="B19" s="98"/>
      <c r="C19" s="98"/>
    </row>
  </sheetData>
  <dataConsolidate/>
  <mergeCells count="2"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8"/>
  <dimension ref="A1:GI35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119" customWidth="1"/>
    <col min="2" max="2" width="30.28515625" style="52" bestFit="1" customWidth="1"/>
    <col min="3" max="3" width="22.85546875" style="52" customWidth="1"/>
    <col min="4" max="4" width="12.7109375" style="52" customWidth="1"/>
    <col min="5" max="7" width="12.7109375" style="122" customWidth="1"/>
    <col min="8" max="21" width="12.7109375" style="122" hidden="1" customWidth="1" outlineLevel="1"/>
    <col min="22" max="22" width="12.7109375" style="123" hidden="1" customWidth="1" outlineLevel="1"/>
    <col min="23" max="27" width="12.7109375" style="124" hidden="1" customWidth="1" outlineLevel="1"/>
    <col min="28" max="28" width="12.7109375" style="122" hidden="1" customWidth="1" outlineLevel="1"/>
    <col min="29" max="29" width="15.7109375" style="122" customWidth="1" collapsed="1"/>
    <col min="30" max="191" width="9.140625" style="122"/>
    <col min="192" max="16384" width="9.140625" style="125"/>
  </cols>
  <sheetData>
    <row r="1" spans="1:30" ht="10.35" customHeight="1" thickBot="1" x14ac:dyDescent="0.25"/>
    <row r="2" spans="1:30" ht="15" customHeight="1" x14ac:dyDescent="0.2">
      <c r="B2" s="103" t="s">
        <v>15</v>
      </c>
      <c r="C2" s="104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30" ht="15" customHeight="1" x14ac:dyDescent="0.2">
      <c r="B3" s="20" t="s">
        <v>51</v>
      </c>
      <c r="C3" s="18" t="s">
        <v>52</v>
      </c>
      <c r="D3" s="107">
        <v>43830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</row>
    <row r="4" spans="1:30" ht="15" customHeight="1" x14ac:dyDescent="0.2">
      <c r="B4" s="20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</row>
    <row r="5" spans="1:30" ht="15" customHeight="1" thickBot="1" x14ac:dyDescent="0.25">
      <c r="B5" s="108"/>
      <c r="C5" s="109"/>
      <c r="D5" s="109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</row>
    <row r="6" spans="1:30" s="121" customFormat="1" ht="15" customHeight="1" x14ac:dyDescent="0.2">
      <c r="A6" s="120"/>
      <c r="B6" s="177"/>
      <c r="C6" s="178"/>
      <c r="D6" s="179"/>
      <c r="E6" s="126">
        <f ca="1">E7-IF(MONTH(E7)=2,IF(OR(YEAR(E7)=2008,YEAR(E7)=2012,YEAR(E7)=2016),29,28),IF(OR(MONTH(E7)=4,MONTH(E7)=6,MONTH(E7)=9,MONTH(E7)=11),30,31))+1</f>
        <v>43101</v>
      </c>
      <c r="F6" s="127">
        <f t="shared" ref="F6:AB6" ca="1" si="0">F7-IF(MONTH(F7)=2,IF(OR(YEAR(F7)=2008,YEAR(F7)=2012,YEAR(F7)=2016),29,28),IF(OR(MONTH(F7)=4,MONTH(F7)=6,MONTH(F7)=9,MONTH(F7)=11),30,31))+1</f>
        <v>43132</v>
      </c>
      <c r="G6" s="127">
        <f t="shared" ca="1" si="0"/>
        <v>43160</v>
      </c>
      <c r="H6" s="127">
        <f t="shared" ca="1" si="0"/>
        <v>43191</v>
      </c>
      <c r="I6" s="127">
        <f t="shared" ca="1" si="0"/>
        <v>43221</v>
      </c>
      <c r="J6" s="127">
        <f t="shared" ca="1" si="0"/>
        <v>43252</v>
      </c>
      <c r="K6" s="127">
        <f t="shared" ca="1" si="0"/>
        <v>43282</v>
      </c>
      <c r="L6" s="127">
        <f t="shared" ca="1" si="0"/>
        <v>43313</v>
      </c>
      <c r="M6" s="127">
        <f t="shared" ca="1" si="0"/>
        <v>43344</v>
      </c>
      <c r="N6" s="127">
        <f t="shared" ca="1" si="0"/>
        <v>43374</v>
      </c>
      <c r="O6" s="127">
        <f t="shared" ca="1" si="0"/>
        <v>43405</v>
      </c>
      <c r="P6" s="127">
        <f t="shared" ca="1" si="0"/>
        <v>43435</v>
      </c>
      <c r="Q6" s="127">
        <f t="shared" ca="1" si="0"/>
        <v>43466</v>
      </c>
      <c r="R6" s="127">
        <f t="shared" ca="1" si="0"/>
        <v>43497</v>
      </c>
      <c r="S6" s="127">
        <f t="shared" ca="1" si="0"/>
        <v>43525</v>
      </c>
      <c r="T6" s="127">
        <f t="shared" ca="1" si="0"/>
        <v>43556</v>
      </c>
      <c r="U6" s="127">
        <f t="shared" ca="1" si="0"/>
        <v>43586</v>
      </c>
      <c r="V6" s="127">
        <f t="shared" ca="1" si="0"/>
        <v>43617</v>
      </c>
      <c r="W6" s="127">
        <f t="shared" ca="1" si="0"/>
        <v>43647</v>
      </c>
      <c r="X6" s="127">
        <f t="shared" ca="1" si="0"/>
        <v>43678</v>
      </c>
      <c r="Y6" s="127">
        <f t="shared" ca="1" si="0"/>
        <v>43709</v>
      </c>
      <c r="Z6" s="127">
        <f t="shared" ca="1" si="0"/>
        <v>43739</v>
      </c>
      <c r="AA6" s="127">
        <f t="shared" ca="1" si="0"/>
        <v>43770</v>
      </c>
      <c r="AB6" s="127">
        <f t="shared" ca="1" si="0"/>
        <v>43800</v>
      </c>
    </row>
    <row r="7" spans="1:30" s="121" customFormat="1" ht="15" customHeight="1" thickBot="1" x14ac:dyDescent="0.25">
      <c r="A7" s="120"/>
      <c r="B7" s="180"/>
      <c r="C7" s="181"/>
      <c r="D7" s="182"/>
      <c r="E7" s="128">
        <f t="shared" ref="E7:AA7" ca="1" si="1">F6-1</f>
        <v>43131</v>
      </c>
      <c r="F7" s="129">
        <f t="shared" ca="1" si="1"/>
        <v>43159</v>
      </c>
      <c r="G7" s="129">
        <f t="shared" ca="1" si="1"/>
        <v>43190</v>
      </c>
      <c r="H7" s="129">
        <f t="shared" ca="1" si="1"/>
        <v>43220</v>
      </c>
      <c r="I7" s="129">
        <f t="shared" ca="1" si="1"/>
        <v>43251</v>
      </c>
      <c r="J7" s="129">
        <f t="shared" ca="1" si="1"/>
        <v>43281</v>
      </c>
      <c r="K7" s="129">
        <f t="shared" ca="1" si="1"/>
        <v>43312</v>
      </c>
      <c r="L7" s="129">
        <f t="shared" ca="1" si="1"/>
        <v>43343</v>
      </c>
      <c r="M7" s="129">
        <f t="shared" ca="1" si="1"/>
        <v>43373</v>
      </c>
      <c r="N7" s="129">
        <f t="shared" ca="1" si="1"/>
        <v>43404</v>
      </c>
      <c r="O7" s="129">
        <f t="shared" ca="1" si="1"/>
        <v>43434</v>
      </c>
      <c r="P7" s="129">
        <f t="shared" ca="1" si="1"/>
        <v>43465</v>
      </c>
      <c r="Q7" s="129">
        <f t="shared" ca="1" si="1"/>
        <v>43496</v>
      </c>
      <c r="R7" s="129">
        <f t="shared" ca="1" si="1"/>
        <v>43524</v>
      </c>
      <c r="S7" s="129">
        <f t="shared" ca="1" si="1"/>
        <v>43555</v>
      </c>
      <c r="T7" s="129">
        <f t="shared" ca="1" si="1"/>
        <v>43585</v>
      </c>
      <c r="U7" s="129">
        <f t="shared" ca="1" si="1"/>
        <v>43616</v>
      </c>
      <c r="V7" s="129">
        <f t="shared" ca="1" si="1"/>
        <v>43646</v>
      </c>
      <c r="W7" s="129">
        <f t="shared" ca="1" si="1"/>
        <v>43677</v>
      </c>
      <c r="X7" s="129">
        <f t="shared" ca="1" si="1"/>
        <v>43708</v>
      </c>
      <c r="Y7" s="129">
        <f t="shared" ca="1" si="1"/>
        <v>43738</v>
      </c>
      <c r="Z7" s="129">
        <f t="shared" ca="1" si="1"/>
        <v>43769</v>
      </c>
      <c r="AA7" s="129">
        <f t="shared" ca="1" si="1"/>
        <v>43799</v>
      </c>
      <c r="AB7" s="129">
        <f ca="1">D3</f>
        <v>43830</v>
      </c>
    </row>
    <row r="8" spans="1:30" s="121" customFormat="1" ht="15" customHeight="1" thickBot="1" x14ac:dyDescent="0.25">
      <c r="B8" s="110" t="s">
        <v>0</v>
      </c>
      <c r="C8" s="102" t="s">
        <v>14</v>
      </c>
      <c r="D8" s="111" t="s">
        <v>47</v>
      </c>
      <c r="E8" s="130">
        <f t="shared" ref="E8:AB8" ca="1" si="2">E6</f>
        <v>43101</v>
      </c>
      <c r="F8" s="131">
        <f t="shared" ca="1" si="2"/>
        <v>43132</v>
      </c>
      <c r="G8" s="131">
        <f t="shared" ca="1" si="2"/>
        <v>43160</v>
      </c>
      <c r="H8" s="131">
        <f t="shared" ca="1" si="2"/>
        <v>43191</v>
      </c>
      <c r="I8" s="131">
        <f t="shared" ca="1" si="2"/>
        <v>43221</v>
      </c>
      <c r="J8" s="131">
        <f t="shared" ca="1" si="2"/>
        <v>43252</v>
      </c>
      <c r="K8" s="131">
        <f t="shared" ca="1" si="2"/>
        <v>43282</v>
      </c>
      <c r="L8" s="131">
        <f t="shared" ca="1" si="2"/>
        <v>43313</v>
      </c>
      <c r="M8" s="131">
        <f t="shared" ca="1" si="2"/>
        <v>43344</v>
      </c>
      <c r="N8" s="131">
        <f t="shared" ca="1" si="2"/>
        <v>43374</v>
      </c>
      <c r="O8" s="131">
        <f t="shared" ca="1" si="2"/>
        <v>43405</v>
      </c>
      <c r="P8" s="131">
        <f t="shared" ca="1" si="2"/>
        <v>43435</v>
      </c>
      <c r="Q8" s="131">
        <f t="shared" ca="1" si="2"/>
        <v>43466</v>
      </c>
      <c r="R8" s="131">
        <f t="shared" ca="1" si="2"/>
        <v>43497</v>
      </c>
      <c r="S8" s="131">
        <f t="shared" ca="1" si="2"/>
        <v>43525</v>
      </c>
      <c r="T8" s="131">
        <f t="shared" ca="1" si="2"/>
        <v>43556</v>
      </c>
      <c r="U8" s="131">
        <f t="shared" ca="1" si="2"/>
        <v>43586</v>
      </c>
      <c r="V8" s="131">
        <f t="shared" ca="1" si="2"/>
        <v>43617</v>
      </c>
      <c r="W8" s="131">
        <f t="shared" ca="1" si="2"/>
        <v>43647</v>
      </c>
      <c r="X8" s="131">
        <f t="shared" ca="1" si="2"/>
        <v>43678</v>
      </c>
      <c r="Y8" s="131">
        <f t="shared" ca="1" si="2"/>
        <v>43709</v>
      </c>
      <c r="Z8" s="131">
        <f t="shared" ca="1" si="2"/>
        <v>43739</v>
      </c>
      <c r="AA8" s="131">
        <f t="shared" ca="1" si="2"/>
        <v>43770</v>
      </c>
      <c r="AB8" s="131">
        <f t="shared" ca="1" si="2"/>
        <v>43800</v>
      </c>
    </row>
    <row r="9" spans="1:30" ht="15" customHeight="1" thickBot="1" x14ac:dyDescent="0.25">
      <c r="B9" s="112"/>
      <c r="C9" s="113" t="s">
        <v>1</v>
      </c>
      <c r="D9" s="114" t="s">
        <v>17</v>
      </c>
      <c r="E9" s="132">
        <f t="shared" ref="E9:N12" ca="1" si="3">AbraReceivable(URL,Username,Password,$D9,E$6,E$7)/1000</f>
        <v>-1E-3</v>
      </c>
      <c r="F9" s="132">
        <f t="shared" ca="1" si="3"/>
        <v>-1E-3</v>
      </c>
      <c r="G9" s="132">
        <f t="shared" ca="1" si="3"/>
        <v>-1E-3</v>
      </c>
      <c r="H9" s="132">
        <f t="shared" ca="1" si="3"/>
        <v>-1E-3</v>
      </c>
      <c r="I9" s="132">
        <f t="shared" ca="1" si="3"/>
        <v>-1E-3</v>
      </c>
      <c r="J9" s="132">
        <f t="shared" ca="1" si="3"/>
        <v>-1E-3</v>
      </c>
      <c r="K9" s="132">
        <f t="shared" ca="1" si="3"/>
        <v>-1E-3</v>
      </c>
      <c r="L9" s="132">
        <f t="shared" ca="1" si="3"/>
        <v>-1E-3</v>
      </c>
      <c r="M9" s="132">
        <f t="shared" ca="1" si="3"/>
        <v>-1E-3</v>
      </c>
      <c r="N9" s="132">
        <f t="shared" ca="1" si="3"/>
        <v>-1E-3</v>
      </c>
      <c r="O9" s="132">
        <f t="shared" ref="O9:AB12" ca="1" si="4">AbraReceivable(URL,Username,Password,$D9,O$6,O$7)/1000</f>
        <v>-1E-3</v>
      </c>
      <c r="P9" s="132">
        <f t="shared" ca="1" si="4"/>
        <v>-1E-3</v>
      </c>
      <c r="Q9" s="132">
        <f t="shared" ca="1" si="4"/>
        <v>-1E-3</v>
      </c>
      <c r="R9" s="132">
        <f t="shared" ca="1" si="4"/>
        <v>-1E-3</v>
      </c>
      <c r="S9" s="132">
        <f t="shared" ca="1" si="4"/>
        <v>-1E-3</v>
      </c>
      <c r="T9" s="132">
        <f t="shared" ca="1" si="4"/>
        <v>-1E-3</v>
      </c>
      <c r="U9" s="132">
        <f t="shared" ca="1" si="4"/>
        <v>-1E-3</v>
      </c>
      <c r="V9" s="132">
        <f t="shared" ca="1" si="4"/>
        <v>-1E-3</v>
      </c>
      <c r="W9" s="132">
        <f t="shared" ca="1" si="4"/>
        <v>-1E-3</v>
      </c>
      <c r="X9" s="132">
        <f t="shared" ca="1" si="4"/>
        <v>-1E-3</v>
      </c>
      <c r="Y9" s="132">
        <f t="shared" ca="1" si="4"/>
        <v>-1E-3</v>
      </c>
      <c r="Z9" s="132">
        <f t="shared" ca="1" si="4"/>
        <v>-1E-3</v>
      </c>
      <c r="AA9" s="132">
        <f t="shared" ca="1" si="4"/>
        <v>-1E-3</v>
      </c>
      <c r="AB9" s="132">
        <f t="shared" ca="1" si="4"/>
        <v>-1E-3</v>
      </c>
      <c r="AC9" s="133"/>
      <c r="AD9" s="121"/>
    </row>
    <row r="10" spans="1:30" ht="15" customHeight="1" thickBot="1" x14ac:dyDescent="0.25">
      <c r="B10" s="134"/>
      <c r="C10" s="135" t="s">
        <v>53</v>
      </c>
      <c r="D10" s="136" t="s">
        <v>18</v>
      </c>
      <c r="E10" s="132">
        <f t="shared" ca="1" si="3"/>
        <v>-1E-3</v>
      </c>
      <c r="F10" s="132">
        <f t="shared" ca="1" si="3"/>
        <v>-1E-3</v>
      </c>
      <c r="G10" s="132">
        <f t="shared" ca="1" si="3"/>
        <v>-1E-3</v>
      </c>
      <c r="H10" s="132">
        <f t="shared" ca="1" si="3"/>
        <v>-1E-3</v>
      </c>
      <c r="I10" s="132">
        <f t="shared" ca="1" si="3"/>
        <v>-1E-3</v>
      </c>
      <c r="J10" s="132">
        <f t="shared" ca="1" si="3"/>
        <v>-1E-3</v>
      </c>
      <c r="K10" s="132">
        <f t="shared" ca="1" si="3"/>
        <v>-1E-3</v>
      </c>
      <c r="L10" s="132">
        <f t="shared" ca="1" si="3"/>
        <v>-1E-3</v>
      </c>
      <c r="M10" s="132">
        <f t="shared" ca="1" si="3"/>
        <v>-1E-3</v>
      </c>
      <c r="N10" s="132">
        <f t="shared" ca="1" si="3"/>
        <v>-1E-3</v>
      </c>
      <c r="O10" s="132">
        <f t="shared" ca="1" si="4"/>
        <v>-1E-3</v>
      </c>
      <c r="P10" s="132">
        <f t="shared" ca="1" si="4"/>
        <v>-1E-3</v>
      </c>
      <c r="Q10" s="132">
        <f t="shared" ca="1" si="4"/>
        <v>-1E-3</v>
      </c>
      <c r="R10" s="132">
        <f t="shared" ca="1" si="4"/>
        <v>-1E-3</v>
      </c>
      <c r="S10" s="132">
        <f t="shared" ca="1" si="4"/>
        <v>-1E-3</v>
      </c>
      <c r="T10" s="132">
        <f t="shared" ca="1" si="4"/>
        <v>-1E-3</v>
      </c>
      <c r="U10" s="132">
        <f t="shared" ca="1" si="4"/>
        <v>-1E-3</v>
      </c>
      <c r="V10" s="132">
        <f t="shared" ca="1" si="4"/>
        <v>-1E-3</v>
      </c>
      <c r="W10" s="132">
        <f t="shared" ca="1" si="4"/>
        <v>-1E-3</v>
      </c>
      <c r="X10" s="132">
        <f t="shared" ca="1" si="4"/>
        <v>-1E-3</v>
      </c>
      <c r="Y10" s="132">
        <f t="shared" ca="1" si="4"/>
        <v>-1E-3</v>
      </c>
      <c r="Z10" s="132">
        <f t="shared" ca="1" si="4"/>
        <v>-1E-3</v>
      </c>
      <c r="AA10" s="132">
        <f t="shared" ca="1" si="4"/>
        <v>-1E-3</v>
      </c>
      <c r="AB10" s="132">
        <f t="shared" ca="1" si="4"/>
        <v>-1E-3</v>
      </c>
      <c r="AC10" s="133"/>
      <c r="AD10" s="121"/>
    </row>
    <row r="11" spans="1:30" ht="15" customHeight="1" thickBot="1" x14ac:dyDescent="0.25">
      <c r="B11" s="134"/>
      <c r="C11" s="135" t="s">
        <v>54</v>
      </c>
      <c r="D11" s="136" t="s">
        <v>19</v>
      </c>
      <c r="E11" s="132">
        <f t="shared" ca="1" si="3"/>
        <v>-1E-3</v>
      </c>
      <c r="F11" s="132">
        <f t="shared" ca="1" si="3"/>
        <v>-1E-3</v>
      </c>
      <c r="G11" s="132">
        <f t="shared" ca="1" si="3"/>
        <v>-1E-3</v>
      </c>
      <c r="H11" s="132">
        <f t="shared" ca="1" si="3"/>
        <v>-1E-3</v>
      </c>
      <c r="I11" s="132">
        <f t="shared" ca="1" si="3"/>
        <v>-1E-3</v>
      </c>
      <c r="J11" s="132">
        <f t="shared" ca="1" si="3"/>
        <v>-1E-3</v>
      </c>
      <c r="K11" s="132">
        <f t="shared" ca="1" si="3"/>
        <v>-1E-3</v>
      </c>
      <c r="L11" s="132">
        <f t="shared" ca="1" si="3"/>
        <v>-1E-3</v>
      </c>
      <c r="M11" s="132">
        <f t="shared" ca="1" si="3"/>
        <v>-1E-3</v>
      </c>
      <c r="N11" s="132">
        <f t="shared" ca="1" si="3"/>
        <v>-1E-3</v>
      </c>
      <c r="O11" s="132">
        <f t="shared" ca="1" si="4"/>
        <v>-1E-3</v>
      </c>
      <c r="P11" s="132">
        <f t="shared" ca="1" si="4"/>
        <v>-1E-3</v>
      </c>
      <c r="Q11" s="132">
        <f t="shared" ca="1" si="4"/>
        <v>-1E-3</v>
      </c>
      <c r="R11" s="132">
        <f t="shared" ca="1" si="4"/>
        <v>-1E-3</v>
      </c>
      <c r="S11" s="132">
        <f t="shared" ca="1" si="4"/>
        <v>-1E-3</v>
      </c>
      <c r="T11" s="132">
        <f t="shared" ca="1" si="4"/>
        <v>-1E-3</v>
      </c>
      <c r="U11" s="132">
        <f t="shared" ca="1" si="4"/>
        <v>-1E-3</v>
      </c>
      <c r="V11" s="132">
        <f t="shared" ca="1" si="4"/>
        <v>-1E-3</v>
      </c>
      <c r="W11" s="132">
        <f t="shared" ca="1" si="4"/>
        <v>-1E-3</v>
      </c>
      <c r="X11" s="132">
        <f t="shared" ca="1" si="4"/>
        <v>-1E-3</v>
      </c>
      <c r="Y11" s="132">
        <f t="shared" ca="1" si="4"/>
        <v>-1E-3</v>
      </c>
      <c r="Z11" s="132">
        <f t="shared" ca="1" si="4"/>
        <v>-1E-3</v>
      </c>
      <c r="AA11" s="132">
        <f t="shared" ca="1" si="4"/>
        <v>-1E-3</v>
      </c>
      <c r="AB11" s="132">
        <f t="shared" ca="1" si="4"/>
        <v>-1E-3</v>
      </c>
      <c r="AC11" s="133"/>
      <c r="AD11" s="121"/>
    </row>
    <row r="12" spans="1:30" ht="15" customHeight="1" x14ac:dyDescent="0.2">
      <c r="B12" s="115"/>
      <c r="C12" s="116" t="s">
        <v>55</v>
      </c>
      <c r="D12" s="117" t="s">
        <v>20</v>
      </c>
      <c r="E12" s="132">
        <f t="shared" ca="1" si="3"/>
        <v>-1E-3</v>
      </c>
      <c r="F12" s="132">
        <f t="shared" ca="1" si="3"/>
        <v>-1E-3</v>
      </c>
      <c r="G12" s="132">
        <f t="shared" ca="1" si="3"/>
        <v>-1E-3</v>
      </c>
      <c r="H12" s="132">
        <f t="shared" ca="1" si="3"/>
        <v>-1E-3</v>
      </c>
      <c r="I12" s="132">
        <f t="shared" ca="1" si="3"/>
        <v>-1E-3</v>
      </c>
      <c r="J12" s="132">
        <f t="shared" ca="1" si="3"/>
        <v>-1E-3</v>
      </c>
      <c r="K12" s="132">
        <f t="shared" ca="1" si="3"/>
        <v>-1E-3</v>
      </c>
      <c r="L12" s="132">
        <f t="shared" ca="1" si="3"/>
        <v>-1E-3</v>
      </c>
      <c r="M12" s="132">
        <f t="shared" ca="1" si="3"/>
        <v>-1E-3</v>
      </c>
      <c r="N12" s="132">
        <f t="shared" ca="1" si="3"/>
        <v>-1E-3</v>
      </c>
      <c r="O12" s="132">
        <f t="shared" ca="1" si="4"/>
        <v>-1E-3</v>
      </c>
      <c r="P12" s="132">
        <f t="shared" ca="1" si="4"/>
        <v>-1E-3</v>
      </c>
      <c r="Q12" s="132">
        <f t="shared" ca="1" si="4"/>
        <v>-1E-3</v>
      </c>
      <c r="R12" s="132">
        <f t="shared" ca="1" si="4"/>
        <v>-1E-3</v>
      </c>
      <c r="S12" s="132">
        <f t="shared" ca="1" si="4"/>
        <v>-1E-3</v>
      </c>
      <c r="T12" s="132">
        <f t="shared" ca="1" si="4"/>
        <v>-1E-3</v>
      </c>
      <c r="U12" s="132">
        <f t="shared" ca="1" si="4"/>
        <v>-1E-3</v>
      </c>
      <c r="V12" s="132">
        <f t="shared" ca="1" si="4"/>
        <v>-1E-3</v>
      </c>
      <c r="W12" s="132">
        <f t="shared" ca="1" si="4"/>
        <v>-1E-3</v>
      </c>
      <c r="X12" s="132">
        <f t="shared" ca="1" si="4"/>
        <v>-1E-3</v>
      </c>
      <c r="Y12" s="132">
        <f t="shared" ca="1" si="4"/>
        <v>-1E-3</v>
      </c>
      <c r="Z12" s="132">
        <f t="shared" ca="1" si="4"/>
        <v>-1E-3</v>
      </c>
      <c r="AA12" s="132">
        <f t="shared" ca="1" si="4"/>
        <v>-1E-3</v>
      </c>
      <c r="AB12" s="132">
        <f t="shared" ca="1" si="4"/>
        <v>-1E-3</v>
      </c>
      <c r="AC12" s="133"/>
    </row>
    <row r="13" spans="1:30" ht="15" customHeight="1" x14ac:dyDescent="0.2">
      <c r="B13" s="50"/>
      <c r="C13" s="50"/>
      <c r="D13" s="50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</row>
    <row r="14" spans="1:30" ht="15" customHeight="1" x14ac:dyDescent="0.2">
      <c r="B14" s="50"/>
      <c r="C14" s="50"/>
      <c r="D14" s="50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</row>
    <row r="15" spans="1:30" ht="15.75" thickBot="1" x14ac:dyDescent="0.25">
      <c r="B15" s="118"/>
      <c r="C15" s="118"/>
    </row>
    <row r="16" spans="1:30" x14ac:dyDescent="0.2">
      <c r="B16" s="103" t="s">
        <v>16</v>
      </c>
      <c r="C16" s="104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</row>
    <row r="17" spans="2:29" x14ac:dyDescent="0.2">
      <c r="B17" s="20" t="s">
        <v>56</v>
      </c>
      <c r="C17" s="18" t="s">
        <v>45</v>
      </c>
      <c r="D17" s="107">
        <v>43830</v>
      </c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106"/>
      <c r="AB17" s="106"/>
    </row>
    <row r="18" spans="2:29" x14ac:dyDescent="0.2">
      <c r="B18" s="20"/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6"/>
      <c r="W18" s="106"/>
      <c r="X18" s="106"/>
      <c r="Y18" s="106"/>
      <c r="Z18" s="106"/>
      <c r="AA18" s="106"/>
      <c r="AB18" s="106"/>
    </row>
    <row r="19" spans="2:29" ht="15.75" thickBot="1" x14ac:dyDescent="0.25">
      <c r="B19" s="108"/>
      <c r="C19" s="109"/>
      <c r="D19" s="109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</row>
    <row r="20" spans="2:29" x14ac:dyDescent="0.2">
      <c r="B20" s="177"/>
      <c r="C20" s="178"/>
      <c r="D20" s="179"/>
      <c r="E20" s="126">
        <f ca="1">E21-IF(MONTH(E21)=2,IF(OR(YEAR(E21)=2008,YEAR(E21)=2012,YEAR(E21)=2016),29,28),IF(OR(MONTH(E21)=4,MONTH(E21)=6,MONTH(E21)=9,MONTH(E21)=11),30,31))+1</f>
        <v>43101</v>
      </c>
      <c r="F20" s="127">
        <f t="shared" ref="F20:AB20" ca="1" si="5">F21-IF(MONTH(F21)=2,IF(OR(YEAR(F21)=2008,YEAR(F21)=2012,YEAR(F21)=2016),29,28),IF(OR(MONTH(F21)=4,MONTH(F21)=6,MONTH(F21)=9,MONTH(F21)=11),30,31))+1</f>
        <v>43132</v>
      </c>
      <c r="G20" s="127">
        <f t="shared" ca="1" si="5"/>
        <v>43160</v>
      </c>
      <c r="H20" s="127">
        <f t="shared" ca="1" si="5"/>
        <v>43191</v>
      </c>
      <c r="I20" s="127">
        <f t="shared" ca="1" si="5"/>
        <v>43221</v>
      </c>
      <c r="J20" s="127">
        <f t="shared" ca="1" si="5"/>
        <v>43252</v>
      </c>
      <c r="K20" s="127">
        <f t="shared" ca="1" si="5"/>
        <v>43282</v>
      </c>
      <c r="L20" s="127">
        <f t="shared" ca="1" si="5"/>
        <v>43313</v>
      </c>
      <c r="M20" s="127">
        <f t="shared" ca="1" si="5"/>
        <v>43344</v>
      </c>
      <c r="N20" s="127">
        <f t="shared" ca="1" si="5"/>
        <v>43374</v>
      </c>
      <c r="O20" s="127">
        <f t="shared" ca="1" si="5"/>
        <v>43405</v>
      </c>
      <c r="P20" s="127">
        <f t="shared" ca="1" si="5"/>
        <v>43435</v>
      </c>
      <c r="Q20" s="127">
        <f t="shared" ca="1" si="5"/>
        <v>43466</v>
      </c>
      <c r="R20" s="127">
        <f t="shared" ca="1" si="5"/>
        <v>43497</v>
      </c>
      <c r="S20" s="127">
        <f t="shared" ca="1" si="5"/>
        <v>43525</v>
      </c>
      <c r="T20" s="127">
        <f t="shared" ca="1" si="5"/>
        <v>43556</v>
      </c>
      <c r="U20" s="127">
        <f t="shared" ca="1" si="5"/>
        <v>43586</v>
      </c>
      <c r="V20" s="127">
        <f t="shared" ca="1" si="5"/>
        <v>43617</v>
      </c>
      <c r="W20" s="127">
        <f t="shared" ca="1" si="5"/>
        <v>43647</v>
      </c>
      <c r="X20" s="127">
        <f t="shared" ca="1" si="5"/>
        <v>43678</v>
      </c>
      <c r="Y20" s="127">
        <f t="shared" ca="1" si="5"/>
        <v>43709</v>
      </c>
      <c r="Z20" s="127">
        <f t="shared" ca="1" si="5"/>
        <v>43739</v>
      </c>
      <c r="AA20" s="127">
        <f t="shared" ca="1" si="5"/>
        <v>43770</v>
      </c>
      <c r="AB20" s="127">
        <f t="shared" ca="1" si="5"/>
        <v>43800</v>
      </c>
      <c r="AC20" s="121"/>
    </row>
    <row r="21" spans="2:29" ht="15.75" thickBot="1" x14ac:dyDescent="0.25">
      <c r="B21" s="180"/>
      <c r="C21" s="181"/>
      <c r="D21" s="182"/>
      <c r="E21" s="128">
        <f t="shared" ref="E21" ca="1" si="6">F20-1</f>
        <v>43131</v>
      </c>
      <c r="F21" s="129">
        <f t="shared" ref="F21" ca="1" si="7">G20-1</f>
        <v>43159</v>
      </c>
      <c r="G21" s="129">
        <f t="shared" ref="G21" ca="1" si="8">H20-1</f>
        <v>43190</v>
      </c>
      <c r="H21" s="129">
        <f t="shared" ref="H21" ca="1" si="9">I20-1</f>
        <v>43220</v>
      </c>
      <c r="I21" s="129">
        <f t="shared" ref="I21" ca="1" si="10">J20-1</f>
        <v>43251</v>
      </c>
      <c r="J21" s="129">
        <f t="shared" ref="J21" ca="1" si="11">K20-1</f>
        <v>43281</v>
      </c>
      <c r="K21" s="129">
        <f t="shared" ref="K21" ca="1" si="12">L20-1</f>
        <v>43312</v>
      </c>
      <c r="L21" s="129">
        <f t="shared" ref="L21" ca="1" si="13">M20-1</f>
        <v>43343</v>
      </c>
      <c r="M21" s="129">
        <f t="shared" ref="M21" ca="1" si="14">N20-1</f>
        <v>43373</v>
      </c>
      <c r="N21" s="129">
        <f t="shared" ref="N21" ca="1" si="15">O20-1</f>
        <v>43404</v>
      </c>
      <c r="O21" s="129">
        <f t="shared" ref="O21" ca="1" si="16">P20-1</f>
        <v>43434</v>
      </c>
      <c r="P21" s="129">
        <f t="shared" ref="P21" ca="1" si="17">Q20-1</f>
        <v>43465</v>
      </c>
      <c r="Q21" s="129">
        <f t="shared" ref="Q21" ca="1" si="18">R20-1</f>
        <v>43496</v>
      </c>
      <c r="R21" s="129">
        <f t="shared" ref="R21" ca="1" si="19">S20-1</f>
        <v>43524</v>
      </c>
      <c r="S21" s="129">
        <f t="shared" ref="S21" ca="1" si="20">T20-1</f>
        <v>43555</v>
      </c>
      <c r="T21" s="129">
        <f t="shared" ref="T21" ca="1" si="21">U20-1</f>
        <v>43585</v>
      </c>
      <c r="U21" s="129">
        <f t="shared" ref="U21" ca="1" si="22">V20-1</f>
        <v>43616</v>
      </c>
      <c r="V21" s="129">
        <f t="shared" ref="V21" ca="1" si="23">W20-1</f>
        <v>43646</v>
      </c>
      <c r="W21" s="129">
        <f t="shared" ref="W21" ca="1" si="24">X20-1</f>
        <v>43677</v>
      </c>
      <c r="X21" s="129">
        <f t="shared" ref="X21" ca="1" si="25">Y20-1</f>
        <v>43708</v>
      </c>
      <c r="Y21" s="129">
        <f t="shared" ref="Y21" ca="1" si="26">Z20-1</f>
        <v>43738</v>
      </c>
      <c r="Z21" s="129">
        <f t="shared" ref="Z21" ca="1" si="27">AA20-1</f>
        <v>43769</v>
      </c>
      <c r="AA21" s="129">
        <f t="shared" ref="AA21" ca="1" si="28">AB20-1</f>
        <v>43799</v>
      </c>
      <c r="AB21" s="129">
        <f ca="1">D17</f>
        <v>43830</v>
      </c>
      <c r="AC21" s="121"/>
    </row>
    <row r="22" spans="2:29" ht="15.75" thickBot="1" x14ac:dyDescent="0.25">
      <c r="B22" s="110" t="s">
        <v>0</v>
      </c>
      <c r="C22" s="102" t="s">
        <v>14</v>
      </c>
      <c r="D22" s="111" t="s">
        <v>47</v>
      </c>
      <c r="E22" s="130">
        <f t="shared" ref="E22:AB22" ca="1" si="29">E20</f>
        <v>43101</v>
      </c>
      <c r="F22" s="131">
        <f t="shared" ca="1" si="29"/>
        <v>43132</v>
      </c>
      <c r="G22" s="131">
        <f t="shared" ca="1" si="29"/>
        <v>43160</v>
      </c>
      <c r="H22" s="131">
        <f t="shared" ca="1" si="29"/>
        <v>43191</v>
      </c>
      <c r="I22" s="131">
        <f t="shared" ca="1" si="29"/>
        <v>43221</v>
      </c>
      <c r="J22" s="131">
        <f t="shared" ca="1" si="29"/>
        <v>43252</v>
      </c>
      <c r="K22" s="131">
        <f t="shared" ca="1" si="29"/>
        <v>43282</v>
      </c>
      <c r="L22" s="131">
        <f t="shared" ca="1" si="29"/>
        <v>43313</v>
      </c>
      <c r="M22" s="131">
        <f t="shared" ca="1" si="29"/>
        <v>43344</v>
      </c>
      <c r="N22" s="131">
        <f t="shared" ca="1" si="29"/>
        <v>43374</v>
      </c>
      <c r="O22" s="131">
        <f t="shared" ca="1" si="29"/>
        <v>43405</v>
      </c>
      <c r="P22" s="131">
        <f t="shared" ca="1" si="29"/>
        <v>43435</v>
      </c>
      <c r="Q22" s="131">
        <f t="shared" ca="1" si="29"/>
        <v>43466</v>
      </c>
      <c r="R22" s="131">
        <f t="shared" ca="1" si="29"/>
        <v>43497</v>
      </c>
      <c r="S22" s="131">
        <f t="shared" ca="1" si="29"/>
        <v>43525</v>
      </c>
      <c r="T22" s="131">
        <f t="shared" ca="1" si="29"/>
        <v>43556</v>
      </c>
      <c r="U22" s="131">
        <f t="shared" ca="1" si="29"/>
        <v>43586</v>
      </c>
      <c r="V22" s="131">
        <f t="shared" ca="1" si="29"/>
        <v>43617</v>
      </c>
      <c r="W22" s="131">
        <f t="shared" ca="1" si="29"/>
        <v>43647</v>
      </c>
      <c r="X22" s="131">
        <f t="shared" ca="1" si="29"/>
        <v>43678</v>
      </c>
      <c r="Y22" s="131">
        <f t="shared" ca="1" si="29"/>
        <v>43709</v>
      </c>
      <c r="Z22" s="131">
        <f t="shared" ca="1" si="29"/>
        <v>43739</v>
      </c>
      <c r="AA22" s="131">
        <f t="shared" ca="1" si="29"/>
        <v>43770</v>
      </c>
      <c r="AB22" s="131">
        <f t="shared" ca="1" si="29"/>
        <v>43800</v>
      </c>
      <c r="AC22" s="121"/>
    </row>
    <row r="23" spans="2:29" ht="15.75" thickBot="1" x14ac:dyDescent="0.25">
      <c r="B23" s="112"/>
      <c r="C23" s="113" t="s">
        <v>1</v>
      </c>
      <c r="D23" s="114" t="s">
        <v>17</v>
      </c>
      <c r="E23" s="132">
        <f t="shared" ref="E23:N26" ca="1" si="30">AbraPayable(URL,Username,Password,$D23,E$20,E$21)/1000</f>
        <v>-1E-3</v>
      </c>
      <c r="F23" s="132">
        <f t="shared" ca="1" si="30"/>
        <v>-1E-3</v>
      </c>
      <c r="G23" s="132">
        <f t="shared" ca="1" si="30"/>
        <v>-1E-3</v>
      </c>
      <c r="H23" s="132">
        <f t="shared" ca="1" si="30"/>
        <v>-1E-3</v>
      </c>
      <c r="I23" s="132">
        <f t="shared" ca="1" si="30"/>
        <v>-1E-3</v>
      </c>
      <c r="J23" s="132">
        <f t="shared" ca="1" si="30"/>
        <v>-1E-3</v>
      </c>
      <c r="K23" s="132">
        <f t="shared" ca="1" si="30"/>
        <v>-1E-3</v>
      </c>
      <c r="L23" s="132">
        <f t="shared" ca="1" si="30"/>
        <v>-1E-3</v>
      </c>
      <c r="M23" s="132">
        <f t="shared" ca="1" si="30"/>
        <v>-1E-3</v>
      </c>
      <c r="N23" s="132">
        <f t="shared" ca="1" si="30"/>
        <v>-1E-3</v>
      </c>
      <c r="O23" s="132">
        <f t="shared" ref="O23:AB26" ca="1" si="31">AbraPayable(URL,Username,Password,$D23,O$20,O$21)/1000</f>
        <v>-1E-3</v>
      </c>
      <c r="P23" s="132">
        <f t="shared" ca="1" si="31"/>
        <v>-1E-3</v>
      </c>
      <c r="Q23" s="132">
        <f t="shared" ca="1" si="31"/>
        <v>-1E-3</v>
      </c>
      <c r="R23" s="132">
        <f t="shared" ca="1" si="31"/>
        <v>-1E-3</v>
      </c>
      <c r="S23" s="132">
        <f t="shared" ca="1" si="31"/>
        <v>-1E-3</v>
      </c>
      <c r="T23" s="132">
        <f t="shared" ca="1" si="31"/>
        <v>-1E-3</v>
      </c>
      <c r="U23" s="132">
        <f t="shared" ca="1" si="31"/>
        <v>-1E-3</v>
      </c>
      <c r="V23" s="132">
        <f t="shared" ca="1" si="31"/>
        <v>-1E-3</v>
      </c>
      <c r="W23" s="132">
        <f t="shared" ca="1" si="31"/>
        <v>-1E-3</v>
      </c>
      <c r="X23" s="132">
        <f t="shared" ca="1" si="31"/>
        <v>-1E-3</v>
      </c>
      <c r="Y23" s="132">
        <f t="shared" ca="1" si="31"/>
        <v>-1E-3</v>
      </c>
      <c r="Z23" s="132">
        <f t="shared" ca="1" si="31"/>
        <v>-1E-3</v>
      </c>
      <c r="AA23" s="132">
        <f t="shared" ca="1" si="31"/>
        <v>-1E-3</v>
      </c>
      <c r="AB23" s="132">
        <f t="shared" ca="1" si="31"/>
        <v>-1E-3</v>
      </c>
      <c r="AC23" s="133"/>
    </row>
    <row r="24" spans="2:29" ht="15.75" thickBot="1" x14ac:dyDescent="0.25">
      <c r="B24" s="134"/>
      <c r="C24" s="135" t="s">
        <v>53</v>
      </c>
      <c r="D24" s="136" t="s">
        <v>18</v>
      </c>
      <c r="E24" s="132">
        <f t="shared" ca="1" si="30"/>
        <v>0</v>
      </c>
      <c r="F24" s="132">
        <f t="shared" ca="1" si="30"/>
        <v>0</v>
      </c>
      <c r="G24" s="132">
        <f t="shared" ca="1" si="30"/>
        <v>-1E-3</v>
      </c>
      <c r="H24" s="132">
        <f t="shared" ca="1" si="30"/>
        <v>-1E-3</v>
      </c>
      <c r="I24" s="132">
        <f t="shared" ca="1" si="30"/>
        <v>-1E-3</v>
      </c>
      <c r="J24" s="132">
        <f t="shared" ca="1" si="30"/>
        <v>-1E-3</v>
      </c>
      <c r="K24" s="132">
        <f t="shared" ca="1" si="30"/>
        <v>-1E-3</v>
      </c>
      <c r="L24" s="132">
        <f t="shared" ca="1" si="30"/>
        <v>-1E-3</v>
      </c>
      <c r="M24" s="132">
        <f t="shared" ca="1" si="30"/>
        <v>-1E-3</v>
      </c>
      <c r="N24" s="132">
        <f t="shared" ca="1" si="30"/>
        <v>-1E-3</v>
      </c>
      <c r="O24" s="132">
        <f t="shared" ca="1" si="31"/>
        <v>-1E-3</v>
      </c>
      <c r="P24" s="132">
        <f t="shared" ca="1" si="31"/>
        <v>-1E-3</v>
      </c>
      <c r="Q24" s="132">
        <f t="shared" ca="1" si="31"/>
        <v>-1E-3</v>
      </c>
      <c r="R24" s="132">
        <f t="shared" ca="1" si="31"/>
        <v>-1E-3</v>
      </c>
      <c r="S24" s="132">
        <f t="shared" ca="1" si="31"/>
        <v>-1E-3</v>
      </c>
      <c r="T24" s="132">
        <f t="shared" ca="1" si="31"/>
        <v>-1E-3</v>
      </c>
      <c r="U24" s="132">
        <f t="shared" ca="1" si="31"/>
        <v>-1E-3</v>
      </c>
      <c r="V24" s="132">
        <f t="shared" ca="1" si="31"/>
        <v>-1E-3</v>
      </c>
      <c r="W24" s="132">
        <f t="shared" ca="1" si="31"/>
        <v>-1E-3</v>
      </c>
      <c r="X24" s="132">
        <f t="shared" ca="1" si="31"/>
        <v>-1E-3</v>
      </c>
      <c r="Y24" s="132">
        <f t="shared" ca="1" si="31"/>
        <v>-1E-3</v>
      </c>
      <c r="Z24" s="132">
        <f t="shared" ca="1" si="31"/>
        <v>-1E-3</v>
      </c>
      <c r="AA24" s="132">
        <f t="shared" ca="1" si="31"/>
        <v>-1E-3</v>
      </c>
      <c r="AB24" s="132">
        <f t="shared" ca="1" si="31"/>
        <v>-1E-3</v>
      </c>
      <c r="AC24" s="133"/>
    </row>
    <row r="25" spans="2:29" ht="15.75" thickBot="1" x14ac:dyDescent="0.25">
      <c r="B25" s="134"/>
      <c r="C25" s="135" t="s">
        <v>54</v>
      </c>
      <c r="D25" s="136" t="s">
        <v>19</v>
      </c>
      <c r="E25" s="132">
        <f t="shared" ca="1" si="30"/>
        <v>-1E-3</v>
      </c>
      <c r="F25" s="132">
        <f t="shared" ca="1" si="30"/>
        <v>-1E-3</v>
      </c>
      <c r="G25" s="132">
        <f t="shared" ca="1" si="30"/>
        <v>-1E-3</v>
      </c>
      <c r="H25" s="132">
        <f t="shared" ca="1" si="30"/>
        <v>-1E-3</v>
      </c>
      <c r="I25" s="132">
        <f t="shared" ca="1" si="30"/>
        <v>-1E-3</v>
      </c>
      <c r="J25" s="132">
        <f t="shared" ca="1" si="30"/>
        <v>-1E-3</v>
      </c>
      <c r="K25" s="132">
        <f t="shared" ca="1" si="30"/>
        <v>-1E-3</v>
      </c>
      <c r="L25" s="132">
        <f t="shared" ca="1" si="30"/>
        <v>-1E-3</v>
      </c>
      <c r="M25" s="132">
        <f t="shared" ca="1" si="30"/>
        <v>-1E-3</v>
      </c>
      <c r="N25" s="132">
        <f t="shared" ca="1" si="30"/>
        <v>-1E-3</v>
      </c>
      <c r="O25" s="132">
        <f t="shared" ca="1" si="31"/>
        <v>-1E-3</v>
      </c>
      <c r="P25" s="132">
        <f t="shared" ca="1" si="31"/>
        <v>-1E-3</v>
      </c>
      <c r="Q25" s="132">
        <f t="shared" ca="1" si="31"/>
        <v>-1E-3</v>
      </c>
      <c r="R25" s="132">
        <f t="shared" ca="1" si="31"/>
        <v>-1E-3</v>
      </c>
      <c r="S25" s="132">
        <f t="shared" ca="1" si="31"/>
        <v>-1E-3</v>
      </c>
      <c r="T25" s="132">
        <f t="shared" ca="1" si="31"/>
        <v>-1E-3</v>
      </c>
      <c r="U25" s="132">
        <f t="shared" ca="1" si="31"/>
        <v>-1E-3</v>
      </c>
      <c r="V25" s="132">
        <f t="shared" ca="1" si="31"/>
        <v>-1E-3</v>
      </c>
      <c r="W25" s="132">
        <f t="shared" ca="1" si="31"/>
        <v>-1E-3</v>
      </c>
      <c r="X25" s="132">
        <f t="shared" ca="1" si="31"/>
        <v>-1E-3</v>
      </c>
      <c r="Y25" s="132">
        <f t="shared" ca="1" si="31"/>
        <v>-1E-3</v>
      </c>
      <c r="Z25" s="132">
        <f t="shared" ca="1" si="31"/>
        <v>-1E-3</v>
      </c>
      <c r="AA25" s="132">
        <f t="shared" ca="1" si="31"/>
        <v>-1E-3</v>
      </c>
      <c r="AB25" s="132">
        <f t="shared" ca="1" si="31"/>
        <v>-1E-3</v>
      </c>
      <c r="AC25" s="133"/>
    </row>
    <row r="26" spans="2:29" x14ac:dyDescent="0.2">
      <c r="B26" s="115"/>
      <c r="C26" s="116" t="s">
        <v>55</v>
      </c>
      <c r="D26" s="117" t="s">
        <v>20</v>
      </c>
      <c r="E26" s="132">
        <f t="shared" ca="1" si="30"/>
        <v>-1E-3</v>
      </c>
      <c r="F26" s="132">
        <f t="shared" ca="1" si="30"/>
        <v>-1E-3</v>
      </c>
      <c r="G26" s="132">
        <f t="shared" ca="1" si="30"/>
        <v>-1E-3</v>
      </c>
      <c r="H26" s="132">
        <f t="shared" ca="1" si="30"/>
        <v>-1E-3</v>
      </c>
      <c r="I26" s="132">
        <f t="shared" ca="1" si="30"/>
        <v>-1E-3</v>
      </c>
      <c r="J26" s="132">
        <f t="shared" ca="1" si="30"/>
        <v>-1E-3</v>
      </c>
      <c r="K26" s="132">
        <f t="shared" ca="1" si="30"/>
        <v>-1E-3</v>
      </c>
      <c r="L26" s="132">
        <f t="shared" ca="1" si="30"/>
        <v>-1E-3</v>
      </c>
      <c r="M26" s="132">
        <f t="shared" ca="1" si="30"/>
        <v>-1E-3</v>
      </c>
      <c r="N26" s="132">
        <f t="shared" ca="1" si="30"/>
        <v>-1E-3</v>
      </c>
      <c r="O26" s="132">
        <f t="shared" ca="1" si="31"/>
        <v>-1E-3</v>
      </c>
      <c r="P26" s="132">
        <f t="shared" ca="1" si="31"/>
        <v>-1E-3</v>
      </c>
      <c r="Q26" s="132">
        <f t="shared" ca="1" si="31"/>
        <v>-1E-3</v>
      </c>
      <c r="R26" s="132">
        <f t="shared" ca="1" si="31"/>
        <v>-1E-3</v>
      </c>
      <c r="S26" s="132">
        <f t="shared" ca="1" si="31"/>
        <v>-1E-3</v>
      </c>
      <c r="T26" s="132">
        <f t="shared" ca="1" si="31"/>
        <v>-1E-3</v>
      </c>
      <c r="U26" s="132">
        <f t="shared" ca="1" si="31"/>
        <v>-1E-3</v>
      </c>
      <c r="V26" s="132">
        <f t="shared" ca="1" si="31"/>
        <v>-1E-3</v>
      </c>
      <c r="W26" s="132">
        <f t="shared" ca="1" si="31"/>
        <v>-1E-3</v>
      </c>
      <c r="X26" s="132">
        <f t="shared" ca="1" si="31"/>
        <v>-1E-3</v>
      </c>
      <c r="Y26" s="132">
        <f t="shared" ca="1" si="31"/>
        <v>-1E-3</v>
      </c>
      <c r="Z26" s="132">
        <f t="shared" ca="1" si="31"/>
        <v>-1E-3</v>
      </c>
      <c r="AA26" s="132">
        <f t="shared" ca="1" si="31"/>
        <v>-1E-3</v>
      </c>
      <c r="AB26" s="132">
        <f t="shared" ca="1" si="31"/>
        <v>-1E-3</v>
      </c>
      <c r="AC26" s="133"/>
    </row>
    <row r="27" spans="2:29" x14ac:dyDescent="0.2">
      <c r="B27" s="50"/>
      <c r="C27" s="50"/>
      <c r="D27" s="50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</row>
    <row r="28" spans="2:29" x14ac:dyDescent="0.2">
      <c r="B28" s="50"/>
      <c r="C28" s="50"/>
      <c r="D28" s="50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</row>
    <row r="30" spans="2:29" x14ac:dyDescent="0.2">
      <c r="B30" s="138"/>
      <c r="C30" s="138"/>
    </row>
    <row r="32" spans="2:29" x14ac:dyDescent="0.2">
      <c r="B32" s="139"/>
      <c r="C32" s="139"/>
    </row>
    <row r="33" spans="2:3" x14ac:dyDescent="0.2">
      <c r="B33" s="139"/>
      <c r="C33" s="139"/>
    </row>
    <row r="34" spans="2:3" x14ac:dyDescent="0.2">
      <c r="B34" s="139"/>
      <c r="C34" s="139"/>
    </row>
    <row r="35" spans="2:3" x14ac:dyDescent="0.2">
      <c r="B35" s="139"/>
      <c r="C35" s="139"/>
    </row>
  </sheetData>
  <mergeCells count="2">
    <mergeCell ref="B6:D7"/>
    <mergeCell ref="B20:D2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9"/>
  <dimension ref="A1:GI36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52" bestFit="1" customWidth="1"/>
    <col min="3" max="3" width="30.28515625" style="52" customWidth="1"/>
    <col min="4" max="4" width="12.7109375" style="52" customWidth="1"/>
    <col min="5" max="7" width="12.7109375" style="53" customWidth="1"/>
    <col min="8" max="21" width="12.7109375" style="53" hidden="1" customWidth="1" outlineLevel="1"/>
    <col min="22" max="22" width="12.7109375" style="54" hidden="1" customWidth="1" outlineLevel="1"/>
    <col min="23" max="27" width="12.7109375" style="55" hidden="1" customWidth="1" outlineLevel="1"/>
    <col min="28" max="28" width="12.7109375" style="53" hidden="1" customWidth="1" outlineLevel="1"/>
    <col min="29" max="29" width="9.140625" style="53" collapsed="1"/>
    <col min="30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62</v>
      </c>
      <c r="C2" s="63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30" ht="15" customHeight="1" x14ac:dyDescent="0.2">
      <c r="B3" s="20" t="s">
        <v>61</v>
      </c>
      <c r="C3" s="18" t="s">
        <v>52</v>
      </c>
      <c r="D3" s="7">
        <v>43830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</row>
    <row r="5" spans="1:30" ht="15" customHeight="1" thickBot="1" x14ac:dyDescent="0.25">
      <c r="B5" s="73"/>
      <c r="C5" s="74"/>
      <c r="D5" s="74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</row>
    <row r="6" spans="1:30" s="29" customFormat="1" ht="15" customHeight="1" x14ac:dyDescent="0.2">
      <c r="A6" s="27"/>
      <c r="B6" s="168"/>
      <c r="C6" s="175"/>
      <c r="D6" s="169"/>
      <c r="E6" s="34">
        <f ca="1">E7-IF(MONTH(E7)=2,IF(OR(YEAR(E7)=2008,YEAR(E7)=2012,YEAR(E7)=2016),29,28),IF(OR(MONTH(E7)=4,MONTH(E7)=6,MONTH(E7)=9,MONTH(E7)=11),30,31))+1</f>
        <v>43101</v>
      </c>
      <c r="F6" s="35">
        <f t="shared" ref="F6:AB6" ca="1" si="0">F7-IF(MONTH(F7)=2,IF(OR(YEAR(F7)=2008,YEAR(F7)=2012,YEAR(F7)=2016),29,28),IF(OR(MONTH(F7)=4,MONTH(F7)=6,MONTH(F7)=9,MONTH(F7)=11),30,31))+1</f>
        <v>43132</v>
      </c>
      <c r="G6" s="35">
        <f t="shared" ca="1" si="0"/>
        <v>43160</v>
      </c>
      <c r="H6" s="35">
        <f t="shared" ca="1" si="0"/>
        <v>43191</v>
      </c>
      <c r="I6" s="35">
        <f t="shared" ca="1" si="0"/>
        <v>43221</v>
      </c>
      <c r="J6" s="35">
        <f t="shared" ca="1" si="0"/>
        <v>43252</v>
      </c>
      <c r="K6" s="35">
        <f t="shared" ca="1" si="0"/>
        <v>43282</v>
      </c>
      <c r="L6" s="35">
        <f t="shared" ca="1" si="0"/>
        <v>43313</v>
      </c>
      <c r="M6" s="35">
        <f t="shared" ca="1" si="0"/>
        <v>43344</v>
      </c>
      <c r="N6" s="35">
        <f t="shared" ca="1" si="0"/>
        <v>43374</v>
      </c>
      <c r="O6" s="35">
        <f t="shared" ca="1" si="0"/>
        <v>43405</v>
      </c>
      <c r="P6" s="35">
        <f t="shared" ca="1" si="0"/>
        <v>43435</v>
      </c>
      <c r="Q6" s="35">
        <f t="shared" ca="1" si="0"/>
        <v>43466</v>
      </c>
      <c r="R6" s="35">
        <f t="shared" ca="1" si="0"/>
        <v>43497</v>
      </c>
      <c r="S6" s="35">
        <f t="shared" ca="1" si="0"/>
        <v>43525</v>
      </c>
      <c r="T6" s="35">
        <f t="shared" ca="1" si="0"/>
        <v>43556</v>
      </c>
      <c r="U6" s="35">
        <f t="shared" ca="1" si="0"/>
        <v>43586</v>
      </c>
      <c r="V6" s="35">
        <f t="shared" ca="1" si="0"/>
        <v>43617</v>
      </c>
      <c r="W6" s="35">
        <f t="shared" ca="1" si="0"/>
        <v>43647</v>
      </c>
      <c r="X6" s="35">
        <f t="shared" ca="1" si="0"/>
        <v>43678</v>
      </c>
      <c r="Y6" s="35">
        <f t="shared" ca="1" si="0"/>
        <v>43709</v>
      </c>
      <c r="Z6" s="35">
        <f t="shared" ca="1" si="0"/>
        <v>43739</v>
      </c>
      <c r="AA6" s="35">
        <f t="shared" ca="1" si="0"/>
        <v>43770</v>
      </c>
      <c r="AB6" s="35">
        <f t="shared" ca="1" si="0"/>
        <v>43800</v>
      </c>
    </row>
    <row r="7" spans="1:30" s="29" customFormat="1" ht="15" customHeight="1" thickBot="1" x14ac:dyDescent="0.25">
      <c r="A7" s="27"/>
      <c r="B7" s="170"/>
      <c r="C7" s="176"/>
      <c r="D7" s="171"/>
      <c r="E7" s="36">
        <f t="shared" ref="E7:AA7" ca="1" si="1">F6-1</f>
        <v>43131</v>
      </c>
      <c r="F7" s="37">
        <f t="shared" ca="1" si="1"/>
        <v>43159</v>
      </c>
      <c r="G7" s="37">
        <f t="shared" ca="1" si="1"/>
        <v>43190</v>
      </c>
      <c r="H7" s="37">
        <f t="shared" ca="1" si="1"/>
        <v>43220</v>
      </c>
      <c r="I7" s="37">
        <f t="shared" ca="1" si="1"/>
        <v>43251</v>
      </c>
      <c r="J7" s="37">
        <f t="shared" ca="1" si="1"/>
        <v>43281</v>
      </c>
      <c r="K7" s="37">
        <f t="shared" ca="1" si="1"/>
        <v>43312</v>
      </c>
      <c r="L7" s="37">
        <f t="shared" ca="1" si="1"/>
        <v>43343</v>
      </c>
      <c r="M7" s="37">
        <f t="shared" ca="1" si="1"/>
        <v>43373</v>
      </c>
      <c r="N7" s="37">
        <f t="shared" ca="1" si="1"/>
        <v>43404</v>
      </c>
      <c r="O7" s="37">
        <f t="shared" ca="1" si="1"/>
        <v>43434</v>
      </c>
      <c r="P7" s="37">
        <f t="shared" ca="1" si="1"/>
        <v>43465</v>
      </c>
      <c r="Q7" s="37">
        <f t="shared" ca="1" si="1"/>
        <v>43496</v>
      </c>
      <c r="R7" s="37">
        <f t="shared" ca="1" si="1"/>
        <v>43524</v>
      </c>
      <c r="S7" s="37">
        <f t="shared" ca="1" si="1"/>
        <v>43555</v>
      </c>
      <c r="T7" s="37">
        <f t="shared" ca="1" si="1"/>
        <v>43585</v>
      </c>
      <c r="U7" s="37">
        <f t="shared" ca="1" si="1"/>
        <v>43616</v>
      </c>
      <c r="V7" s="37">
        <f t="shared" ca="1" si="1"/>
        <v>43646</v>
      </c>
      <c r="W7" s="37">
        <f t="shared" ca="1" si="1"/>
        <v>43677</v>
      </c>
      <c r="X7" s="37">
        <f t="shared" ca="1" si="1"/>
        <v>43708</v>
      </c>
      <c r="Y7" s="37">
        <f t="shared" ca="1" si="1"/>
        <v>43738</v>
      </c>
      <c r="Z7" s="37">
        <f t="shared" ca="1" si="1"/>
        <v>43769</v>
      </c>
      <c r="AA7" s="37">
        <f t="shared" ca="1" si="1"/>
        <v>43799</v>
      </c>
      <c r="AB7" s="37">
        <f ca="1">D3</f>
        <v>43830</v>
      </c>
    </row>
    <row r="8" spans="1:30" s="29" customFormat="1" ht="15" customHeight="1" thickBot="1" x14ac:dyDescent="0.25">
      <c r="B8" s="11" t="s">
        <v>0</v>
      </c>
      <c r="C8" s="101" t="s">
        <v>14</v>
      </c>
      <c r="D8" s="12" t="s">
        <v>47</v>
      </c>
      <c r="E8" s="162">
        <f t="shared" ref="E8:AB8" ca="1" si="2">E6</f>
        <v>43101</v>
      </c>
      <c r="F8" s="39">
        <f t="shared" ca="1" si="2"/>
        <v>43132</v>
      </c>
      <c r="G8" s="39">
        <f t="shared" ca="1" si="2"/>
        <v>43160</v>
      </c>
      <c r="H8" s="40">
        <f t="shared" ca="1" si="2"/>
        <v>43191</v>
      </c>
      <c r="I8" s="40">
        <f t="shared" ca="1" si="2"/>
        <v>43221</v>
      </c>
      <c r="J8" s="40">
        <f t="shared" ca="1" si="2"/>
        <v>43252</v>
      </c>
      <c r="K8" s="40">
        <f t="shared" ca="1" si="2"/>
        <v>43282</v>
      </c>
      <c r="L8" s="40">
        <f t="shared" ca="1" si="2"/>
        <v>43313</v>
      </c>
      <c r="M8" s="40">
        <f t="shared" ca="1" si="2"/>
        <v>43344</v>
      </c>
      <c r="N8" s="40">
        <f t="shared" ca="1" si="2"/>
        <v>43374</v>
      </c>
      <c r="O8" s="40">
        <f t="shared" ca="1" si="2"/>
        <v>43405</v>
      </c>
      <c r="P8" s="40">
        <f t="shared" ca="1" si="2"/>
        <v>43435</v>
      </c>
      <c r="Q8" s="40">
        <f t="shared" ca="1" si="2"/>
        <v>43466</v>
      </c>
      <c r="R8" s="40">
        <f t="shared" ca="1" si="2"/>
        <v>43497</v>
      </c>
      <c r="S8" s="40">
        <f t="shared" ca="1" si="2"/>
        <v>43525</v>
      </c>
      <c r="T8" s="40">
        <f t="shared" ca="1" si="2"/>
        <v>43556</v>
      </c>
      <c r="U8" s="40">
        <f t="shared" ca="1" si="2"/>
        <v>43586</v>
      </c>
      <c r="V8" s="40">
        <f t="shared" ca="1" si="2"/>
        <v>43617</v>
      </c>
      <c r="W8" s="40">
        <f t="shared" ca="1" si="2"/>
        <v>43647</v>
      </c>
      <c r="X8" s="40">
        <f t="shared" ca="1" si="2"/>
        <v>43678</v>
      </c>
      <c r="Y8" s="40">
        <f t="shared" ca="1" si="2"/>
        <v>43709</v>
      </c>
      <c r="Z8" s="40">
        <f t="shared" ca="1" si="2"/>
        <v>43739</v>
      </c>
      <c r="AA8" s="40">
        <f t="shared" ca="1" si="2"/>
        <v>43770</v>
      </c>
      <c r="AB8" s="40">
        <f t="shared" ca="1" si="2"/>
        <v>43800</v>
      </c>
    </row>
    <row r="9" spans="1:30" ht="15" customHeight="1" x14ac:dyDescent="0.2">
      <c r="B9" s="41"/>
      <c r="C9" s="41" t="s">
        <v>26</v>
      </c>
      <c r="D9" s="160" t="s">
        <v>4</v>
      </c>
      <c r="E9" s="156">
        <f t="shared" ref="E9:T10" ca="1" si="3">AbraDepreciation(URL,Username,Password,$D9,E$6,E$7)/1000</f>
        <v>-1E-3</v>
      </c>
      <c r="F9" s="161">
        <f t="shared" ca="1" si="3"/>
        <v>-1E-3</v>
      </c>
      <c r="G9" s="152">
        <f t="shared" ca="1" si="3"/>
        <v>-1E-3</v>
      </c>
      <c r="H9" s="152">
        <f t="shared" ca="1" si="3"/>
        <v>-1E-3</v>
      </c>
      <c r="I9" s="152">
        <f t="shared" ca="1" si="3"/>
        <v>-1E-3</v>
      </c>
      <c r="J9" s="152">
        <f t="shared" ca="1" si="3"/>
        <v>-1E-3</v>
      </c>
      <c r="K9" s="152">
        <f t="shared" ca="1" si="3"/>
        <v>-1E-3</v>
      </c>
      <c r="L9" s="152">
        <f t="shared" ca="1" si="3"/>
        <v>-1E-3</v>
      </c>
      <c r="M9" s="152">
        <f t="shared" ca="1" si="3"/>
        <v>-1E-3</v>
      </c>
      <c r="N9" s="152">
        <f t="shared" ca="1" si="3"/>
        <v>-1E-3</v>
      </c>
      <c r="O9" s="152">
        <f t="shared" ca="1" si="3"/>
        <v>-1E-3</v>
      </c>
      <c r="P9" s="152">
        <f t="shared" ca="1" si="3"/>
        <v>-1E-3</v>
      </c>
      <c r="Q9" s="152">
        <f t="shared" ca="1" si="3"/>
        <v>-1E-3</v>
      </c>
      <c r="R9" s="152">
        <f t="shared" ca="1" si="3"/>
        <v>-1E-3</v>
      </c>
      <c r="S9" s="152">
        <f t="shared" ca="1" si="3"/>
        <v>-1E-3</v>
      </c>
      <c r="T9" s="152">
        <f t="shared" ca="1" si="3"/>
        <v>-1E-3</v>
      </c>
      <c r="U9" s="152">
        <f t="shared" ref="U9:AB9" ca="1" si="4">AbraDepreciation(URL,Username,Password,$D9,U$6,U$7)/1000</f>
        <v>-1E-3</v>
      </c>
      <c r="V9" s="152">
        <f t="shared" ca="1" si="4"/>
        <v>-1E-3</v>
      </c>
      <c r="W9" s="152">
        <f t="shared" ca="1" si="4"/>
        <v>-1E-3</v>
      </c>
      <c r="X9" s="152">
        <f t="shared" ca="1" si="4"/>
        <v>-1E-3</v>
      </c>
      <c r="Y9" s="152">
        <f t="shared" ca="1" si="4"/>
        <v>-1E-3</v>
      </c>
      <c r="Z9" s="152">
        <f t="shared" ca="1" si="4"/>
        <v>-1E-3</v>
      </c>
      <c r="AA9" s="152">
        <f t="shared" ca="1" si="4"/>
        <v>-1E-3</v>
      </c>
      <c r="AB9" s="152">
        <f t="shared" ca="1" si="4"/>
        <v>-1E-3</v>
      </c>
      <c r="AC9" s="29"/>
      <c r="AD9" s="29"/>
    </row>
    <row r="10" spans="1:30" ht="15" customHeight="1" thickBot="1" x14ac:dyDescent="0.25">
      <c r="B10" s="45"/>
      <c r="C10" s="45" t="s">
        <v>27</v>
      </c>
      <c r="D10" s="47" t="s">
        <v>17</v>
      </c>
      <c r="E10" s="140">
        <f t="shared" ca="1" si="3"/>
        <v>-1E-3</v>
      </c>
      <c r="F10" s="140">
        <f t="shared" ca="1" si="3"/>
        <v>-1E-3</v>
      </c>
      <c r="G10" s="140">
        <f t="shared" ca="1" si="3"/>
        <v>-1E-3</v>
      </c>
      <c r="H10" s="140">
        <f t="shared" ca="1" si="3"/>
        <v>-1E-3</v>
      </c>
      <c r="I10" s="140">
        <f t="shared" ca="1" si="3"/>
        <v>-1E-3</v>
      </c>
      <c r="J10" s="140">
        <f t="shared" ca="1" si="3"/>
        <v>-1E-3</v>
      </c>
      <c r="K10" s="140">
        <f t="shared" ca="1" si="3"/>
        <v>-1E-3</v>
      </c>
      <c r="L10" s="140">
        <f t="shared" ca="1" si="3"/>
        <v>-1E-3</v>
      </c>
      <c r="M10" s="140">
        <f t="shared" ca="1" si="3"/>
        <v>-1E-3</v>
      </c>
      <c r="N10" s="140">
        <f t="shared" ca="1" si="3"/>
        <v>-1E-3</v>
      </c>
      <c r="O10" s="140">
        <f t="shared" ref="O10:AB10" ca="1" si="5">AbraDepreciation(URL,Username,Password,$D10,O$6,O$7)/1000</f>
        <v>-1E-3</v>
      </c>
      <c r="P10" s="140">
        <f t="shared" ca="1" si="5"/>
        <v>-1E-3</v>
      </c>
      <c r="Q10" s="140">
        <f t="shared" ca="1" si="5"/>
        <v>-1E-3</v>
      </c>
      <c r="R10" s="140">
        <f t="shared" ca="1" si="5"/>
        <v>-1E-3</v>
      </c>
      <c r="S10" s="140">
        <f t="shared" ca="1" si="5"/>
        <v>-1E-3</v>
      </c>
      <c r="T10" s="140">
        <f t="shared" ca="1" si="5"/>
        <v>-1E-3</v>
      </c>
      <c r="U10" s="140">
        <f t="shared" ca="1" si="5"/>
        <v>-1E-3</v>
      </c>
      <c r="V10" s="140">
        <f t="shared" ca="1" si="5"/>
        <v>-1E-3</v>
      </c>
      <c r="W10" s="140">
        <f t="shared" ca="1" si="5"/>
        <v>-1E-3</v>
      </c>
      <c r="X10" s="140">
        <f t="shared" ca="1" si="5"/>
        <v>-1E-3</v>
      </c>
      <c r="Y10" s="140">
        <f t="shared" ca="1" si="5"/>
        <v>-1E-3</v>
      </c>
      <c r="Z10" s="140">
        <f t="shared" ca="1" si="5"/>
        <v>-1E-3</v>
      </c>
      <c r="AA10" s="140">
        <f t="shared" ca="1" si="5"/>
        <v>-1E-3</v>
      </c>
      <c r="AB10" s="140">
        <f t="shared" ca="1" si="5"/>
        <v>-1E-3</v>
      </c>
    </row>
    <row r="11" spans="1:30" ht="15" customHeight="1" thickBot="1" x14ac:dyDescent="0.25">
      <c r="B11" s="172" t="s">
        <v>21</v>
      </c>
      <c r="C11" s="174"/>
      <c r="D11" s="173"/>
      <c r="E11" s="48">
        <f ca="1">E9-E10</f>
        <v>0</v>
      </c>
      <c r="F11" s="48">
        <f t="shared" ref="F11:AB11" ca="1" si="6">F9-F10</f>
        <v>0</v>
      </c>
      <c r="G11" s="48">
        <f t="shared" ca="1" si="6"/>
        <v>0</v>
      </c>
      <c r="H11" s="48">
        <f t="shared" ca="1" si="6"/>
        <v>0</v>
      </c>
      <c r="I11" s="48">
        <f t="shared" ca="1" si="6"/>
        <v>0</v>
      </c>
      <c r="J11" s="48">
        <f t="shared" ca="1" si="6"/>
        <v>0</v>
      </c>
      <c r="K11" s="48">
        <f t="shared" ca="1" si="6"/>
        <v>0</v>
      </c>
      <c r="L11" s="48">
        <f t="shared" ca="1" si="6"/>
        <v>0</v>
      </c>
      <c r="M11" s="48">
        <f t="shared" ca="1" si="6"/>
        <v>0</v>
      </c>
      <c r="N11" s="48">
        <f t="shared" ca="1" si="6"/>
        <v>0</v>
      </c>
      <c r="O11" s="48">
        <f t="shared" ca="1" si="6"/>
        <v>0</v>
      </c>
      <c r="P11" s="48">
        <f t="shared" ca="1" si="6"/>
        <v>0</v>
      </c>
      <c r="Q11" s="48">
        <f t="shared" ca="1" si="6"/>
        <v>0</v>
      </c>
      <c r="R11" s="48">
        <f t="shared" ca="1" si="6"/>
        <v>0</v>
      </c>
      <c r="S11" s="48">
        <f t="shared" ca="1" si="6"/>
        <v>0</v>
      </c>
      <c r="T11" s="48">
        <f t="shared" ca="1" si="6"/>
        <v>0</v>
      </c>
      <c r="U11" s="48">
        <f t="shared" ca="1" si="6"/>
        <v>0</v>
      </c>
      <c r="V11" s="48">
        <f t="shared" ca="1" si="6"/>
        <v>0</v>
      </c>
      <c r="W11" s="48">
        <f t="shared" ca="1" si="6"/>
        <v>0</v>
      </c>
      <c r="X11" s="48">
        <f t="shared" ca="1" si="6"/>
        <v>0</v>
      </c>
      <c r="Y11" s="48">
        <f t="shared" ca="1" si="6"/>
        <v>0</v>
      </c>
      <c r="Z11" s="48">
        <f t="shared" ca="1" si="6"/>
        <v>0</v>
      </c>
      <c r="AA11" s="48">
        <f t="shared" ca="1" si="6"/>
        <v>0</v>
      </c>
      <c r="AB11" s="48">
        <f t="shared" ca="1" si="6"/>
        <v>0</v>
      </c>
    </row>
    <row r="12" spans="1:30" ht="15" customHeight="1" x14ac:dyDescent="0.2">
      <c r="B12" s="50"/>
      <c r="C12" s="50"/>
      <c r="D12" s="50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</row>
    <row r="13" spans="1:30" ht="15.75" thickBot="1" x14ac:dyDescent="0.25"/>
    <row r="14" spans="1:30" x14ac:dyDescent="0.2">
      <c r="B14" s="67" t="s">
        <v>63</v>
      </c>
      <c r="C14" s="63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</row>
    <row r="15" spans="1:30" x14ac:dyDescent="0.2">
      <c r="B15" s="20" t="s">
        <v>61</v>
      </c>
      <c r="C15" s="18" t="s">
        <v>52</v>
      </c>
      <c r="D15" s="7">
        <v>43830</v>
      </c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</row>
    <row r="16" spans="1:30" x14ac:dyDescent="0.2">
      <c r="B16" s="72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</row>
    <row r="17" spans="2:29" ht="15.75" thickBot="1" x14ac:dyDescent="0.25">
      <c r="B17" s="73"/>
      <c r="C17" s="74"/>
      <c r="D17" s="74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</row>
    <row r="18" spans="2:29" x14ac:dyDescent="0.2">
      <c r="B18" s="168"/>
      <c r="C18" s="175"/>
      <c r="D18" s="169"/>
      <c r="E18" s="34">
        <f ca="1">E19-IF(MONTH(E19)=2,IF(OR(YEAR(E19)=2008,YEAR(E19)=2012,YEAR(E19)=2016),29,28),IF(OR(MONTH(E19)=4,MONTH(E19)=6,MONTH(E19)=9,MONTH(E19)=11),30,31))+1</f>
        <v>43101</v>
      </c>
      <c r="F18" s="35">
        <f t="shared" ref="F18:AB18" ca="1" si="7">F19-IF(MONTH(F19)=2,IF(OR(YEAR(F19)=2008,YEAR(F19)=2012,YEAR(F19)=2016),29,28),IF(OR(MONTH(F19)=4,MONTH(F19)=6,MONTH(F19)=9,MONTH(F19)=11),30,31))+1</f>
        <v>43132</v>
      </c>
      <c r="G18" s="35">
        <f t="shared" ca="1" si="7"/>
        <v>43160</v>
      </c>
      <c r="H18" s="35">
        <f t="shared" ca="1" si="7"/>
        <v>43191</v>
      </c>
      <c r="I18" s="35">
        <f t="shared" ca="1" si="7"/>
        <v>43221</v>
      </c>
      <c r="J18" s="35">
        <f t="shared" ca="1" si="7"/>
        <v>43252</v>
      </c>
      <c r="K18" s="35">
        <f t="shared" ca="1" si="7"/>
        <v>43282</v>
      </c>
      <c r="L18" s="35">
        <f t="shared" ca="1" si="7"/>
        <v>43313</v>
      </c>
      <c r="M18" s="35">
        <f t="shared" ca="1" si="7"/>
        <v>43344</v>
      </c>
      <c r="N18" s="35">
        <f t="shared" ca="1" si="7"/>
        <v>43374</v>
      </c>
      <c r="O18" s="35">
        <f t="shared" ca="1" si="7"/>
        <v>43405</v>
      </c>
      <c r="P18" s="35">
        <f t="shared" ca="1" si="7"/>
        <v>43435</v>
      </c>
      <c r="Q18" s="35">
        <f t="shared" ca="1" si="7"/>
        <v>43466</v>
      </c>
      <c r="R18" s="35">
        <f t="shared" ca="1" si="7"/>
        <v>43497</v>
      </c>
      <c r="S18" s="35">
        <f t="shared" ca="1" si="7"/>
        <v>43525</v>
      </c>
      <c r="T18" s="35">
        <f t="shared" ca="1" si="7"/>
        <v>43556</v>
      </c>
      <c r="U18" s="35">
        <f t="shared" ca="1" si="7"/>
        <v>43586</v>
      </c>
      <c r="V18" s="35">
        <f t="shared" ca="1" si="7"/>
        <v>43617</v>
      </c>
      <c r="W18" s="35">
        <f t="shared" ca="1" si="7"/>
        <v>43647</v>
      </c>
      <c r="X18" s="35">
        <f t="shared" ca="1" si="7"/>
        <v>43678</v>
      </c>
      <c r="Y18" s="35">
        <f t="shared" ca="1" si="7"/>
        <v>43709</v>
      </c>
      <c r="Z18" s="35">
        <f t="shared" ca="1" si="7"/>
        <v>43739</v>
      </c>
      <c r="AA18" s="35">
        <f t="shared" ca="1" si="7"/>
        <v>43770</v>
      </c>
      <c r="AB18" s="35">
        <f t="shared" ca="1" si="7"/>
        <v>43800</v>
      </c>
    </row>
    <row r="19" spans="2:29" ht="15.75" thickBot="1" x14ac:dyDescent="0.25">
      <c r="B19" s="170"/>
      <c r="C19" s="176"/>
      <c r="D19" s="171"/>
      <c r="E19" s="36">
        <f t="shared" ref="E19" ca="1" si="8">F18-1</f>
        <v>43131</v>
      </c>
      <c r="F19" s="37">
        <f t="shared" ref="F19" ca="1" si="9">G18-1</f>
        <v>43159</v>
      </c>
      <c r="G19" s="37">
        <f t="shared" ref="G19" ca="1" si="10">H18-1</f>
        <v>43190</v>
      </c>
      <c r="H19" s="37">
        <f t="shared" ref="H19" ca="1" si="11">I18-1</f>
        <v>43220</v>
      </c>
      <c r="I19" s="37">
        <f t="shared" ref="I19" ca="1" si="12">J18-1</f>
        <v>43251</v>
      </c>
      <c r="J19" s="37">
        <f t="shared" ref="J19" ca="1" si="13">K18-1</f>
        <v>43281</v>
      </c>
      <c r="K19" s="37">
        <f t="shared" ref="K19" ca="1" si="14">L18-1</f>
        <v>43312</v>
      </c>
      <c r="L19" s="37">
        <f t="shared" ref="L19" ca="1" si="15">M18-1</f>
        <v>43343</v>
      </c>
      <c r="M19" s="37">
        <f t="shared" ref="M19" ca="1" si="16">N18-1</f>
        <v>43373</v>
      </c>
      <c r="N19" s="37">
        <f t="shared" ref="N19" ca="1" si="17">O18-1</f>
        <v>43404</v>
      </c>
      <c r="O19" s="37">
        <f t="shared" ref="O19" ca="1" si="18">P18-1</f>
        <v>43434</v>
      </c>
      <c r="P19" s="37">
        <f t="shared" ref="P19" ca="1" si="19">Q18-1</f>
        <v>43465</v>
      </c>
      <c r="Q19" s="37">
        <f t="shared" ref="Q19" ca="1" si="20">R18-1</f>
        <v>43496</v>
      </c>
      <c r="R19" s="37">
        <f t="shared" ref="R19" ca="1" si="21">S18-1</f>
        <v>43524</v>
      </c>
      <c r="S19" s="37">
        <f t="shared" ref="S19" ca="1" si="22">T18-1</f>
        <v>43555</v>
      </c>
      <c r="T19" s="37">
        <f t="shared" ref="T19" ca="1" si="23">U18-1</f>
        <v>43585</v>
      </c>
      <c r="U19" s="37">
        <f t="shared" ref="U19" ca="1" si="24">V18-1</f>
        <v>43616</v>
      </c>
      <c r="V19" s="37">
        <f t="shared" ref="V19" ca="1" si="25">W18-1</f>
        <v>43646</v>
      </c>
      <c r="W19" s="37">
        <f t="shared" ref="W19" ca="1" si="26">X18-1</f>
        <v>43677</v>
      </c>
      <c r="X19" s="37">
        <f t="shared" ref="X19" ca="1" si="27">Y18-1</f>
        <v>43708</v>
      </c>
      <c r="Y19" s="37">
        <f t="shared" ref="Y19" ca="1" si="28">Z18-1</f>
        <v>43738</v>
      </c>
      <c r="Z19" s="37">
        <f t="shared" ref="Z19" ca="1" si="29">AA18-1</f>
        <v>43769</v>
      </c>
      <c r="AA19" s="37">
        <f t="shared" ref="AA19" ca="1" si="30">AB18-1</f>
        <v>43799</v>
      </c>
      <c r="AB19" s="37">
        <f ca="1">D15</f>
        <v>43830</v>
      </c>
    </row>
    <row r="20" spans="2:29" ht="15" customHeight="1" thickBot="1" x14ac:dyDescent="0.25">
      <c r="B20" s="11" t="s">
        <v>0</v>
      </c>
      <c r="C20" s="101" t="s">
        <v>14</v>
      </c>
      <c r="D20" s="12" t="s">
        <v>47</v>
      </c>
      <c r="E20" s="38">
        <f t="shared" ref="E20:AB20" ca="1" si="31">E18</f>
        <v>43101</v>
      </c>
      <c r="F20" s="39">
        <f t="shared" ca="1" si="31"/>
        <v>43132</v>
      </c>
      <c r="G20" s="39">
        <f t="shared" ca="1" si="31"/>
        <v>43160</v>
      </c>
      <c r="H20" s="40">
        <f t="shared" ca="1" si="31"/>
        <v>43191</v>
      </c>
      <c r="I20" s="40">
        <f t="shared" ca="1" si="31"/>
        <v>43221</v>
      </c>
      <c r="J20" s="40">
        <f t="shared" ca="1" si="31"/>
        <v>43252</v>
      </c>
      <c r="K20" s="40">
        <f t="shared" ca="1" si="31"/>
        <v>43282</v>
      </c>
      <c r="L20" s="40">
        <f t="shared" ca="1" si="31"/>
        <v>43313</v>
      </c>
      <c r="M20" s="40">
        <f t="shared" ca="1" si="31"/>
        <v>43344</v>
      </c>
      <c r="N20" s="40">
        <f t="shared" ca="1" si="31"/>
        <v>43374</v>
      </c>
      <c r="O20" s="40">
        <f t="shared" ca="1" si="31"/>
        <v>43405</v>
      </c>
      <c r="P20" s="40">
        <f t="shared" ca="1" si="31"/>
        <v>43435</v>
      </c>
      <c r="Q20" s="40">
        <f t="shared" ca="1" si="31"/>
        <v>43466</v>
      </c>
      <c r="R20" s="40">
        <f t="shared" ca="1" si="31"/>
        <v>43497</v>
      </c>
      <c r="S20" s="40">
        <f t="shared" ca="1" si="31"/>
        <v>43525</v>
      </c>
      <c r="T20" s="40">
        <f t="shared" ca="1" si="31"/>
        <v>43556</v>
      </c>
      <c r="U20" s="40">
        <f t="shared" ca="1" si="31"/>
        <v>43586</v>
      </c>
      <c r="V20" s="40">
        <f t="shared" ca="1" si="31"/>
        <v>43617</v>
      </c>
      <c r="W20" s="40">
        <f t="shared" ca="1" si="31"/>
        <v>43647</v>
      </c>
      <c r="X20" s="40">
        <f t="shared" ca="1" si="31"/>
        <v>43678</v>
      </c>
      <c r="Y20" s="40">
        <f t="shared" ca="1" si="31"/>
        <v>43709</v>
      </c>
      <c r="Z20" s="40">
        <f t="shared" ca="1" si="31"/>
        <v>43739</v>
      </c>
      <c r="AA20" s="40">
        <f t="shared" ca="1" si="31"/>
        <v>43770</v>
      </c>
      <c r="AB20" s="40">
        <f t="shared" ca="1" si="31"/>
        <v>43800</v>
      </c>
    </row>
    <row r="21" spans="2:29" x14ac:dyDescent="0.2">
      <c r="B21" s="56"/>
      <c r="C21" s="56" t="s">
        <v>57</v>
      </c>
      <c r="D21" s="58" t="s">
        <v>22</v>
      </c>
      <c r="E21" s="59">
        <f t="shared" ref="E21:N24" ca="1" si="32">AbraAsset(URL,Username,Password,$D21,E$19)/1000</f>
        <v>-1E-3</v>
      </c>
      <c r="F21" s="59">
        <f t="shared" ca="1" si="32"/>
        <v>-1E-3</v>
      </c>
      <c r="G21" s="59">
        <f t="shared" ca="1" si="32"/>
        <v>-1E-3</v>
      </c>
      <c r="H21" s="59">
        <f t="shared" ca="1" si="32"/>
        <v>-1E-3</v>
      </c>
      <c r="I21" s="59">
        <f t="shared" ca="1" si="32"/>
        <v>-1E-3</v>
      </c>
      <c r="J21" s="59">
        <f t="shared" ca="1" si="32"/>
        <v>-1E-3</v>
      </c>
      <c r="K21" s="59">
        <f t="shared" ca="1" si="32"/>
        <v>-1E-3</v>
      </c>
      <c r="L21" s="59">
        <f t="shared" ca="1" si="32"/>
        <v>-1E-3</v>
      </c>
      <c r="M21" s="59">
        <f t="shared" ca="1" si="32"/>
        <v>-1E-3</v>
      </c>
      <c r="N21" s="59">
        <f t="shared" ca="1" si="32"/>
        <v>-1E-3</v>
      </c>
      <c r="O21" s="59">
        <f t="shared" ref="O21:AB24" ca="1" si="33">AbraAsset(URL,Username,Password,$D21,O$19)/1000</f>
        <v>-1E-3</v>
      </c>
      <c r="P21" s="59">
        <f t="shared" ca="1" si="33"/>
        <v>-1E-3</v>
      </c>
      <c r="Q21" s="59">
        <f t="shared" ca="1" si="33"/>
        <v>-1E-3</v>
      </c>
      <c r="R21" s="59">
        <f t="shared" ca="1" si="33"/>
        <v>-1E-3</v>
      </c>
      <c r="S21" s="59">
        <f t="shared" ca="1" si="33"/>
        <v>-1E-3</v>
      </c>
      <c r="T21" s="59">
        <f t="shared" ca="1" si="33"/>
        <v>-1E-3</v>
      </c>
      <c r="U21" s="59">
        <f t="shared" ca="1" si="33"/>
        <v>-1E-3</v>
      </c>
      <c r="V21" s="59">
        <f t="shared" ca="1" si="33"/>
        <v>-1E-3</v>
      </c>
      <c r="W21" s="59">
        <f t="shared" ca="1" si="33"/>
        <v>-1E-3</v>
      </c>
      <c r="X21" s="59">
        <f t="shared" ca="1" si="33"/>
        <v>-1E-3</v>
      </c>
      <c r="Y21" s="59">
        <f t="shared" ca="1" si="33"/>
        <v>-1E-3</v>
      </c>
      <c r="Z21" s="59">
        <f t="shared" ca="1" si="33"/>
        <v>-1E-3</v>
      </c>
      <c r="AA21" s="59">
        <f t="shared" ca="1" si="33"/>
        <v>-1E-3</v>
      </c>
      <c r="AB21" s="59">
        <f t="shared" ca="1" si="33"/>
        <v>-1E-3</v>
      </c>
      <c r="AC21" s="141"/>
    </row>
    <row r="22" spans="2:29" x14ac:dyDescent="0.2">
      <c r="B22" s="142"/>
      <c r="C22" s="142" t="s">
        <v>58</v>
      </c>
      <c r="D22" s="143" t="s">
        <v>23</v>
      </c>
      <c r="E22" s="59">
        <f t="shared" ca="1" si="32"/>
        <v>-1E-3</v>
      </c>
      <c r="F22" s="59">
        <f t="shared" ca="1" si="32"/>
        <v>-1E-3</v>
      </c>
      <c r="G22" s="59">
        <f t="shared" ca="1" si="32"/>
        <v>-1E-3</v>
      </c>
      <c r="H22" s="153">
        <f t="shared" ca="1" si="32"/>
        <v>-1E-3</v>
      </c>
      <c r="I22" s="59">
        <f t="shared" ca="1" si="32"/>
        <v>-1E-3</v>
      </c>
      <c r="J22" s="59">
        <f t="shared" ca="1" si="32"/>
        <v>-1E-3</v>
      </c>
      <c r="K22" s="59">
        <f t="shared" ca="1" si="32"/>
        <v>-1E-3</v>
      </c>
      <c r="L22" s="59">
        <f t="shared" ca="1" si="32"/>
        <v>-1E-3</v>
      </c>
      <c r="M22" s="59">
        <f t="shared" ca="1" si="32"/>
        <v>-1E-3</v>
      </c>
      <c r="N22" s="59">
        <f t="shared" ca="1" si="32"/>
        <v>-1E-3</v>
      </c>
      <c r="O22" s="59">
        <f t="shared" ca="1" si="33"/>
        <v>-1E-3</v>
      </c>
      <c r="P22" s="59">
        <f t="shared" ca="1" si="33"/>
        <v>-1E-3</v>
      </c>
      <c r="Q22" s="59">
        <f t="shared" ca="1" si="33"/>
        <v>-1E-3</v>
      </c>
      <c r="R22" s="59">
        <f t="shared" ca="1" si="33"/>
        <v>-1E-3</v>
      </c>
      <c r="S22" s="59">
        <f t="shared" ca="1" si="33"/>
        <v>-1E-3</v>
      </c>
      <c r="T22" s="59">
        <f t="shared" ca="1" si="33"/>
        <v>-1E-3</v>
      </c>
      <c r="U22" s="59">
        <f t="shared" ca="1" si="33"/>
        <v>-1E-3</v>
      </c>
      <c r="V22" s="59">
        <f t="shared" ca="1" si="33"/>
        <v>-1E-3</v>
      </c>
      <c r="W22" s="59">
        <f t="shared" ca="1" si="33"/>
        <v>-1E-3</v>
      </c>
      <c r="X22" s="59">
        <f t="shared" ca="1" si="33"/>
        <v>-1E-3</v>
      </c>
      <c r="Y22" s="59">
        <f t="shared" ca="1" si="33"/>
        <v>-1E-3</v>
      </c>
      <c r="Z22" s="59">
        <f t="shared" ca="1" si="33"/>
        <v>-1E-3</v>
      </c>
      <c r="AA22" s="59">
        <f t="shared" ca="1" si="33"/>
        <v>-1E-3</v>
      </c>
      <c r="AB22" s="59">
        <f t="shared" ca="1" si="33"/>
        <v>-1E-3</v>
      </c>
      <c r="AC22" s="141"/>
    </row>
    <row r="23" spans="2:29" x14ac:dyDescent="0.2">
      <c r="B23" s="142"/>
      <c r="C23" s="142" t="s">
        <v>59</v>
      </c>
      <c r="D23" s="143" t="s">
        <v>24</v>
      </c>
      <c r="E23" s="59">
        <f t="shared" ca="1" si="32"/>
        <v>-1E-3</v>
      </c>
      <c r="F23" s="59">
        <f t="shared" ca="1" si="32"/>
        <v>-1E-3</v>
      </c>
      <c r="G23" s="59">
        <f t="shared" ca="1" si="32"/>
        <v>-1E-3</v>
      </c>
      <c r="H23" s="163">
        <f t="shared" ca="1" si="32"/>
        <v>-1E-3</v>
      </c>
      <c r="I23" s="59">
        <f t="shared" ca="1" si="32"/>
        <v>-1E-3</v>
      </c>
      <c r="J23" s="59">
        <f t="shared" ca="1" si="32"/>
        <v>-1E-3</v>
      </c>
      <c r="K23" s="59">
        <f t="shared" ca="1" si="32"/>
        <v>-1E-3</v>
      </c>
      <c r="L23" s="59">
        <f t="shared" ca="1" si="32"/>
        <v>-1E-3</v>
      </c>
      <c r="M23" s="59">
        <f t="shared" ca="1" si="32"/>
        <v>-1E-3</v>
      </c>
      <c r="N23" s="59">
        <f t="shared" ca="1" si="32"/>
        <v>-1E-3</v>
      </c>
      <c r="O23" s="59">
        <f t="shared" ca="1" si="33"/>
        <v>-1E-3</v>
      </c>
      <c r="P23" s="59">
        <f t="shared" ca="1" si="33"/>
        <v>-1E-3</v>
      </c>
      <c r="Q23" s="59">
        <f t="shared" ca="1" si="33"/>
        <v>-1E-3</v>
      </c>
      <c r="R23" s="59">
        <f t="shared" ca="1" si="33"/>
        <v>-1E-3</v>
      </c>
      <c r="S23" s="59">
        <f t="shared" ca="1" si="33"/>
        <v>-1E-3</v>
      </c>
      <c r="T23" s="59">
        <f t="shared" ca="1" si="33"/>
        <v>-1E-3</v>
      </c>
      <c r="U23" s="59">
        <f t="shared" ca="1" si="33"/>
        <v>-1E-3</v>
      </c>
      <c r="V23" s="59">
        <f t="shared" ca="1" si="33"/>
        <v>-1E-3</v>
      </c>
      <c r="W23" s="59">
        <f t="shared" ca="1" si="33"/>
        <v>-1E-3</v>
      </c>
      <c r="X23" s="59">
        <f t="shared" ca="1" si="33"/>
        <v>-1E-3</v>
      </c>
      <c r="Y23" s="59">
        <f t="shared" ca="1" si="33"/>
        <v>-1E-3</v>
      </c>
      <c r="Z23" s="59">
        <f t="shared" ca="1" si="33"/>
        <v>-1E-3</v>
      </c>
      <c r="AA23" s="59">
        <f t="shared" ca="1" si="33"/>
        <v>-1E-3</v>
      </c>
      <c r="AB23" s="59">
        <f t="shared" ca="1" si="33"/>
        <v>-1E-3</v>
      </c>
      <c r="AC23" s="141"/>
    </row>
    <row r="24" spans="2:29" x14ac:dyDescent="0.2">
      <c r="B24" s="45"/>
      <c r="C24" s="45" t="s">
        <v>60</v>
      </c>
      <c r="D24" s="61" t="s">
        <v>25</v>
      </c>
      <c r="E24" s="59">
        <f t="shared" ca="1" si="32"/>
        <v>-1E-3</v>
      </c>
      <c r="F24" s="59">
        <f t="shared" ca="1" si="32"/>
        <v>-1E-3</v>
      </c>
      <c r="G24" s="59">
        <f t="shared" ca="1" si="32"/>
        <v>-1E-3</v>
      </c>
      <c r="H24" s="151">
        <f t="shared" ca="1" si="32"/>
        <v>-1E-3</v>
      </c>
      <c r="I24" s="59">
        <f t="shared" ca="1" si="32"/>
        <v>-1E-3</v>
      </c>
      <c r="J24" s="59">
        <f t="shared" ca="1" si="32"/>
        <v>-1E-3</v>
      </c>
      <c r="K24" s="59">
        <f t="shared" ca="1" si="32"/>
        <v>-1E-3</v>
      </c>
      <c r="L24" s="59">
        <f t="shared" ca="1" si="32"/>
        <v>-1E-3</v>
      </c>
      <c r="M24" s="59">
        <f t="shared" ca="1" si="32"/>
        <v>-1E-3</v>
      </c>
      <c r="N24" s="59">
        <f t="shared" ca="1" si="32"/>
        <v>-1E-3</v>
      </c>
      <c r="O24" s="59">
        <f t="shared" ca="1" si="33"/>
        <v>-1E-3</v>
      </c>
      <c r="P24" s="59">
        <f t="shared" ca="1" si="33"/>
        <v>-1E-3</v>
      </c>
      <c r="Q24" s="59">
        <f t="shared" ca="1" si="33"/>
        <v>-1E-3</v>
      </c>
      <c r="R24" s="59">
        <f t="shared" ca="1" si="33"/>
        <v>-1E-3</v>
      </c>
      <c r="S24" s="59">
        <f t="shared" ca="1" si="33"/>
        <v>-1E-3</v>
      </c>
      <c r="T24" s="59">
        <f t="shared" ca="1" si="33"/>
        <v>-1E-3</v>
      </c>
      <c r="U24" s="59">
        <f t="shared" ca="1" si="33"/>
        <v>-1E-3</v>
      </c>
      <c r="V24" s="59">
        <f t="shared" ca="1" si="33"/>
        <v>-1E-3</v>
      </c>
      <c r="W24" s="59">
        <f t="shared" ca="1" si="33"/>
        <v>-1E-3</v>
      </c>
      <c r="X24" s="59">
        <f t="shared" ca="1" si="33"/>
        <v>-1E-3</v>
      </c>
      <c r="Y24" s="59">
        <f t="shared" ca="1" si="33"/>
        <v>-1E-3</v>
      </c>
      <c r="Z24" s="59">
        <f t="shared" ca="1" si="33"/>
        <v>-1E-3</v>
      </c>
      <c r="AA24" s="59">
        <f t="shared" ca="1" si="33"/>
        <v>-1E-3</v>
      </c>
      <c r="AB24" s="59">
        <f t="shared" ca="1" si="33"/>
        <v>-1E-3</v>
      </c>
      <c r="AC24" s="141"/>
    </row>
    <row r="25" spans="2:29" x14ac:dyDescent="0.2">
      <c r="B25" s="50"/>
      <c r="C25" s="50"/>
      <c r="D25" s="50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</row>
    <row r="28" spans="2:29" x14ac:dyDescent="0.2">
      <c r="B28" s="144"/>
      <c r="C28" s="144"/>
    </row>
    <row r="29" spans="2:29" x14ac:dyDescent="0.2">
      <c r="B29" s="118"/>
      <c r="C29" s="118"/>
    </row>
    <row r="30" spans="2:29" x14ac:dyDescent="0.2">
      <c r="B30" s="118"/>
      <c r="C30" s="118"/>
    </row>
    <row r="32" spans="2:29" x14ac:dyDescent="0.2">
      <c r="B32" s="144"/>
      <c r="C32" s="144"/>
    </row>
    <row r="33" spans="2:3" x14ac:dyDescent="0.2">
      <c r="B33" s="118"/>
      <c r="C33" s="118"/>
    </row>
    <row r="34" spans="2:3" x14ac:dyDescent="0.2">
      <c r="B34" s="118"/>
      <c r="C34" s="118"/>
    </row>
    <row r="35" spans="2:3" x14ac:dyDescent="0.2">
      <c r="B35" s="118"/>
      <c r="C35" s="118"/>
    </row>
    <row r="36" spans="2:3" x14ac:dyDescent="0.2">
      <c r="B36" s="118"/>
      <c r="C36" s="118"/>
    </row>
  </sheetData>
  <mergeCells count="3">
    <mergeCell ref="B18:D19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0"/>
  <dimension ref="A1:GI22"/>
  <sheetViews>
    <sheetView zoomScaleNormal="100" zoomScalePageLayoutView="115" workbookViewId="0">
      <selection activeCell="D3" sqref="D3"/>
    </sheetView>
  </sheetViews>
  <sheetFormatPr defaultColWidth="9.140625" defaultRowHeight="15" outlineLevelCol="1" x14ac:dyDescent="0.2"/>
  <cols>
    <col min="1" max="1" width="1.7109375" style="21" customWidth="1"/>
    <col min="2" max="2" width="21.5703125" style="21" customWidth="1"/>
    <col min="3" max="3" width="30.28515625" style="52" bestFit="1" customWidth="1"/>
    <col min="4" max="4" width="12.7109375" style="52" customWidth="1"/>
    <col min="5" max="7" width="12.7109375" style="53" customWidth="1"/>
    <col min="8" max="21" width="12.7109375" style="53" hidden="1" customWidth="1" outlineLevel="1"/>
    <col min="22" max="22" width="12.7109375" style="54" hidden="1" customWidth="1" outlineLevel="1"/>
    <col min="23" max="27" width="12.7109375" style="55" hidden="1" customWidth="1" outlineLevel="1"/>
    <col min="28" max="28" width="12.7109375" style="53" hidden="1" customWidth="1" outlineLevel="1"/>
    <col min="29" max="29" width="9.140625" style="53" collapsed="1"/>
    <col min="30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13</v>
      </c>
      <c r="C2" s="63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30" ht="15" customHeight="1" x14ac:dyDescent="0.2">
      <c r="B3" s="20" t="s">
        <v>61</v>
      </c>
      <c r="C3" s="18" t="s">
        <v>52</v>
      </c>
      <c r="D3" s="7">
        <v>43830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</row>
    <row r="5" spans="1:30" ht="12" customHeight="1" thickBot="1" x14ac:dyDescent="0.25">
      <c r="B5" s="73"/>
      <c r="C5" s="74"/>
      <c r="D5" s="74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</row>
    <row r="6" spans="1:30" s="29" customFormat="1" ht="15" customHeight="1" x14ac:dyDescent="0.2">
      <c r="A6" s="21"/>
      <c r="B6" s="145"/>
      <c r="C6" s="168"/>
      <c r="D6" s="169"/>
      <c r="E6" s="34">
        <f ca="1">E7-IF(MONTH(E7)=2,IF(OR(YEAR(E7)=2008,YEAR(E7)=2012,YEAR(E7)=2016),29,28),IF(OR(MONTH(E7)=4,MONTH(E7)=6,MONTH(E7)=9,MONTH(E7)=11),30,31))+1</f>
        <v>43101</v>
      </c>
      <c r="F6" s="35">
        <f t="shared" ref="F6:AB6" ca="1" si="0">F7-IF(MONTH(F7)=2,IF(OR(YEAR(F7)=2008,YEAR(F7)=2012,YEAR(F7)=2016),29,28),IF(OR(MONTH(F7)=4,MONTH(F7)=6,MONTH(F7)=9,MONTH(F7)=11),30,31))+1</f>
        <v>43132</v>
      </c>
      <c r="G6" s="35">
        <f t="shared" ca="1" si="0"/>
        <v>43160</v>
      </c>
      <c r="H6" s="35">
        <f t="shared" ca="1" si="0"/>
        <v>43191</v>
      </c>
      <c r="I6" s="35">
        <f t="shared" ca="1" si="0"/>
        <v>43221</v>
      </c>
      <c r="J6" s="35">
        <f t="shared" ca="1" si="0"/>
        <v>43252</v>
      </c>
      <c r="K6" s="35">
        <f t="shared" ca="1" si="0"/>
        <v>43282</v>
      </c>
      <c r="L6" s="35">
        <f t="shared" ca="1" si="0"/>
        <v>43313</v>
      </c>
      <c r="M6" s="35">
        <f t="shared" ca="1" si="0"/>
        <v>43344</v>
      </c>
      <c r="N6" s="35">
        <f t="shared" ca="1" si="0"/>
        <v>43374</v>
      </c>
      <c r="O6" s="35">
        <f t="shared" ca="1" si="0"/>
        <v>43405</v>
      </c>
      <c r="P6" s="35">
        <f t="shared" ca="1" si="0"/>
        <v>43435</v>
      </c>
      <c r="Q6" s="35">
        <f t="shared" ca="1" si="0"/>
        <v>43466</v>
      </c>
      <c r="R6" s="35">
        <f t="shared" ca="1" si="0"/>
        <v>43497</v>
      </c>
      <c r="S6" s="35">
        <f t="shared" ca="1" si="0"/>
        <v>43525</v>
      </c>
      <c r="T6" s="35">
        <f t="shared" ca="1" si="0"/>
        <v>43556</v>
      </c>
      <c r="U6" s="35">
        <f t="shared" ca="1" si="0"/>
        <v>43586</v>
      </c>
      <c r="V6" s="35">
        <f t="shared" ca="1" si="0"/>
        <v>43617</v>
      </c>
      <c r="W6" s="35">
        <f t="shared" ca="1" si="0"/>
        <v>43647</v>
      </c>
      <c r="X6" s="35">
        <f t="shared" ca="1" si="0"/>
        <v>43678</v>
      </c>
      <c r="Y6" s="35">
        <f t="shared" ca="1" si="0"/>
        <v>43709</v>
      </c>
      <c r="Z6" s="35">
        <f t="shared" ca="1" si="0"/>
        <v>43739</v>
      </c>
      <c r="AA6" s="35">
        <f t="shared" ca="1" si="0"/>
        <v>43770</v>
      </c>
      <c r="AB6" s="35">
        <f t="shared" ca="1" si="0"/>
        <v>43800</v>
      </c>
    </row>
    <row r="7" spans="1:30" s="29" customFormat="1" ht="15" customHeight="1" thickBot="1" x14ac:dyDescent="0.25">
      <c r="A7" s="21"/>
      <c r="B7" s="146"/>
      <c r="C7" s="170"/>
      <c r="D7" s="171"/>
      <c r="E7" s="36">
        <f t="shared" ref="E7:AA7" ca="1" si="1">F6-1</f>
        <v>43131</v>
      </c>
      <c r="F7" s="37">
        <f t="shared" ca="1" si="1"/>
        <v>43159</v>
      </c>
      <c r="G7" s="37">
        <f t="shared" ca="1" si="1"/>
        <v>43190</v>
      </c>
      <c r="H7" s="37">
        <f t="shared" ca="1" si="1"/>
        <v>43220</v>
      </c>
      <c r="I7" s="37">
        <f t="shared" ca="1" si="1"/>
        <v>43251</v>
      </c>
      <c r="J7" s="37">
        <f t="shared" ca="1" si="1"/>
        <v>43281</v>
      </c>
      <c r="K7" s="37">
        <f t="shared" ca="1" si="1"/>
        <v>43312</v>
      </c>
      <c r="L7" s="37">
        <f t="shared" ca="1" si="1"/>
        <v>43343</v>
      </c>
      <c r="M7" s="37">
        <f t="shared" ca="1" si="1"/>
        <v>43373</v>
      </c>
      <c r="N7" s="37">
        <f t="shared" ca="1" si="1"/>
        <v>43404</v>
      </c>
      <c r="O7" s="37">
        <f t="shared" ca="1" si="1"/>
        <v>43434</v>
      </c>
      <c r="P7" s="37">
        <f t="shared" ca="1" si="1"/>
        <v>43465</v>
      </c>
      <c r="Q7" s="37">
        <f t="shared" ca="1" si="1"/>
        <v>43496</v>
      </c>
      <c r="R7" s="37">
        <f t="shared" ca="1" si="1"/>
        <v>43524</v>
      </c>
      <c r="S7" s="37">
        <f t="shared" ca="1" si="1"/>
        <v>43555</v>
      </c>
      <c r="T7" s="37">
        <f t="shared" ca="1" si="1"/>
        <v>43585</v>
      </c>
      <c r="U7" s="37">
        <f t="shared" ca="1" si="1"/>
        <v>43616</v>
      </c>
      <c r="V7" s="37">
        <f t="shared" ca="1" si="1"/>
        <v>43646</v>
      </c>
      <c r="W7" s="37">
        <f t="shared" ca="1" si="1"/>
        <v>43677</v>
      </c>
      <c r="X7" s="37">
        <f t="shared" ca="1" si="1"/>
        <v>43708</v>
      </c>
      <c r="Y7" s="37">
        <f t="shared" ca="1" si="1"/>
        <v>43738</v>
      </c>
      <c r="Z7" s="37">
        <f t="shared" ca="1" si="1"/>
        <v>43769</v>
      </c>
      <c r="AA7" s="37">
        <f t="shared" ca="1" si="1"/>
        <v>43799</v>
      </c>
      <c r="AB7" s="37">
        <f ca="1">D3</f>
        <v>43830</v>
      </c>
    </row>
    <row r="8" spans="1:30" s="29" customFormat="1" ht="15" customHeight="1" thickBot="1" x14ac:dyDescent="0.25">
      <c r="A8" s="21"/>
      <c r="B8" s="111" t="s">
        <v>64</v>
      </c>
      <c r="C8" s="11" t="s">
        <v>14</v>
      </c>
      <c r="D8" s="111" t="s">
        <v>47</v>
      </c>
      <c r="E8" s="147">
        <f t="shared" ref="E8:AB8" ca="1" si="2">E6</f>
        <v>43101</v>
      </c>
      <c r="F8" s="147">
        <f t="shared" ca="1" si="2"/>
        <v>43132</v>
      </c>
      <c r="G8" s="147">
        <f t="shared" ca="1" si="2"/>
        <v>43160</v>
      </c>
      <c r="H8" s="147">
        <f t="shared" ca="1" si="2"/>
        <v>43191</v>
      </c>
      <c r="I8" s="147">
        <f t="shared" ca="1" si="2"/>
        <v>43221</v>
      </c>
      <c r="J8" s="147">
        <f t="shared" ca="1" si="2"/>
        <v>43252</v>
      </c>
      <c r="K8" s="147">
        <f t="shared" ca="1" si="2"/>
        <v>43282</v>
      </c>
      <c r="L8" s="147">
        <f t="shared" ca="1" si="2"/>
        <v>43313</v>
      </c>
      <c r="M8" s="147">
        <f t="shared" ca="1" si="2"/>
        <v>43344</v>
      </c>
      <c r="N8" s="147">
        <f t="shared" ca="1" si="2"/>
        <v>43374</v>
      </c>
      <c r="O8" s="147">
        <f t="shared" ca="1" si="2"/>
        <v>43405</v>
      </c>
      <c r="P8" s="147">
        <f t="shared" ca="1" si="2"/>
        <v>43435</v>
      </c>
      <c r="Q8" s="147">
        <f t="shared" ca="1" si="2"/>
        <v>43466</v>
      </c>
      <c r="R8" s="147">
        <f t="shared" ca="1" si="2"/>
        <v>43497</v>
      </c>
      <c r="S8" s="147">
        <f t="shared" ca="1" si="2"/>
        <v>43525</v>
      </c>
      <c r="T8" s="147">
        <f t="shared" ca="1" si="2"/>
        <v>43556</v>
      </c>
      <c r="U8" s="147">
        <f t="shared" ca="1" si="2"/>
        <v>43586</v>
      </c>
      <c r="V8" s="147">
        <f t="shared" ca="1" si="2"/>
        <v>43617</v>
      </c>
      <c r="W8" s="147">
        <f t="shared" ca="1" si="2"/>
        <v>43647</v>
      </c>
      <c r="X8" s="147">
        <f t="shared" ca="1" si="2"/>
        <v>43678</v>
      </c>
      <c r="Y8" s="147">
        <f t="shared" ca="1" si="2"/>
        <v>43709</v>
      </c>
      <c r="Z8" s="147">
        <f t="shared" ca="1" si="2"/>
        <v>43739</v>
      </c>
      <c r="AA8" s="147">
        <f t="shared" ca="1" si="2"/>
        <v>43770</v>
      </c>
      <c r="AB8" s="147">
        <f t="shared" ca="1" si="2"/>
        <v>43800</v>
      </c>
    </row>
    <row r="9" spans="1:30" ht="15" customHeight="1" thickBot="1" x14ac:dyDescent="0.25">
      <c r="B9" s="148"/>
      <c r="C9" s="41" t="s">
        <v>32</v>
      </c>
      <c r="D9" s="148" t="s">
        <v>28</v>
      </c>
      <c r="E9" s="44">
        <f t="shared" ref="E9:AB10" ca="1" si="3">AbraPayroll(URL,Username,Password,$D9,E$8)</f>
        <v>-1</v>
      </c>
      <c r="F9" s="44">
        <f t="shared" ca="1" si="3"/>
        <v>-1</v>
      </c>
      <c r="G9" s="44">
        <f t="shared" ca="1" si="3"/>
        <v>-1</v>
      </c>
      <c r="H9" s="44">
        <f t="shared" ca="1" si="3"/>
        <v>-1</v>
      </c>
      <c r="I9" s="44">
        <f t="shared" ca="1" si="3"/>
        <v>-1</v>
      </c>
      <c r="J9" s="44">
        <f t="shared" ca="1" si="3"/>
        <v>-1</v>
      </c>
      <c r="K9" s="44">
        <f t="shared" ca="1" si="3"/>
        <v>-1</v>
      </c>
      <c r="L9" s="44">
        <f t="shared" ca="1" si="3"/>
        <v>-1</v>
      </c>
      <c r="M9" s="44">
        <f t="shared" ca="1" si="3"/>
        <v>-1</v>
      </c>
      <c r="N9" s="44">
        <f t="shared" ca="1" si="3"/>
        <v>-1</v>
      </c>
      <c r="O9" s="44">
        <f t="shared" ca="1" si="3"/>
        <v>-1</v>
      </c>
      <c r="P9" s="44">
        <f t="shared" ca="1" si="3"/>
        <v>-1</v>
      </c>
      <c r="Q9" s="44">
        <f t="shared" ca="1" si="3"/>
        <v>-1</v>
      </c>
      <c r="R9" s="44">
        <f t="shared" ca="1" si="3"/>
        <v>-1</v>
      </c>
      <c r="S9" s="44">
        <f t="shared" ca="1" si="3"/>
        <v>-1</v>
      </c>
      <c r="T9" s="44">
        <f t="shared" ca="1" si="3"/>
        <v>-1</v>
      </c>
      <c r="U9" s="44">
        <f t="shared" ca="1" si="3"/>
        <v>-1</v>
      </c>
      <c r="V9" s="44">
        <f t="shared" ca="1" si="3"/>
        <v>-1</v>
      </c>
      <c r="W9" s="44">
        <f t="shared" ca="1" si="3"/>
        <v>-1</v>
      </c>
      <c r="X9" s="44">
        <f t="shared" ca="1" si="3"/>
        <v>-1</v>
      </c>
      <c r="Y9" s="44">
        <f t="shared" ca="1" si="3"/>
        <v>-1</v>
      </c>
      <c r="Z9" s="44">
        <f t="shared" ca="1" si="3"/>
        <v>-1</v>
      </c>
      <c r="AA9" s="44">
        <f t="shared" ca="1" si="3"/>
        <v>-1</v>
      </c>
      <c r="AB9" s="44">
        <f t="shared" ca="1" si="3"/>
        <v>-1</v>
      </c>
      <c r="AC9" s="29"/>
      <c r="AD9" s="29"/>
    </row>
    <row r="10" spans="1:30" ht="15" customHeight="1" thickBot="1" x14ac:dyDescent="0.25">
      <c r="B10" s="149"/>
      <c r="C10" s="142" t="s">
        <v>33</v>
      </c>
      <c r="D10" s="149" t="s">
        <v>29</v>
      </c>
      <c r="E10" s="44">
        <f t="shared" ca="1" si="3"/>
        <v>-1</v>
      </c>
      <c r="F10" s="44">
        <f t="shared" ca="1" si="3"/>
        <v>-1</v>
      </c>
      <c r="G10" s="44">
        <f t="shared" ca="1" si="3"/>
        <v>-1</v>
      </c>
      <c r="H10" s="44">
        <f t="shared" ca="1" si="3"/>
        <v>-1</v>
      </c>
      <c r="I10" s="44">
        <f t="shared" ca="1" si="3"/>
        <v>-1</v>
      </c>
      <c r="J10" s="44">
        <f t="shared" ca="1" si="3"/>
        <v>-1</v>
      </c>
      <c r="K10" s="44">
        <f t="shared" ca="1" si="3"/>
        <v>-1</v>
      </c>
      <c r="L10" s="44">
        <f t="shared" ca="1" si="3"/>
        <v>-1</v>
      </c>
      <c r="M10" s="44">
        <f t="shared" ca="1" si="3"/>
        <v>-1</v>
      </c>
      <c r="N10" s="44">
        <f t="shared" ca="1" si="3"/>
        <v>-1</v>
      </c>
      <c r="O10" s="44">
        <f t="shared" ca="1" si="3"/>
        <v>-1</v>
      </c>
      <c r="P10" s="44">
        <f t="shared" ca="1" si="3"/>
        <v>-1</v>
      </c>
      <c r="Q10" s="44">
        <f ca="1">AbraPayroll(URL,Username,Password,$D10,Q$8)</f>
        <v>0</v>
      </c>
      <c r="R10" s="44">
        <f t="shared" ca="1" si="3"/>
        <v>-1</v>
      </c>
      <c r="S10" s="44">
        <f t="shared" ca="1" si="3"/>
        <v>-1</v>
      </c>
      <c r="T10" s="44">
        <f t="shared" ca="1" si="3"/>
        <v>-1</v>
      </c>
      <c r="U10" s="44">
        <f t="shared" ca="1" si="3"/>
        <v>-1</v>
      </c>
      <c r="V10" s="44">
        <f t="shared" ca="1" si="3"/>
        <v>-1</v>
      </c>
      <c r="W10" s="44">
        <f t="shared" ca="1" si="3"/>
        <v>-1</v>
      </c>
      <c r="X10" s="44">
        <f ca="1">AbraPayroll(URL,Username,Password,$D10,X$8)</f>
        <v>0</v>
      </c>
      <c r="Y10" s="44">
        <f t="shared" ca="1" si="3"/>
        <v>-1</v>
      </c>
      <c r="Z10" s="44">
        <f t="shared" ca="1" si="3"/>
        <v>-1</v>
      </c>
      <c r="AA10" s="44">
        <f t="shared" ca="1" si="3"/>
        <v>-1</v>
      </c>
      <c r="AB10" s="44">
        <f t="shared" ca="1" si="3"/>
        <v>-1</v>
      </c>
      <c r="AC10" s="29"/>
      <c r="AD10" s="29"/>
    </row>
    <row r="11" spans="1:30" ht="15" customHeight="1" thickBot="1" x14ac:dyDescent="0.25">
      <c r="B11" s="149"/>
      <c r="C11" s="142" t="s">
        <v>34</v>
      </c>
      <c r="D11" s="149" t="s">
        <v>30</v>
      </c>
      <c r="E11" s="44">
        <f t="shared" ref="E11:N12" ca="1" si="4">AbraPayroll(URL,Username,Password,$D11,E$8)</f>
        <v>-1</v>
      </c>
      <c r="F11" s="44">
        <f t="shared" ca="1" si="4"/>
        <v>-1</v>
      </c>
      <c r="G11" s="44">
        <f t="shared" ca="1" si="4"/>
        <v>-1</v>
      </c>
      <c r="H11" s="44">
        <f t="shared" ca="1" si="4"/>
        <v>-1</v>
      </c>
      <c r="I11" s="44">
        <f t="shared" ca="1" si="4"/>
        <v>-1</v>
      </c>
      <c r="J11" s="44">
        <f t="shared" ca="1" si="4"/>
        <v>-1</v>
      </c>
      <c r="K11" s="44">
        <f t="shared" ca="1" si="4"/>
        <v>-1</v>
      </c>
      <c r="L11" s="44">
        <f t="shared" ca="1" si="4"/>
        <v>-1</v>
      </c>
      <c r="M11" s="44">
        <f t="shared" ca="1" si="4"/>
        <v>-1</v>
      </c>
      <c r="N11" s="44">
        <f t="shared" ca="1" si="4"/>
        <v>-1</v>
      </c>
      <c r="O11" s="44">
        <f t="shared" ref="O11:AB12" ca="1" si="5">AbraPayroll(URL,Username,Password,$D11,O$8)</f>
        <v>-1</v>
      </c>
      <c r="P11" s="44">
        <f t="shared" ca="1" si="5"/>
        <v>-1</v>
      </c>
      <c r="Q11" s="44">
        <f t="shared" ca="1" si="5"/>
        <v>-1</v>
      </c>
      <c r="R11" s="44">
        <f t="shared" ca="1" si="5"/>
        <v>-1</v>
      </c>
      <c r="S11" s="44">
        <f t="shared" ca="1" si="5"/>
        <v>-1</v>
      </c>
      <c r="T11" s="44">
        <f t="shared" ca="1" si="5"/>
        <v>-1</v>
      </c>
      <c r="U11" s="44">
        <f t="shared" ca="1" si="5"/>
        <v>-1</v>
      </c>
      <c r="V11" s="44">
        <f t="shared" ca="1" si="5"/>
        <v>-1</v>
      </c>
      <c r="W11" s="44">
        <f t="shared" ca="1" si="5"/>
        <v>-1</v>
      </c>
      <c r="X11" s="44">
        <f t="shared" ca="1" si="5"/>
        <v>-1</v>
      </c>
      <c r="Y11" s="44">
        <f t="shared" ca="1" si="5"/>
        <v>-1</v>
      </c>
      <c r="Z11" s="44">
        <f t="shared" ca="1" si="5"/>
        <v>-1</v>
      </c>
      <c r="AA11" s="44">
        <f t="shared" ca="1" si="5"/>
        <v>-1</v>
      </c>
      <c r="AB11" s="44">
        <f t="shared" ca="1" si="5"/>
        <v>-1</v>
      </c>
      <c r="AC11" s="29"/>
      <c r="AD11" s="29"/>
    </row>
    <row r="12" spans="1:30" ht="15" customHeight="1" thickBot="1" x14ac:dyDescent="0.25">
      <c r="B12" s="149"/>
      <c r="C12" s="142" t="s">
        <v>35</v>
      </c>
      <c r="D12" s="149" t="s">
        <v>17</v>
      </c>
      <c r="E12" s="44">
        <f t="shared" ca="1" si="4"/>
        <v>-1</v>
      </c>
      <c r="F12" s="44">
        <f t="shared" ca="1" si="4"/>
        <v>-1</v>
      </c>
      <c r="G12" s="44">
        <f t="shared" ca="1" si="4"/>
        <v>-1</v>
      </c>
      <c r="H12" s="44">
        <f t="shared" ca="1" si="4"/>
        <v>-1</v>
      </c>
      <c r="I12" s="44">
        <f t="shared" ca="1" si="4"/>
        <v>-1</v>
      </c>
      <c r="J12" s="44">
        <f t="shared" ca="1" si="4"/>
        <v>-1</v>
      </c>
      <c r="K12" s="44">
        <f t="shared" ca="1" si="4"/>
        <v>-1</v>
      </c>
      <c r="L12" s="44">
        <f t="shared" ca="1" si="4"/>
        <v>-1</v>
      </c>
      <c r="M12" s="44">
        <f t="shared" ca="1" si="4"/>
        <v>-1</v>
      </c>
      <c r="N12" s="44">
        <f t="shared" ca="1" si="4"/>
        <v>-1</v>
      </c>
      <c r="O12" s="44">
        <f t="shared" ca="1" si="5"/>
        <v>-1</v>
      </c>
      <c r="P12" s="44">
        <f t="shared" ca="1" si="5"/>
        <v>-1</v>
      </c>
      <c r="Q12" s="44">
        <f t="shared" ca="1" si="5"/>
        <v>-1</v>
      </c>
      <c r="R12" s="44">
        <f t="shared" ca="1" si="5"/>
        <v>-1</v>
      </c>
      <c r="S12" s="44">
        <f t="shared" ca="1" si="5"/>
        <v>-1</v>
      </c>
      <c r="T12" s="44">
        <f t="shared" ca="1" si="5"/>
        <v>-1</v>
      </c>
      <c r="U12" s="44">
        <f t="shared" ca="1" si="5"/>
        <v>-1</v>
      </c>
      <c r="V12" s="44">
        <f t="shared" ca="1" si="5"/>
        <v>-1</v>
      </c>
      <c r="W12" s="44">
        <f t="shared" ca="1" si="5"/>
        <v>-1</v>
      </c>
      <c r="X12" s="44">
        <f t="shared" ca="1" si="5"/>
        <v>-1</v>
      </c>
      <c r="Y12" s="44">
        <f t="shared" ca="1" si="5"/>
        <v>-1</v>
      </c>
      <c r="Z12" s="44">
        <f t="shared" ca="1" si="5"/>
        <v>-1</v>
      </c>
      <c r="AA12" s="44">
        <f t="shared" ca="1" si="5"/>
        <v>-1</v>
      </c>
      <c r="AB12" s="44">
        <f t="shared" ca="1" si="5"/>
        <v>-1</v>
      </c>
      <c r="AC12" s="29"/>
      <c r="AD12" s="29"/>
    </row>
    <row r="13" spans="1:30" ht="15" customHeight="1" x14ac:dyDescent="0.2">
      <c r="B13" s="150"/>
      <c r="C13" s="45" t="s">
        <v>36</v>
      </c>
      <c r="D13" s="150" t="s">
        <v>31</v>
      </c>
      <c r="E13" s="44">
        <f t="shared" ref="E13:AB13" ca="1" si="6">AbraPayroll(URL,Username,Password,$D13,E$8)/1000</f>
        <v>-1E-3</v>
      </c>
      <c r="F13" s="44">
        <f t="shared" ca="1" si="6"/>
        <v>-1E-3</v>
      </c>
      <c r="G13" s="44">
        <f t="shared" ca="1" si="6"/>
        <v>-1E-3</v>
      </c>
      <c r="H13" s="44">
        <f t="shared" ca="1" si="6"/>
        <v>-1E-3</v>
      </c>
      <c r="I13" s="44">
        <f t="shared" ca="1" si="6"/>
        <v>-1E-3</v>
      </c>
      <c r="J13" s="44">
        <f t="shared" ca="1" si="6"/>
        <v>-1E-3</v>
      </c>
      <c r="K13" s="44">
        <f t="shared" ca="1" si="6"/>
        <v>-1E-3</v>
      </c>
      <c r="L13" s="44">
        <f t="shared" ca="1" si="6"/>
        <v>-1E-3</v>
      </c>
      <c r="M13" s="44">
        <f t="shared" ca="1" si="6"/>
        <v>-1E-3</v>
      </c>
      <c r="N13" s="44">
        <f t="shared" ca="1" si="6"/>
        <v>-1E-3</v>
      </c>
      <c r="O13" s="44">
        <f t="shared" ca="1" si="6"/>
        <v>-1E-3</v>
      </c>
      <c r="P13" s="44">
        <f t="shared" ca="1" si="6"/>
        <v>-1E-3</v>
      </c>
      <c r="Q13" s="44">
        <f t="shared" ca="1" si="6"/>
        <v>-1E-3</v>
      </c>
      <c r="R13" s="44">
        <f t="shared" ca="1" si="6"/>
        <v>-1E-3</v>
      </c>
      <c r="S13" s="44">
        <f t="shared" ca="1" si="6"/>
        <v>-1E-3</v>
      </c>
      <c r="T13" s="44">
        <f t="shared" ca="1" si="6"/>
        <v>-1E-3</v>
      </c>
      <c r="U13" s="44">
        <f t="shared" ca="1" si="6"/>
        <v>-1E-3</v>
      </c>
      <c r="V13" s="44">
        <f t="shared" ca="1" si="6"/>
        <v>-1E-3</v>
      </c>
      <c r="W13" s="44">
        <f t="shared" ca="1" si="6"/>
        <v>-1E-3</v>
      </c>
      <c r="X13" s="44">
        <f t="shared" ca="1" si="6"/>
        <v>-1E-3</v>
      </c>
      <c r="Y13" s="44">
        <f t="shared" ca="1" si="6"/>
        <v>-1E-3</v>
      </c>
      <c r="Z13" s="44">
        <f t="shared" ca="1" si="6"/>
        <v>-1E-3</v>
      </c>
      <c r="AA13" s="44">
        <f t="shared" ca="1" si="6"/>
        <v>-1E-3</v>
      </c>
      <c r="AB13" s="44">
        <f t="shared" ca="1" si="6"/>
        <v>-1E-3</v>
      </c>
    </row>
    <row r="14" spans="1:30" ht="15" customHeight="1" x14ac:dyDescent="0.2">
      <c r="B14" s="50"/>
      <c r="C14" s="50"/>
      <c r="D14" s="50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</row>
    <row r="18" spans="3:3" x14ac:dyDescent="0.2">
      <c r="C18" s="139"/>
    </row>
    <row r="19" spans="3:3" x14ac:dyDescent="0.2">
      <c r="C19" s="139"/>
    </row>
    <row r="20" spans="3:3" x14ac:dyDescent="0.2">
      <c r="C20" s="139"/>
    </row>
    <row r="21" spans="3:3" x14ac:dyDescent="0.2">
      <c r="C21" s="139"/>
    </row>
    <row r="22" spans="3:3" x14ac:dyDescent="0.2">
      <c r="C22" s="139"/>
    </row>
  </sheetData>
  <mergeCells count="1">
    <mergeCell ref="C6:D7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8</vt:i4>
      </vt:variant>
      <vt:variant>
        <vt:lpstr>Pojmenované oblasti</vt:lpstr>
      </vt:variant>
      <vt:variant>
        <vt:i4>5</vt:i4>
      </vt:variant>
    </vt:vector>
  </HeadingPairs>
  <TitlesOfParts>
    <vt:vector size="13" baseType="lpstr">
      <vt:lpstr>API</vt:lpstr>
      <vt:lpstr>Náklady a výnosy</vt:lpstr>
      <vt:lpstr>Účty s vývojem</vt:lpstr>
      <vt:lpstr>Sklady</vt:lpstr>
      <vt:lpstr>Prodej</vt:lpstr>
      <vt:lpstr>Pohledávky a závazky</vt:lpstr>
      <vt:lpstr>Majetek</vt:lpstr>
      <vt:lpstr>Mzdy</vt:lpstr>
      <vt:lpstr>ConnectionTimeout</vt:lpstr>
      <vt:lpstr>Password</vt:lpstr>
      <vt:lpstr>Timeout</vt:lpstr>
      <vt:lpstr>URL</vt:lpstr>
      <vt:lpstr>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2019-11-11T10:36:50Z</dcterms:created>
  <dcterms:modified xsi:type="dcterms:W3CDTF">2019-11-19T14:24:18Z</dcterms:modified>
</cp:coreProperties>
</file>