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9DA777A-4FF1-4F0C-8E15-91A3292E0FC0}" xr6:coauthVersionLast="45" xr6:coauthVersionMax="45" xr10:uidLastSave="{00000000-0000-0000-0000-000000000000}"/>
  <bookViews>
    <workbookView xWindow="-120" yWindow="-16515" windowWidth="29040" windowHeight="15840" tabRatio="674" xr2:uid="{00000000-000D-0000-FFFF-FFFF00000000}"/>
  </bookViews>
  <sheets>
    <sheet name="API" sheetId="15" r:id="rId1"/>
    <sheet name="Model výnosů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<sst xmlns="http://schemas.openxmlformats.org/spreadsheetml/2006/main" count="122" uniqueCount="78">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</sst>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'Model výnosů'!$B$9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  <c:extLst xmlns:c15="http://schemas.microsoft.com/office/drawing/2012/chart"/>
            </c:numRef>
          </c:cat>
          <c:val>
            <c:numRef>
              <c:f>'Model výnosů'!$D$9:$AA$9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'Model výnosů'!$B$10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'Model výnosů'!$D$8:$AA$8</c:f>
              <c:numCache>
                <c:formatCode>[$-405]mmmm\ \y\y;@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'Model výnosů'!$D$10:$AA$10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výnosů'!$B$9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'Model výnosů'!$AB$8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'Model výnosů'!$AB$9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'Model výnosů'!$B$10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'Model výnosů'!$AB$8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'Model výnosů'!$AB$10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-2E-3</c:v>
                </c:pt>
                <c:pt idx="4">
                  <c:v>-3.0000000000000001E-3</c:v>
                </c:pt>
                <c:pt idx="5">
                  <c:v>-4.0000000000000001E-3</c:v>
                </c:pt>
                <c:pt idx="6">
                  <c:v>-5.0000000000000001E-3</c:v>
                </c:pt>
                <c:pt idx="7">
                  <c:v>-6.0000000000000001E-3</c:v>
                </c:pt>
                <c:pt idx="8">
                  <c:v>-7.0000000000000001E-3</c:v>
                </c:pt>
                <c:pt idx="9">
                  <c:v>-8.0000000000000002E-3</c:v>
                </c:pt>
                <c:pt idx="10">
                  <c:v>-9.0000000000000011E-3</c:v>
                </c:pt>
                <c:pt idx="11">
                  <c:v>-1.0000000000000002E-2</c:v>
                </c:pt>
                <c:pt idx="12">
                  <c:v>-1.1000000000000003E-2</c:v>
                </c:pt>
                <c:pt idx="13">
                  <c:v>-1.2000000000000004E-2</c:v>
                </c:pt>
                <c:pt idx="14">
                  <c:v>-1.3000000000000005E-2</c:v>
                </c:pt>
                <c:pt idx="15">
                  <c:v>-1.4000000000000005E-2</c:v>
                </c:pt>
                <c:pt idx="16">
                  <c:v>-1.5000000000000006E-2</c:v>
                </c:pt>
                <c:pt idx="17">
                  <c:v>-1.6000000000000007E-2</c:v>
                </c:pt>
                <c:pt idx="18">
                  <c:v>-1.7000000000000008E-2</c:v>
                </c:pt>
                <c:pt idx="19">
                  <c:v>-1.8000000000000009E-2</c:v>
                </c:pt>
                <c:pt idx="20">
                  <c:v>-1.900000000000001E-2</c:v>
                </c:pt>
                <c:pt idx="21">
                  <c:v>-2.0000000000000011E-2</c:v>
                </c:pt>
                <c:pt idx="22">
                  <c:v>-2.1000000000000012E-2</c:v>
                </c:pt>
                <c:pt idx="23">
                  <c:v>-2.2000000000000013E-2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39</v>
      </c>
      <c r="C2" s="166"/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9"/>
      <c r="C6" s="170"/>
      <c r="D6" s="34">
        <f t="shared" ref="D6:AA6" ca="1" si="0">D7-IF(MONTH(D7)=2,IF(OR(YEAR(D7)=2008,YEAR(D7)=2012,YEAR(D7)=2016),29,28),IF(OR(MONTH(D7)=4,MONTH(D7)=6,MONTH(D7)=9,MONTH(D7)=11),30,31))+1</f>
        <v>41640</v>
      </c>
      <c r="E6" s="35">
        <f t="shared" ca="1" si="0"/>
        <v>41671</v>
      </c>
      <c r="F6" s="35">
        <f t="shared" ca="1" si="0"/>
        <v>41699</v>
      </c>
      <c r="G6" s="35">
        <f t="shared" ca="1" si="0"/>
        <v>41730</v>
      </c>
      <c r="H6" s="35">
        <f t="shared" ca="1" si="0"/>
        <v>41760</v>
      </c>
      <c r="I6" s="35">
        <f t="shared" ca="1" si="0"/>
        <v>41791</v>
      </c>
      <c r="J6" s="35">
        <f t="shared" ca="1" si="0"/>
        <v>41821</v>
      </c>
      <c r="K6" s="35">
        <f t="shared" ca="1" si="0"/>
        <v>41852</v>
      </c>
      <c r="L6" s="35">
        <f t="shared" ca="1" si="0"/>
        <v>41883</v>
      </c>
      <c r="M6" s="35">
        <f t="shared" ca="1" si="0"/>
        <v>41913</v>
      </c>
      <c r="N6" s="35">
        <f t="shared" ca="1" si="0"/>
        <v>41944</v>
      </c>
      <c r="O6" s="35">
        <f t="shared" ca="1" si="0"/>
        <v>41974</v>
      </c>
      <c r="P6" s="35">
        <f t="shared" ca="1" si="0"/>
        <v>42005</v>
      </c>
      <c r="Q6" s="35">
        <f t="shared" ca="1" si="0"/>
        <v>42036</v>
      </c>
      <c r="R6" s="35">
        <f t="shared" ca="1" si="0"/>
        <v>42064</v>
      </c>
      <c r="S6" s="35">
        <f t="shared" ca="1" si="0"/>
        <v>42095</v>
      </c>
      <c r="T6" s="35">
        <f t="shared" ca="1" si="0"/>
        <v>42125</v>
      </c>
      <c r="U6" s="35">
        <f t="shared" ca="1" si="0"/>
        <v>42156</v>
      </c>
      <c r="V6" s="35">
        <f t="shared" ca="1" si="0"/>
        <v>42186</v>
      </c>
      <c r="W6" s="35">
        <f t="shared" ca="1" si="0"/>
        <v>42217</v>
      </c>
      <c r="X6" s="35">
        <f t="shared" ca="1" si="0"/>
        <v>42248</v>
      </c>
      <c r="Y6" s="35">
        <f t="shared" ca="1" si="0"/>
        <v>42278</v>
      </c>
      <c r="Z6" s="35">
        <f t="shared" ca="1" si="0"/>
        <v>42309</v>
      </c>
      <c r="AA6" s="35">
        <f t="shared" ca="1" si="0"/>
        <v>42339</v>
      </c>
      <c r="AB6" s="167"/>
    </row>
    <row r="7" spans="1:31" s="29" customFormat="1" ht="15" customHeight="1" thickBot="1" x14ac:dyDescent="0.25">
      <c r="A7" s="27"/>
      <c r="B7" s="171"/>
      <c r="C7" s="172"/>
      <c r="D7" s="36">
        <f t="shared" ref="D7:Z7" ca="1" si="1">E6-1</f>
        <v>41670</v>
      </c>
      <c r="E7" s="37">
        <f t="shared" ca="1" si="1"/>
        <v>41698</v>
      </c>
      <c r="F7" s="37">
        <f t="shared" ca="1" si="1"/>
        <v>41729</v>
      </c>
      <c r="G7" s="37">
        <f t="shared" ca="1" si="1"/>
        <v>41759</v>
      </c>
      <c r="H7" s="37">
        <f t="shared" ca="1" si="1"/>
        <v>41790</v>
      </c>
      <c r="I7" s="37">
        <f t="shared" ca="1" si="1"/>
        <v>41820</v>
      </c>
      <c r="J7" s="37">
        <f t="shared" ca="1" si="1"/>
        <v>41851</v>
      </c>
      <c r="K7" s="37">
        <f t="shared" ca="1" si="1"/>
        <v>41882</v>
      </c>
      <c r="L7" s="37">
        <f t="shared" ca="1" si="1"/>
        <v>41912</v>
      </c>
      <c r="M7" s="37">
        <f t="shared" ca="1" si="1"/>
        <v>41943</v>
      </c>
      <c r="N7" s="37">
        <f t="shared" ca="1" si="1"/>
        <v>41973</v>
      </c>
      <c r="O7" s="37">
        <f t="shared" ca="1" si="1"/>
        <v>42004</v>
      </c>
      <c r="P7" s="37">
        <f t="shared" ca="1" si="1"/>
        <v>42035</v>
      </c>
      <c r="Q7" s="37">
        <f t="shared" ca="1" si="1"/>
        <v>42063</v>
      </c>
      <c r="R7" s="37">
        <f t="shared" ca="1" si="1"/>
        <v>42094</v>
      </c>
      <c r="S7" s="37">
        <f t="shared" ca="1" si="1"/>
        <v>42124</v>
      </c>
      <c r="T7" s="37">
        <f t="shared" ca="1" si="1"/>
        <v>42155</v>
      </c>
      <c r="U7" s="37">
        <f t="shared" ca="1" si="1"/>
        <v>42185</v>
      </c>
      <c r="V7" s="37">
        <f t="shared" ca="1" si="1"/>
        <v>42216</v>
      </c>
      <c r="W7" s="37">
        <f t="shared" ca="1" si="1"/>
        <v>42247</v>
      </c>
      <c r="X7" s="37">
        <f t="shared" ca="1" si="1"/>
        <v>42277</v>
      </c>
      <c r="Y7" s="37">
        <f t="shared" ca="1" si="1"/>
        <v>42308</v>
      </c>
      <c r="Z7" s="37">
        <f t="shared" ca="1" si="1"/>
        <v>42338</v>
      </c>
      <c r="AA7" s="37">
        <f ca="1">C3</f>
        <v>42369</v>
      </c>
      <c r="AB7" s="168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41640</v>
      </c>
      <c r="E8" s="39">
        <f t="shared" ca="1" si="2"/>
        <v>41671</v>
      </c>
      <c r="F8" s="39">
        <f t="shared" ca="1" si="2"/>
        <v>41699</v>
      </c>
      <c r="G8" s="40">
        <f t="shared" ca="1" si="2"/>
        <v>41730</v>
      </c>
      <c r="H8" s="40">
        <f t="shared" ca="1" si="2"/>
        <v>41760</v>
      </c>
      <c r="I8" s="40">
        <f t="shared" ca="1" si="2"/>
        <v>41791</v>
      </c>
      <c r="J8" s="40">
        <f t="shared" ca="1" si="2"/>
        <v>41821</v>
      </c>
      <c r="K8" s="40">
        <f t="shared" ca="1" si="2"/>
        <v>41852</v>
      </c>
      <c r="L8" s="40">
        <f t="shared" ca="1" si="2"/>
        <v>41883</v>
      </c>
      <c r="M8" s="40">
        <f t="shared" ca="1" si="2"/>
        <v>41913</v>
      </c>
      <c r="N8" s="40">
        <f t="shared" ca="1" si="2"/>
        <v>41944</v>
      </c>
      <c r="O8" s="40">
        <f t="shared" ca="1" si="2"/>
        <v>41974</v>
      </c>
      <c r="P8" s="40">
        <f t="shared" ca="1" si="2"/>
        <v>42005</v>
      </c>
      <c r="Q8" s="40">
        <f t="shared" ca="1" si="2"/>
        <v>42036</v>
      </c>
      <c r="R8" s="40">
        <f t="shared" ca="1" si="2"/>
        <v>42064</v>
      </c>
      <c r="S8" s="40">
        <f t="shared" ca="1" si="2"/>
        <v>42095</v>
      </c>
      <c r="T8" s="40">
        <f t="shared" ca="1" si="2"/>
        <v>42125</v>
      </c>
      <c r="U8" s="40">
        <f t="shared" ca="1" si="2"/>
        <v>42156</v>
      </c>
      <c r="V8" s="40">
        <f t="shared" ca="1" si="2"/>
        <v>42186</v>
      </c>
      <c r="W8" s="40">
        <f t="shared" ca="1" si="2"/>
        <v>42217</v>
      </c>
      <c r="X8" s="40">
        <f t="shared" ca="1" si="2"/>
        <v>42248</v>
      </c>
      <c r="Y8" s="40">
        <f t="shared" ca="1" si="2"/>
        <v>42278</v>
      </c>
      <c r="Z8" s="40">
        <f t="shared" ca="1" si="2"/>
        <v>42309</v>
      </c>
      <c r="AA8" s="40">
        <f t="shared" ca="1" si="2"/>
        <v>42339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9"/>
      <c r="C6" s="170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1"/>
      <c r="C7" s="172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0</v>
      </c>
      <c r="F10" s="44">
        <f ca="1">E10+AbraTurnover(URL,Username,Password,$C10,F$6,F$7)/1000</f>
        <v>-1E-3</v>
      </c>
      <c r="G10" s="44">
        <f t="shared" ca="1" si="3"/>
        <v>-2E-3</v>
      </c>
      <c r="H10" s="44">
        <f t="shared" ca="1" si="3"/>
        <v>-3.0000000000000001E-3</v>
      </c>
      <c r="I10" s="44">
        <f t="shared" ca="1" si="3"/>
        <v>-4.0000000000000001E-3</v>
      </c>
      <c r="J10" s="44">
        <f t="shared" ca="1" si="3"/>
        <v>-5.0000000000000001E-3</v>
      </c>
      <c r="K10" s="44">
        <f t="shared" ca="1" si="3"/>
        <v>-6.0000000000000001E-3</v>
      </c>
      <c r="L10" s="44">
        <f t="shared" ca="1" si="3"/>
        <v>-7.0000000000000001E-3</v>
      </c>
      <c r="M10" s="44">
        <f t="shared" ca="1" si="3"/>
        <v>-8.0000000000000002E-3</v>
      </c>
      <c r="N10" s="44">
        <f t="shared" ca="1" si="3"/>
        <v>-9.0000000000000011E-3</v>
      </c>
      <c r="O10" s="44">
        <f t="shared" ca="1" si="3"/>
        <v>-1.0000000000000002E-2</v>
      </c>
      <c r="P10" s="44">
        <f t="shared" ca="1" si="3"/>
        <v>-1.1000000000000003E-2</v>
      </c>
      <c r="Q10" s="44">
        <f t="shared" ca="1" si="3"/>
        <v>-1.2000000000000004E-2</v>
      </c>
      <c r="R10" s="44">
        <f t="shared" ca="1" si="3"/>
        <v>-1.3000000000000005E-2</v>
      </c>
      <c r="S10" s="44">
        <f t="shared" ca="1" si="3"/>
        <v>-1.4000000000000005E-2</v>
      </c>
      <c r="T10" s="44">
        <f t="shared" ca="1" si="3"/>
        <v>-1.5000000000000006E-2</v>
      </c>
      <c r="U10" s="44">
        <f t="shared" ca="1" si="3"/>
        <v>-1.6000000000000007E-2</v>
      </c>
      <c r="V10" s="44">
        <f t="shared" ca="1" si="3"/>
        <v>-1.7000000000000008E-2</v>
      </c>
      <c r="W10" s="44">
        <f t="shared" ca="1" si="3"/>
        <v>-1.8000000000000009E-2</v>
      </c>
      <c r="X10" s="44">
        <f t="shared" ca="1" si="3"/>
        <v>-1.900000000000001E-2</v>
      </c>
      <c r="Y10" s="44">
        <f t="shared" ca="1" si="3"/>
        <v>-2.0000000000000011E-2</v>
      </c>
      <c r="Z10" s="44">
        <f t="shared" ca="1" si="3"/>
        <v>-2.1000000000000012E-2</v>
      </c>
      <c r="AA10" s="44">
        <f t="shared" ca="1" si="3"/>
        <v>-2.2000000000000013E-2</v>
      </c>
    </row>
    <row r="11" spans="1:30" ht="15" customHeight="1" thickBot="1" x14ac:dyDescent="0.25">
      <c r="B11" s="173" t="s">
        <v>9</v>
      </c>
      <c r="C11" s="174"/>
      <c r="D11" s="48">
        <f t="shared" ref="D11:AA11" ca="1" si="4">SUM(D9:D10)</f>
        <v>-2E-3</v>
      </c>
      <c r="E11" s="49">
        <f t="shared" ca="1" si="4"/>
        <v>-3.0000000000000001E-3</v>
      </c>
      <c r="F11" s="49">
        <f t="shared" ca="1" si="4"/>
        <v>-5.0000000000000001E-3</v>
      </c>
      <c r="G11" s="49">
        <f t="shared" ca="1" si="4"/>
        <v>-7.0000000000000001E-3</v>
      </c>
      <c r="H11" s="49">
        <f t="shared" ca="1" si="4"/>
        <v>-9.0000000000000011E-3</v>
      </c>
      <c r="I11" s="49">
        <f t="shared" ca="1" si="4"/>
        <v>-1.0999999999999999E-2</v>
      </c>
      <c r="J11" s="49">
        <f t="shared" ca="1" si="4"/>
        <v>-1.3000000000000001E-2</v>
      </c>
      <c r="K11" s="49">
        <f t="shared" ca="1" si="4"/>
        <v>-1.5000000000000001E-2</v>
      </c>
      <c r="L11" s="49">
        <f t="shared" ca="1" si="4"/>
        <v>-1.7000000000000001E-2</v>
      </c>
      <c r="M11" s="49">
        <f t="shared" ca="1" si="4"/>
        <v>-1.9000000000000003E-2</v>
      </c>
      <c r="N11" s="49">
        <f t="shared" ca="1" si="4"/>
        <v>-2.1000000000000005E-2</v>
      </c>
      <c r="O11" s="49">
        <f t="shared" ca="1" si="4"/>
        <v>-2.3000000000000007E-2</v>
      </c>
      <c r="P11" s="49">
        <f t="shared" ca="1" si="4"/>
        <v>-2.5000000000000008E-2</v>
      </c>
      <c r="Q11" s="49">
        <f t="shared" ca="1" si="4"/>
        <v>-2.700000000000001E-2</v>
      </c>
      <c r="R11" s="49">
        <f t="shared" ca="1" si="4"/>
        <v>-2.9000000000000012E-2</v>
      </c>
      <c r="S11" s="49">
        <f t="shared" ca="1" si="4"/>
        <v>-3.1000000000000014E-2</v>
      </c>
      <c r="T11" s="49">
        <f t="shared" ca="1" si="4"/>
        <v>-3.3000000000000015E-2</v>
      </c>
      <c r="U11" s="49">
        <f t="shared" ca="1" si="4"/>
        <v>-3.5000000000000017E-2</v>
      </c>
      <c r="V11" s="49">
        <f t="shared" ca="1" si="4"/>
        <v>-3.7000000000000019E-2</v>
      </c>
      <c r="W11" s="49">
        <f t="shared" ca="1" si="4"/>
        <v>-3.9000000000000021E-2</v>
      </c>
      <c r="X11" s="49">
        <f t="shared" ca="1" si="4"/>
        <v>-4.1000000000000023E-2</v>
      </c>
      <c r="Y11" s="49">
        <f t="shared" ca="1" si="4"/>
        <v>-4.3000000000000024E-2</v>
      </c>
      <c r="Z11" s="49">
        <f t="shared" ca="1" si="4"/>
        <v>-4.5000000000000026E-2</v>
      </c>
      <c r="AA11" s="49">
        <f t="shared" ca="1" si="4"/>
        <v>-4.7000000000000028E-2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1"/>
      <c r="C7" s="177"/>
      <c r="D7" s="172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3" t="s">
        <v>1</v>
      </c>
      <c r="C11" s="175"/>
      <c r="D11" s="174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0</v>
      </c>
      <c r="F16" s="151">
        <f t="shared" ca="1" si="6"/>
        <v>0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3" t="s">
        <v>1</v>
      </c>
      <c r="C17" s="175"/>
      <c r="D17" s="174"/>
      <c r="E17" s="62">
        <f ca="1">SUM(E15:E16)</f>
        <v>-1E-3</v>
      </c>
      <c r="F17" s="62">
        <f t="shared" ref="F17:AB17" ca="1" si="8">SUM(F15:F16)</f>
        <v>-1E-3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8"/>
      <c r="C6" s="179"/>
      <c r="D6" s="180"/>
      <c r="E6" s="88">
        <f ca="1">E7-IF(MONTH(E7)=2,IF(OR(YEAR(E7)=2008,YEAR(E7)=2012,YEAR(E7)=2016),29,28),IF(OR(MONTH(E7)=4,MONTH(E7)=6,MONTH(E7)=9,MONTH(E7)=11),30,31))+1</f>
        <v>42736</v>
      </c>
      <c r="F6" s="89">
        <f t="shared" ref="F6:AB6" ca="1" si="0">F7-IF(MONTH(F7)=2,IF(OR(YEAR(F7)=2008,YEAR(F7)=2012,YEAR(F7)=2016),29,28),IF(OR(MONTH(F7)=4,MONTH(F7)=6,MONTH(F7)=9,MONTH(F7)=11),30,31))+1</f>
        <v>42767</v>
      </c>
      <c r="G6" s="89">
        <f t="shared" ca="1" si="0"/>
        <v>42795</v>
      </c>
      <c r="H6" s="89">
        <f t="shared" ca="1" si="0"/>
        <v>42826</v>
      </c>
      <c r="I6" s="89">
        <f t="shared" ca="1" si="0"/>
        <v>42856</v>
      </c>
      <c r="J6" s="89">
        <f t="shared" ca="1" si="0"/>
        <v>42887</v>
      </c>
      <c r="K6" s="89">
        <f t="shared" ca="1" si="0"/>
        <v>42917</v>
      </c>
      <c r="L6" s="89">
        <f t="shared" ca="1" si="0"/>
        <v>42948</v>
      </c>
      <c r="M6" s="89">
        <f t="shared" ca="1" si="0"/>
        <v>42979</v>
      </c>
      <c r="N6" s="89">
        <f t="shared" ca="1" si="0"/>
        <v>43009</v>
      </c>
      <c r="O6" s="89">
        <f t="shared" ca="1" si="0"/>
        <v>43040</v>
      </c>
      <c r="P6" s="89">
        <f t="shared" ca="1" si="0"/>
        <v>43070</v>
      </c>
      <c r="Q6" s="89">
        <f t="shared" ca="1" si="0"/>
        <v>43101</v>
      </c>
      <c r="R6" s="89">
        <f t="shared" ca="1" si="0"/>
        <v>43132</v>
      </c>
      <c r="S6" s="89">
        <f t="shared" ca="1" si="0"/>
        <v>43160</v>
      </c>
      <c r="T6" s="89">
        <f t="shared" ca="1" si="0"/>
        <v>43191</v>
      </c>
      <c r="U6" s="89">
        <f t="shared" ca="1" si="0"/>
        <v>43221</v>
      </c>
      <c r="V6" s="89">
        <f t="shared" ca="1" si="0"/>
        <v>43252</v>
      </c>
      <c r="W6" s="89">
        <f t="shared" ca="1" si="0"/>
        <v>43282</v>
      </c>
      <c r="X6" s="89">
        <f t="shared" ca="1" si="0"/>
        <v>43313</v>
      </c>
      <c r="Y6" s="89">
        <f t="shared" ca="1" si="0"/>
        <v>43344</v>
      </c>
      <c r="Z6" s="89">
        <f t="shared" ca="1" si="0"/>
        <v>43374</v>
      </c>
      <c r="AA6" s="89">
        <f t="shared" ca="1" si="0"/>
        <v>43405</v>
      </c>
      <c r="AB6" s="89">
        <f t="shared" ca="1" si="0"/>
        <v>43435</v>
      </c>
    </row>
    <row r="7" spans="1:30" s="82" customFormat="1" ht="15" customHeight="1" thickBot="1" x14ac:dyDescent="0.25">
      <c r="A7" s="81"/>
      <c r="B7" s="181"/>
      <c r="C7" s="182"/>
      <c r="D7" s="183"/>
      <c r="E7" s="90">
        <f t="shared" ref="E7:AA7" ca="1" si="1">F6-1</f>
        <v>42766</v>
      </c>
      <c r="F7" s="91">
        <f t="shared" ca="1" si="1"/>
        <v>42794</v>
      </c>
      <c r="G7" s="91">
        <f t="shared" ca="1" si="1"/>
        <v>42825</v>
      </c>
      <c r="H7" s="91">
        <f t="shared" ca="1" si="1"/>
        <v>42855</v>
      </c>
      <c r="I7" s="91">
        <f t="shared" ca="1" si="1"/>
        <v>42886</v>
      </c>
      <c r="J7" s="91">
        <f t="shared" ca="1" si="1"/>
        <v>42916</v>
      </c>
      <c r="K7" s="91">
        <f t="shared" ca="1" si="1"/>
        <v>42947</v>
      </c>
      <c r="L7" s="91">
        <f t="shared" ca="1" si="1"/>
        <v>42978</v>
      </c>
      <c r="M7" s="91">
        <f t="shared" ca="1" si="1"/>
        <v>43008</v>
      </c>
      <c r="N7" s="91">
        <f t="shared" ca="1" si="1"/>
        <v>43039</v>
      </c>
      <c r="O7" s="91">
        <f t="shared" ca="1" si="1"/>
        <v>43069</v>
      </c>
      <c r="P7" s="91">
        <f t="shared" ca="1" si="1"/>
        <v>43100</v>
      </c>
      <c r="Q7" s="91">
        <f t="shared" ca="1" si="1"/>
        <v>43131</v>
      </c>
      <c r="R7" s="91">
        <f t="shared" ca="1" si="1"/>
        <v>43159</v>
      </c>
      <c r="S7" s="91">
        <f t="shared" ca="1" si="1"/>
        <v>43190</v>
      </c>
      <c r="T7" s="91">
        <f t="shared" ca="1" si="1"/>
        <v>43220</v>
      </c>
      <c r="U7" s="91">
        <f t="shared" ca="1" si="1"/>
        <v>43251</v>
      </c>
      <c r="V7" s="91">
        <f t="shared" ca="1" si="1"/>
        <v>43281</v>
      </c>
      <c r="W7" s="91">
        <f t="shared" ca="1" si="1"/>
        <v>43312</v>
      </c>
      <c r="X7" s="91">
        <f t="shared" ca="1" si="1"/>
        <v>43343</v>
      </c>
      <c r="Y7" s="91">
        <f t="shared" ca="1" si="1"/>
        <v>43373</v>
      </c>
      <c r="Z7" s="91">
        <f t="shared" ca="1" si="1"/>
        <v>43404</v>
      </c>
      <c r="AA7" s="91">
        <f t="shared" ca="1" si="1"/>
        <v>43434</v>
      </c>
      <c r="AB7" s="91">
        <f ca="1">D3</f>
        <v>43465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42736</v>
      </c>
      <c r="F8" s="40">
        <f t="shared" ca="1" si="2"/>
        <v>42767</v>
      </c>
      <c r="G8" s="40">
        <f t="shared" ca="1" si="2"/>
        <v>42795</v>
      </c>
      <c r="H8" s="40">
        <f t="shared" ca="1" si="2"/>
        <v>42826</v>
      </c>
      <c r="I8" s="40">
        <f t="shared" ca="1" si="2"/>
        <v>42856</v>
      </c>
      <c r="J8" s="40">
        <f t="shared" ca="1" si="2"/>
        <v>42887</v>
      </c>
      <c r="K8" s="40">
        <f t="shared" ca="1" si="2"/>
        <v>42917</v>
      </c>
      <c r="L8" s="40">
        <f t="shared" ca="1" si="2"/>
        <v>42948</v>
      </c>
      <c r="M8" s="40">
        <f t="shared" ca="1" si="2"/>
        <v>42979</v>
      </c>
      <c r="N8" s="40">
        <f t="shared" ca="1" si="2"/>
        <v>43009</v>
      </c>
      <c r="O8" s="40">
        <f t="shared" ca="1" si="2"/>
        <v>43040</v>
      </c>
      <c r="P8" s="40">
        <f t="shared" ca="1" si="2"/>
        <v>43070</v>
      </c>
      <c r="Q8" s="40">
        <f t="shared" ca="1" si="2"/>
        <v>43101</v>
      </c>
      <c r="R8" s="40">
        <f t="shared" ca="1" si="2"/>
        <v>43132</v>
      </c>
      <c r="S8" s="40">
        <f t="shared" ca="1" si="2"/>
        <v>43160</v>
      </c>
      <c r="T8" s="40">
        <f t="shared" ca="1" si="2"/>
        <v>43191</v>
      </c>
      <c r="U8" s="40">
        <f t="shared" ca="1" si="2"/>
        <v>43221</v>
      </c>
      <c r="V8" s="40">
        <f t="shared" ca="1" si="2"/>
        <v>43252</v>
      </c>
      <c r="W8" s="40">
        <f t="shared" ca="1" si="2"/>
        <v>43282</v>
      </c>
      <c r="X8" s="40">
        <f t="shared" ca="1" si="2"/>
        <v>43313</v>
      </c>
      <c r="Y8" s="40">
        <f t="shared" ca="1" si="2"/>
        <v>43344</v>
      </c>
      <c r="Z8" s="40">
        <f t="shared" ca="1" si="2"/>
        <v>43374</v>
      </c>
      <c r="AA8" s="40">
        <f t="shared" ca="1" si="2"/>
        <v>43405</v>
      </c>
      <c r="AB8" s="40">
        <f t="shared" ca="1" si="2"/>
        <v>43435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-1E-3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3" t="s">
        <v>38</v>
      </c>
      <c r="C11" s="175"/>
      <c r="D11" s="174"/>
      <c r="E11" s="95">
        <f ca="1">E10/E9</f>
        <v>0</v>
      </c>
      <c r="F11" s="95">
        <f t="shared" ref="F11:AB11" ca="1" si="5">F10/F9</f>
        <v>0</v>
      </c>
      <c r="G11" s="95">
        <f t="shared" ca="1" si="5"/>
        <v>1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8"/>
      <c r="C6" s="179"/>
      <c r="D6" s="180"/>
      <c r="E6" s="126">
        <f ca="1">E7-IF(MONTH(E7)=2,IF(OR(YEAR(E7)=2008,YEAR(E7)=2012,YEAR(E7)=2016),29,28),IF(OR(MONTH(E7)=4,MONTH(E7)=6,MONTH(E7)=9,MONTH(E7)=11),30,31))+1</f>
        <v>41640</v>
      </c>
      <c r="F6" s="127">
        <f t="shared" ref="F6:AB6" ca="1" si="0">F7-IF(MONTH(F7)=2,IF(OR(YEAR(F7)=2008,YEAR(F7)=2012,YEAR(F7)=2016),29,28),IF(OR(MONTH(F7)=4,MONTH(F7)=6,MONTH(F7)=9,MONTH(F7)=11),30,31))+1</f>
        <v>41671</v>
      </c>
      <c r="G6" s="127">
        <f t="shared" ca="1" si="0"/>
        <v>41699</v>
      </c>
      <c r="H6" s="127">
        <f t="shared" ca="1" si="0"/>
        <v>41730</v>
      </c>
      <c r="I6" s="127">
        <f t="shared" ca="1" si="0"/>
        <v>41760</v>
      </c>
      <c r="J6" s="127">
        <f t="shared" ca="1" si="0"/>
        <v>41791</v>
      </c>
      <c r="K6" s="127">
        <f t="shared" ca="1" si="0"/>
        <v>41821</v>
      </c>
      <c r="L6" s="127">
        <f t="shared" ca="1" si="0"/>
        <v>41852</v>
      </c>
      <c r="M6" s="127">
        <f t="shared" ca="1" si="0"/>
        <v>41883</v>
      </c>
      <c r="N6" s="127">
        <f t="shared" ca="1" si="0"/>
        <v>41913</v>
      </c>
      <c r="O6" s="127">
        <f t="shared" ca="1" si="0"/>
        <v>41944</v>
      </c>
      <c r="P6" s="127">
        <f t="shared" ca="1" si="0"/>
        <v>41974</v>
      </c>
      <c r="Q6" s="127">
        <f t="shared" ca="1" si="0"/>
        <v>42005</v>
      </c>
      <c r="R6" s="127">
        <f t="shared" ca="1" si="0"/>
        <v>42036</v>
      </c>
      <c r="S6" s="127">
        <f t="shared" ca="1" si="0"/>
        <v>42064</v>
      </c>
      <c r="T6" s="127">
        <f t="shared" ca="1" si="0"/>
        <v>42095</v>
      </c>
      <c r="U6" s="127">
        <f t="shared" ca="1" si="0"/>
        <v>42125</v>
      </c>
      <c r="V6" s="127">
        <f t="shared" ca="1" si="0"/>
        <v>42156</v>
      </c>
      <c r="W6" s="127">
        <f t="shared" ca="1" si="0"/>
        <v>42186</v>
      </c>
      <c r="X6" s="127">
        <f t="shared" ca="1" si="0"/>
        <v>42217</v>
      </c>
      <c r="Y6" s="127">
        <f t="shared" ca="1" si="0"/>
        <v>42248</v>
      </c>
      <c r="Z6" s="127">
        <f t="shared" ca="1" si="0"/>
        <v>42278</v>
      </c>
      <c r="AA6" s="127">
        <f t="shared" ca="1" si="0"/>
        <v>42309</v>
      </c>
      <c r="AB6" s="127">
        <f t="shared" ca="1" si="0"/>
        <v>42339</v>
      </c>
    </row>
    <row r="7" spans="1:30" s="121" customFormat="1" ht="15" customHeight="1" thickBot="1" x14ac:dyDescent="0.25">
      <c r="A7" s="120"/>
      <c r="B7" s="181"/>
      <c r="C7" s="182"/>
      <c r="D7" s="183"/>
      <c r="E7" s="128">
        <f t="shared" ref="E7:AA7" ca="1" si="1">F6-1</f>
        <v>41670</v>
      </c>
      <c r="F7" s="129">
        <f t="shared" ca="1" si="1"/>
        <v>41698</v>
      </c>
      <c r="G7" s="129">
        <f t="shared" ca="1" si="1"/>
        <v>41729</v>
      </c>
      <c r="H7" s="129">
        <f t="shared" ca="1" si="1"/>
        <v>41759</v>
      </c>
      <c r="I7" s="129">
        <f t="shared" ca="1" si="1"/>
        <v>41790</v>
      </c>
      <c r="J7" s="129">
        <f t="shared" ca="1" si="1"/>
        <v>41820</v>
      </c>
      <c r="K7" s="129">
        <f t="shared" ca="1" si="1"/>
        <v>41851</v>
      </c>
      <c r="L7" s="129">
        <f t="shared" ca="1" si="1"/>
        <v>41882</v>
      </c>
      <c r="M7" s="129">
        <f t="shared" ca="1" si="1"/>
        <v>41912</v>
      </c>
      <c r="N7" s="129">
        <f t="shared" ca="1" si="1"/>
        <v>41943</v>
      </c>
      <c r="O7" s="129">
        <f t="shared" ca="1" si="1"/>
        <v>41973</v>
      </c>
      <c r="P7" s="129">
        <f t="shared" ca="1" si="1"/>
        <v>42004</v>
      </c>
      <c r="Q7" s="129">
        <f t="shared" ca="1" si="1"/>
        <v>42035</v>
      </c>
      <c r="R7" s="129">
        <f t="shared" ca="1" si="1"/>
        <v>42063</v>
      </c>
      <c r="S7" s="129">
        <f t="shared" ca="1" si="1"/>
        <v>42094</v>
      </c>
      <c r="T7" s="129">
        <f t="shared" ca="1" si="1"/>
        <v>42124</v>
      </c>
      <c r="U7" s="129">
        <f t="shared" ca="1" si="1"/>
        <v>42155</v>
      </c>
      <c r="V7" s="129">
        <f t="shared" ca="1" si="1"/>
        <v>42185</v>
      </c>
      <c r="W7" s="129">
        <f t="shared" ca="1" si="1"/>
        <v>42216</v>
      </c>
      <c r="X7" s="129">
        <f t="shared" ca="1" si="1"/>
        <v>42247</v>
      </c>
      <c r="Y7" s="129">
        <f t="shared" ca="1" si="1"/>
        <v>42277</v>
      </c>
      <c r="Z7" s="129">
        <f t="shared" ca="1" si="1"/>
        <v>42308</v>
      </c>
      <c r="AA7" s="129">
        <f t="shared" ca="1" si="1"/>
        <v>42338</v>
      </c>
      <c r="AB7" s="129">
        <f ca="1">D3</f>
        <v>42369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41640</v>
      </c>
      <c r="F8" s="131">
        <f t="shared" ca="1" si="2"/>
        <v>41671</v>
      </c>
      <c r="G8" s="131">
        <f t="shared" ca="1" si="2"/>
        <v>41699</v>
      </c>
      <c r="H8" s="131">
        <f t="shared" ca="1" si="2"/>
        <v>41730</v>
      </c>
      <c r="I8" s="131">
        <f t="shared" ca="1" si="2"/>
        <v>41760</v>
      </c>
      <c r="J8" s="131">
        <f t="shared" ca="1" si="2"/>
        <v>41791</v>
      </c>
      <c r="K8" s="131">
        <f t="shared" ca="1" si="2"/>
        <v>41821</v>
      </c>
      <c r="L8" s="131">
        <f t="shared" ca="1" si="2"/>
        <v>41852</v>
      </c>
      <c r="M8" s="131">
        <f t="shared" ca="1" si="2"/>
        <v>41883</v>
      </c>
      <c r="N8" s="131">
        <f t="shared" ca="1" si="2"/>
        <v>41913</v>
      </c>
      <c r="O8" s="131">
        <f t="shared" ca="1" si="2"/>
        <v>41944</v>
      </c>
      <c r="P8" s="131">
        <f t="shared" ca="1" si="2"/>
        <v>41974</v>
      </c>
      <c r="Q8" s="131">
        <f t="shared" ca="1" si="2"/>
        <v>42005</v>
      </c>
      <c r="R8" s="131">
        <f t="shared" ca="1" si="2"/>
        <v>42036</v>
      </c>
      <c r="S8" s="131">
        <f t="shared" ca="1" si="2"/>
        <v>42064</v>
      </c>
      <c r="T8" s="131">
        <f t="shared" ca="1" si="2"/>
        <v>42095</v>
      </c>
      <c r="U8" s="131">
        <f t="shared" ca="1" si="2"/>
        <v>42125</v>
      </c>
      <c r="V8" s="131">
        <f t="shared" ca="1" si="2"/>
        <v>42156</v>
      </c>
      <c r="W8" s="131">
        <f t="shared" ca="1" si="2"/>
        <v>42186</v>
      </c>
      <c r="X8" s="131">
        <f t="shared" ca="1" si="2"/>
        <v>42217</v>
      </c>
      <c r="Y8" s="131">
        <f t="shared" ca="1" si="2"/>
        <v>42248</v>
      </c>
      <c r="Z8" s="131">
        <f t="shared" ca="1" si="2"/>
        <v>42278</v>
      </c>
      <c r="AA8" s="131">
        <f t="shared" ca="1" si="2"/>
        <v>42309</v>
      </c>
      <c r="AB8" s="131">
        <f t="shared" ca="1" si="2"/>
        <v>42339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8"/>
      <c r="C20" s="179"/>
      <c r="D20" s="180"/>
      <c r="E20" s="126">
        <f ca="1">E21-IF(MONTH(E21)=2,IF(OR(YEAR(E21)=2008,YEAR(E21)=2012,YEAR(E21)=2016),29,28),IF(OR(MONTH(E21)=4,MONTH(E21)=6,MONTH(E21)=9,MONTH(E21)=11),30,31))+1</f>
        <v>41640</v>
      </c>
      <c r="F20" s="127">
        <f t="shared" ref="F20:AB20" ca="1" si="5">F21-IF(MONTH(F21)=2,IF(OR(YEAR(F21)=2008,YEAR(F21)=2012,YEAR(F21)=2016),29,28),IF(OR(MONTH(F21)=4,MONTH(F21)=6,MONTH(F21)=9,MONTH(F21)=11),30,31))+1</f>
        <v>41671</v>
      </c>
      <c r="G20" s="127">
        <f t="shared" ca="1" si="5"/>
        <v>41699</v>
      </c>
      <c r="H20" s="127">
        <f t="shared" ca="1" si="5"/>
        <v>41730</v>
      </c>
      <c r="I20" s="127">
        <f t="shared" ca="1" si="5"/>
        <v>41760</v>
      </c>
      <c r="J20" s="127">
        <f t="shared" ca="1" si="5"/>
        <v>41791</v>
      </c>
      <c r="K20" s="127">
        <f t="shared" ca="1" si="5"/>
        <v>41821</v>
      </c>
      <c r="L20" s="127">
        <f t="shared" ca="1" si="5"/>
        <v>41852</v>
      </c>
      <c r="M20" s="127">
        <f t="shared" ca="1" si="5"/>
        <v>41883</v>
      </c>
      <c r="N20" s="127">
        <f t="shared" ca="1" si="5"/>
        <v>41913</v>
      </c>
      <c r="O20" s="127">
        <f t="shared" ca="1" si="5"/>
        <v>41944</v>
      </c>
      <c r="P20" s="127">
        <f t="shared" ca="1" si="5"/>
        <v>41974</v>
      </c>
      <c r="Q20" s="127">
        <f t="shared" ca="1" si="5"/>
        <v>42005</v>
      </c>
      <c r="R20" s="127">
        <f t="shared" ca="1" si="5"/>
        <v>42036</v>
      </c>
      <c r="S20" s="127">
        <f t="shared" ca="1" si="5"/>
        <v>42064</v>
      </c>
      <c r="T20" s="127">
        <f t="shared" ca="1" si="5"/>
        <v>42095</v>
      </c>
      <c r="U20" s="127">
        <f t="shared" ca="1" si="5"/>
        <v>42125</v>
      </c>
      <c r="V20" s="127">
        <f t="shared" ca="1" si="5"/>
        <v>42156</v>
      </c>
      <c r="W20" s="127">
        <f t="shared" ca="1" si="5"/>
        <v>42186</v>
      </c>
      <c r="X20" s="127">
        <f t="shared" ca="1" si="5"/>
        <v>42217</v>
      </c>
      <c r="Y20" s="127">
        <f t="shared" ca="1" si="5"/>
        <v>42248</v>
      </c>
      <c r="Z20" s="127">
        <f t="shared" ca="1" si="5"/>
        <v>42278</v>
      </c>
      <c r="AA20" s="127">
        <f t="shared" ca="1" si="5"/>
        <v>42309</v>
      </c>
      <c r="AB20" s="127">
        <f t="shared" ca="1" si="5"/>
        <v>42339</v>
      </c>
      <c r="AC20" s="121"/>
    </row>
    <row r="21" spans="2:29" ht="15.75" thickBot="1" x14ac:dyDescent="0.25">
      <c r="B21" s="181"/>
      <c r="C21" s="182"/>
      <c r="D21" s="183"/>
      <c r="E21" s="128">
        <f t="shared" ref="E21" ca="1" si="6">F20-1</f>
        <v>41670</v>
      </c>
      <c r="F21" s="129">
        <f t="shared" ref="F21" ca="1" si="7">G20-1</f>
        <v>41698</v>
      </c>
      <c r="G21" s="129">
        <f t="shared" ref="G21" ca="1" si="8">H20-1</f>
        <v>41729</v>
      </c>
      <c r="H21" s="129">
        <f t="shared" ref="H21" ca="1" si="9">I20-1</f>
        <v>41759</v>
      </c>
      <c r="I21" s="129">
        <f t="shared" ref="I21" ca="1" si="10">J20-1</f>
        <v>41790</v>
      </c>
      <c r="J21" s="129">
        <f t="shared" ref="J21" ca="1" si="11">K20-1</f>
        <v>41820</v>
      </c>
      <c r="K21" s="129">
        <f t="shared" ref="K21" ca="1" si="12">L20-1</f>
        <v>41851</v>
      </c>
      <c r="L21" s="129">
        <f t="shared" ref="L21" ca="1" si="13">M20-1</f>
        <v>41882</v>
      </c>
      <c r="M21" s="129">
        <f t="shared" ref="M21" ca="1" si="14">N20-1</f>
        <v>41912</v>
      </c>
      <c r="N21" s="129">
        <f t="shared" ref="N21" ca="1" si="15">O20-1</f>
        <v>41943</v>
      </c>
      <c r="O21" s="129">
        <f t="shared" ref="O21" ca="1" si="16">P20-1</f>
        <v>41973</v>
      </c>
      <c r="P21" s="129">
        <f t="shared" ref="P21" ca="1" si="17">Q20-1</f>
        <v>42004</v>
      </c>
      <c r="Q21" s="129">
        <f t="shared" ref="Q21" ca="1" si="18">R20-1</f>
        <v>42035</v>
      </c>
      <c r="R21" s="129">
        <f t="shared" ref="R21" ca="1" si="19">S20-1</f>
        <v>42063</v>
      </c>
      <c r="S21" s="129">
        <f t="shared" ref="S21" ca="1" si="20">T20-1</f>
        <v>42094</v>
      </c>
      <c r="T21" s="129">
        <f t="shared" ref="T21" ca="1" si="21">U20-1</f>
        <v>42124</v>
      </c>
      <c r="U21" s="129">
        <f t="shared" ref="U21" ca="1" si="22">V20-1</f>
        <v>42155</v>
      </c>
      <c r="V21" s="129">
        <f t="shared" ref="V21" ca="1" si="23">W20-1</f>
        <v>42185</v>
      </c>
      <c r="W21" s="129">
        <f t="shared" ref="W21" ca="1" si="24">X20-1</f>
        <v>42216</v>
      </c>
      <c r="X21" s="129">
        <f t="shared" ref="X21" ca="1" si="25">Y20-1</f>
        <v>42247</v>
      </c>
      <c r="Y21" s="129">
        <f t="shared" ref="Y21" ca="1" si="26">Z20-1</f>
        <v>42277</v>
      </c>
      <c r="Z21" s="129">
        <f t="shared" ref="Z21" ca="1" si="27">AA20-1</f>
        <v>42308</v>
      </c>
      <c r="AA21" s="129">
        <f t="shared" ref="AA21" ca="1" si="28">AB20-1</f>
        <v>42338</v>
      </c>
      <c r="AB21" s="129">
        <f ca="1">D17</f>
        <v>42369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41640</v>
      </c>
      <c r="F22" s="131">
        <f t="shared" ca="1" si="29"/>
        <v>41671</v>
      </c>
      <c r="G22" s="131">
        <f t="shared" ca="1" si="29"/>
        <v>41699</v>
      </c>
      <c r="H22" s="131">
        <f t="shared" ca="1" si="29"/>
        <v>41730</v>
      </c>
      <c r="I22" s="131">
        <f t="shared" ca="1" si="29"/>
        <v>41760</v>
      </c>
      <c r="J22" s="131">
        <f t="shared" ca="1" si="29"/>
        <v>41791</v>
      </c>
      <c r="K22" s="131">
        <f t="shared" ca="1" si="29"/>
        <v>41821</v>
      </c>
      <c r="L22" s="131">
        <f t="shared" ca="1" si="29"/>
        <v>41852</v>
      </c>
      <c r="M22" s="131">
        <f t="shared" ca="1" si="29"/>
        <v>41883</v>
      </c>
      <c r="N22" s="131">
        <f t="shared" ca="1" si="29"/>
        <v>41913</v>
      </c>
      <c r="O22" s="131">
        <f t="shared" ca="1" si="29"/>
        <v>41944</v>
      </c>
      <c r="P22" s="131">
        <f t="shared" ca="1" si="29"/>
        <v>41974</v>
      </c>
      <c r="Q22" s="131">
        <f t="shared" ca="1" si="29"/>
        <v>42005</v>
      </c>
      <c r="R22" s="131">
        <f t="shared" ca="1" si="29"/>
        <v>42036</v>
      </c>
      <c r="S22" s="131">
        <f t="shared" ca="1" si="29"/>
        <v>42064</v>
      </c>
      <c r="T22" s="131">
        <f t="shared" ca="1" si="29"/>
        <v>42095</v>
      </c>
      <c r="U22" s="131">
        <f t="shared" ca="1" si="29"/>
        <v>42125</v>
      </c>
      <c r="V22" s="131">
        <f t="shared" ca="1" si="29"/>
        <v>42156</v>
      </c>
      <c r="W22" s="131">
        <f t="shared" ca="1" si="29"/>
        <v>42186</v>
      </c>
      <c r="X22" s="131">
        <f t="shared" ca="1" si="29"/>
        <v>42217</v>
      </c>
      <c r="Y22" s="131">
        <f t="shared" ca="1" si="29"/>
        <v>42248</v>
      </c>
      <c r="Z22" s="131">
        <f t="shared" ca="1" si="29"/>
        <v>42278</v>
      </c>
      <c r="AA22" s="131">
        <f t="shared" ca="1" si="29"/>
        <v>42309</v>
      </c>
      <c r="AB22" s="131">
        <f t="shared" ca="1" si="29"/>
        <v>42339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38718</v>
      </c>
      <c r="F6" s="35">
        <f t="shared" ref="F6:AB6" ca="1" si="0">F7-IF(MONTH(F7)=2,IF(OR(YEAR(F7)=2008,YEAR(F7)=2012,YEAR(F7)=2016),29,28),IF(OR(MONTH(F7)=4,MONTH(F7)=6,MONTH(F7)=9,MONTH(F7)=11),30,31))+1</f>
        <v>38749</v>
      </c>
      <c r="G6" s="35">
        <f t="shared" ca="1" si="0"/>
        <v>38777</v>
      </c>
      <c r="H6" s="35">
        <f t="shared" ca="1" si="0"/>
        <v>38808</v>
      </c>
      <c r="I6" s="35">
        <f t="shared" ca="1" si="0"/>
        <v>38838</v>
      </c>
      <c r="J6" s="35">
        <f t="shared" ca="1" si="0"/>
        <v>38869</v>
      </c>
      <c r="K6" s="35">
        <f t="shared" ca="1" si="0"/>
        <v>38899</v>
      </c>
      <c r="L6" s="35">
        <f t="shared" ca="1" si="0"/>
        <v>38930</v>
      </c>
      <c r="M6" s="35">
        <f t="shared" ca="1" si="0"/>
        <v>38961</v>
      </c>
      <c r="N6" s="35">
        <f t="shared" ca="1" si="0"/>
        <v>38991</v>
      </c>
      <c r="O6" s="35">
        <f t="shared" ca="1" si="0"/>
        <v>39022</v>
      </c>
      <c r="P6" s="35">
        <f t="shared" ca="1" si="0"/>
        <v>39052</v>
      </c>
      <c r="Q6" s="35">
        <f t="shared" ca="1" si="0"/>
        <v>39083</v>
      </c>
      <c r="R6" s="35">
        <f t="shared" ca="1" si="0"/>
        <v>39114</v>
      </c>
      <c r="S6" s="35">
        <f t="shared" ca="1" si="0"/>
        <v>39142</v>
      </c>
      <c r="T6" s="35">
        <f t="shared" ca="1" si="0"/>
        <v>39173</v>
      </c>
      <c r="U6" s="35">
        <f t="shared" ca="1" si="0"/>
        <v>39203</v>
      </c>
      <c r="V6" s="35">
        <f t="shared" ca="1" si="0"/>
        <v>39234</v>
      </c>
      <c r="W6" s="35">
        <f t="shared" ca="1" si="0"/>
        <v>39264</v>
      </c>
      <c r="X6" s="35">
        <f t="shared" ca="1" si="0"/>
        <v>39295</v>
      </c>
      <c r="Y6" s="35">
        <f t="shared" ca="1" si="0"/>
        <v>39326</v>
      </c>
      <c r="Z6" s="35">
        <f t="shared" ca="1" si="0"/>
        <v>39356</v>
      </c>
      <c r="AA6" s="35">
        <f t="shared" ca="1" si="0"/>
        <v>39387</v>
      </c>
      <c r="AB6" s="35">
        <f t="shared" ca="1" si="0"/>
        <v>39417</v>
      </c>
    </row>
    <row r="7" spans="1:30" s="29" customFormat="1" ht="15" customHeight="1" thickBot="1" x14ac:dyDescent="0.25">
      <c r="A7" s="27"/>
      <c r="B7" s="171"/>
      <c r="C7" s="177"/>
      <c r="D7" s="172"/>
      <c r="E7" s="36">
        <f t="shared" ref="E7:AA7" ca="1" si="1">F6-1</f>
        <v>38748</v>
      </c>
      <c r="F7" s="37">
        <f t="shared" ca="1" si="1"/>
        <v>38776</v>
      </c>
      <c r="G7" s="37">
        <f t="shared" ca="1" si="1"/>
        <v>38807</v>
      </c>
      <c r="H7" s="37">
        <f t="shared" ca="1" si="1"/>
        <v>38837</v>
      </c>
      <c r="I7" s="37">
        <f t="shared" ca="1" si="1"/>
        <v>38868</v>
      </c>
      <c r="J7" s="37">
        <f t="shared" ca="1" si="1"/>
        <v>38898</v>
      </c>
      <c r="K7" s="37">
        <f t="shared" ca="1" si="1"/>
        <v>38929</v>
      </c>
      <c r="L7" s="37">
        <f t="shared" ca="1" si="1"/>
        <v>38960</v>
      </c>
      <c r="M7" s="37">
        <f t="shared" ca="1" si="1"/>
        <v>38990</v>
      </c>
      <c r="N7" s="37">
        <f t="shared" ca="1" si="1"/>
        <v>39021</v>
      </c>
      <c r="O7" s="37">
        <f t="shared" ca="1" si="1"/>
        <v>39051</v>
      </c>
      <c r="P7" s="37">
        <f t="shared" ca="1" si="1"/>
        <v>39082</v>
      </c>
      <c r="Q7" s="37">
        <f t="shared" ca="1" si="1"/>
        <v>39113</v>
      </c>
      <c r="R7" s="37">
        <f t="shared" ca="1" si="1"/>
        <v>39141</v>
      </c>
      <c r="S7" s="37">
        <f t="shared" ca="1" si="1"/>
        <v>39172</v>
      </c>
      <c r="T7" s="37">
        <f t="shared" ca="1" si="1"/>
        <v>39202</v>
      </c>
      <c r="U7" s="37">
        <f t="shared" ca="1" si="1"/>
        <v>39233</v>
      </c>
      <c r="V7" s="37">
        <f t="shared" ca="1" si="1"/>
        <v>39263</v>
      </c>
      <c r="W7" s="37">
        <f t="shared" ca="1" si="1"/>
        <v>39294</v>
      </c>
      <c r="X7" s="37">
        <f t="shared" ca="1" si="1"/>
        <v>39325</v>
      </c>
      <c r="Y7" s="37">
        <f t="shared" ca="1" si="1"/>
        <v>39355</v>
      </c>
      <c r="Z7" s="37">
        <f t="shared" ca="1" si="1"/>
        <v>39386</v>
      </c>
      <c r="AA7" s="37">
        <f t="shared" ca="1" si="1"/>
        <v>39416</v>
      </c>
      <c r="AB7" s="37">
        <f ca="1">D3</f>
        <v>39447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38718</v>
      </c>
      <c r="F8" s="39">
        <f t="shared" ca="1" si="2"/>
        <v>38749</v>
      </c>
      <c r="G8" s="39">
        <f t="shared" ca="1" si="2"/>
        <v>38777</v>
      </c>
      <c r="H8" s="40">
        <f t="shared" ca="1" si="2"/>
        <v>38808</v>
      </c>
      <c r="I8" s="40">
        <f t="shared" ca="1" si="2"/>
        <v>38838</v>
      </c>
      <c r="J8" s="40">
        <f t="shared" ca="1" si="2"/>
        <v>38869</v>
      </c>
      <c r="K8" s="40">
        <f t="shared" ca="1" si="2"/>
        <v>38899</v>
      </c>
      <c r="L8" s="40">
        <f t="shared" ca="1" si="2"/>
        <v>38930</v>
      </c>
      <c r="M8" s="40">
        <f t="shared" ca="1" si="2"/>
        <v>38961</v>
      </c>
      <c r="N8" s="40">
        <f t="shared" ca="1" si="2"/>
        <v>38991</v>
      </c>
      <c r="O8" s="40">
        <f t="shared" ca="1" si="2"/>
        <v>39022</v>
      </c>
      <c r="P8" s="40">
        <f t="shared" ca="1" si="2"/>
        <v>39052</v>
      </c>
      <c r="Q8" s="40">
        <f t="shared" ca="1" si="2"/>
        <v>39083</v>
      </c>
      <c r="R8" s="40">
        <f t="shared" ca="1" si="2"/>
        <v>39114</v>
      </c>
      <c r="S8" s="40">
        <f t="shared" ca="1" si="2"/>
        <v>39142</v>
      </c>
      <c r="T8" s="40">
        <f t="shared" ca="1" si="2"/>
        <v>39173</v>
      </c>
      <c r="U8" s="40">
        <f t="shared" ca="1" si="2"/>
        <v>39203</v>
      </c>
      <c r="V8" s="40">
        <f t="shared" ca="1" si="2"/>
        <v>39234</v>
      </c>
      <c r="W8" s="40">
        <f t="shared" ca="1" si="2"/>
        <v>39264</v>
      </c>
      <c r="X8" s="40">
        <f t="shared" ca="1" si="2"/>
        <v>39295</v>
      </c>
      <c r="Y8" s="40">
        <f t="shared" ca="1" si="2"/>
        <v>39326</v>
      </c>
      <c r="Z8" s="40">
        <f t="shared" ca="1" si="2"/>
        <v>39356</v>
      </c>
      <c r="AA8" s="40">
        <f t="shared" ca="1" si="2"/>
        <v>39387</v>
      </c>
      <c r="AB8" s="40">
        <f t="shared" ca="1" si="2"/>
        <v>39417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0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3" t="s">
        <v>21</v>
      </c>
      <c r="C11" s="175"/>
      <c r="D11" s="174"/>
      <c r="E11" s="48">
        <f ca="1">E9-E10</f>
        <v>0</v>
      </c>
      <c r="F11" s="48">
        <f t="shared" ref="F11:AB11" ca="1" si="6">F9-F10</f>
        <v>1E-3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9"/>
      <c r="C18" s="176"/>
      <c r="D18" s="170"/>
      <c r="E18" s="34">
        <f ca="1">E19-IF(MONTH(E19)=2,IF(OR(YEAR(E19)=2008,YEAR(E19)=2012,YEAR(E19)=2016),29,28),IF(OR(MONTH(E19)=4,MONTH(E19)=6,MONTH(E19)=9,MONTH(E19)=11),30,31))+1</f>
        <v>38718</v>
      </c>
      <c r="F18" s="35">
        <f t="shared" ref="F18:AB18" ca="1" si="7">F19-IF(MONTH(F19)=2,IF(OR(YEAR(F19)=2008,YEAR(F19)=2012,YEAR(F19)=2016),29,28),IF(OR(MONTH(F19)=4,MONTH(F19)=6,MONTH(F19)=9,MONTH(F19)=11),30,31))+1</f>
        <v>38749</v>
      </c>
      <c r="G18" s="35">
        <f t="shared" ca="1" si="7"/>
        <v>38777</v>
      </c>
      <c r="H18" s="35">
        <f t="shared" ca="1" si="7"/>
        <v>38808</v>
      </c>
      <c r="I18" s="35">
        <f t="shared" ca="1" si="7"/>
        <v>38838</v>
      </c>
      <c r="J18" s="35">
        <f t="shared" ca="1" si="7"/>
        <v>38869</v>
      </c>
      <c r="K18" s="35">
        <f t="shared" ca="1" si="7"/>
        <v>38899</v>
      </c>
      <c r="L18" s="35">
        <f t="shared" ca="1" si="7"/>
        <v>38930</v>
      </c>
      <c r="M18" s="35">
        <f t="shared" ca="1" si="7"/>
        <v>38961</v>
      </c>
      <c r="N18" s="35">
        <f t="shared" ca="1" si="7"/>
        <v>38991</v>
      </c>
      <c r="O18" s="35">
        <f t="shared" ca="1" si="7"/>
        <v>39022</v>
      </c>
      <c r="P18" s="35">
        <f t="shared" ca="1" si="7"/>
        <v>39052</v>
      </c>
      <c r="Q18" s="35">
        <f t="shared" ca="1" si="7"/>
        <v>39083</v>
      </c>
      <c r="R18" s="35">
        <f t="shared" ca="1" si="7"/>
        <v>39114</v>
      </c>
      <c r="S18" s="35">
        <f t="shared" ca="1" si="7"/>
        <v>39142</v>
      </c>
      <c r="T18" s="35">
        <f t="shared" ca="1" si="7"/>
        <v>39173</v>
      </c>
      <c r="U18" s="35">
        <f t="shared" ca="1" si="7"/>
        <v>39203</v>
      </c>
      <c r="V18" s="35">
        <f t="shared" ca="1" si="7"/>
        <v>39234</v>
      </c>
      <c r="W18" s="35">
        <f t="shared" ca="1" si="7"/>
        <v>39264</v>
      </c>
      <c r="X18" s="35">
        <f t="shared" ca="1" si="7"/>
        <v>39295</v>
      </c>
      <c r="Y18" s="35">
        <f t="shared" ca="1" si="7"/>
        <v>39326</v>
      </c>
      <c r="Z18" s="35">
        <f t="shared" ca="1" si="7"/>
        <v>39356</v>
      </c>
      <c r="AA18" s="35">
        <f t="shared" ca="1" si="7"/>
        <v>39387</v>
      </c>
      <c r="AB18" s="35">
        <f t="shared" ca="1" si="7"/>
        <v>39417</v>
      </c>
    </row>
    <row r="19" spans="2:29" ht="15.75" thickBot="1" x14ac:dyDescent="0.25">
      <c r="B19" s="171"/>
      <c r="C19" s="177"/>
      <c r="D19" s="172"/>
      <c r="E19" s="36">
        <f t="shared" ref="E19" ca="1" si="8">F18-1</f>
        <v>38748</v>
      </c>
      <c r="F19" s="37">
        <f t="shared" ref="F19" ca="1" si="9">G18-1</f>
        <v>38776</v>
      </c>
      <c r="G19" s="37">
        <f t="shared" ref="G19" ca="1" si="10">H18-1</f>
        <v>38807</v>
      </c>
      <c r="H19" s="37">
        <f t="shared" ref="H19" ca="1" si="11">I18-1</f>
        <v>38837</v>
      </c>
      <c r="I19" s="37">
        <f t="shared" ref="I19" ca="1" si="12">J18-1</f>
        <v>38868</v>
      </c>
      <c r="J19" s="37">
        <f t="shared" ref="J19" ca="1" si="13">K18-1</f>
        <v>38898</v>
      </c>
      <c r="K19" s="37">
        <f t="shared" ref="K19" ca="1" si="14">L18-1</f>
        <v>38929</v>
      </c>
      <c r="L19" s="37">
        <f t="shared" ref="L19" ca="1" si="15">M18-1</f>
        <v>38960</v>
      </c>
      <c r="M19" s="37">
        <f t="shared" ref="M19" ca="1" si="16">N18-1</f>
        <v>38990</v>
      </c>
      <c r="N19" s="37">
        <f t="shared" ref="N19" ca="1" si="17">O18-1</f>
        <v>39021</v>
      </c>
      <c r="O19" s="37">
        <f t="shared" ref="O19" ca="1" si="18">P18-1</f>
        <v>39051</v>
      </c>
      <c r="P19" s="37">
        <f t="shared" ref="P19" ca="1" si="19">Q18-1</f>
        <v>39082</v>
      </c>
      <c r="Q19" s="37">
        <f t="shared" ref="Q19" ca="1" si="20">R18-1</f>
        <v>39113</v>
      </c>
      <c r="R19" s="37">
        <f t="shared" ref="R19" ca="1" si="21">S18-1</f>
        <v>39141</v>
      </c>
      <c r="S19" s="37">
        <f t="shared" ref="S19" ca="1" si="22">T18-1</f>
        <v>39172</v>
      </c>
      <c r="T19" s="37">
        <f t="shared" ref="T19" ca="1" si="23">U18-1</f>
        <v>39202</v>
      </c>
      <c r="U19" s="37">
        <f t="shared" ref="U19" ca="1" si="24">V18-1</f>
        <v>39233</v>
      </c>
      <c r="V19" s="37">
        <f t="shared" ref="V19" ca="1" si="25">W18-1</f>
        <v>39263</v>
      </c>
      <c r="W19" s="37">
        <f t="shared" ref="W19" ca="1" si="26">X18-1</f>
        <v>39294</v>
      </c>
      <c r="X19" s="37">
        <f t="shared" ref="X19" ca="1" si="27">Y18-1</f>
        <v>39325</v>
      </c>
      <c r="Y19" s="37">
        <f t="shared" ref="Y19" ca="1" si="28">Z18-1</f>
        <v>39355</v>
      </c>
      <c r="Z19" s="37">
        <f t="shared" ref="Z19" ca="1" si="29">AA18-1</f>
        <v>39386</v>
      </c>
      <c r="AA19" s="37">
        <f t="shared" ref="AA19" ca="1" si="30">AB18-1</f>
        <v>39416</v>
      </c>
      <c r="AB19" s="37">
        <f ca="1">D15</f>
        <v>39447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38718</v>
      </c>
      <c r="F20" s="39">
        <f t="shared" ca="1" si="31"/>
        <v>38749</v>
      </c>
      <c r="G20" s="39">
        <f t="shared" ca="1" si="31"/>
        <v>38777</v>
      </c>
      <c r="H20" s="40">
        <f t="shared" ca="1" si="31"/>
        <v>38808</v>
      </c>
      <c r="I20" s="40">
        <f t="shared" ca="1" si="31"/>
        <v>38838</v>
      </c>
      <c r="J20" s="40">
        <f t="shared" ca="1" si="31"/>
        <v>38869</v>
      </c>
      <c r="K20" s="40">
        <f t="shared" ca="1" si="31"/>
        <v>38899</v>
      </c>
      <c r="L20" s="40">
        <f t="shared" ca="1" si="31"/>
        <v>38930</v>
      </c>
      <c r="M20" s="40">
        <f t="shared" ca="1" si="31"/>
        <v>38961</v>
      </c>
      <c r="N20" s="40">
        <f t="shared" ca="1" si="31"/>
        <v>38991</v>
      </c>
      <c r="O20" s="40">
        <f t="shared" ca="1" si="31"/>
        <v>39022</v>
      </c>
      <c r="P20" s="40">
        <f t="shared" ca="1" si="31"/>
        <v>39052</v>
      </c>
      <c r="Q20" s="40">
        <f t="shared" ca="1" si="31"/>
        <v>39083</v>
      </c>
      <c r="R20" s="40">
        <f t="shared" ca="1" si="31"/>
        <v>39114</v>
      </c>
      <c r="S20" s="40">
        <f t="shared" ca="1" si="31"/>
        <v>39142</v>
      </c>
      <c r="T20" s="40">
        <f t="shared" ca="1" si="31"/>
        <v>39173</v>
      </c>
      <c r="U20" s="40">
        <f t="shared" ca="1" si="31"/>
        <v>39203</v>
      </c>
      <c r="V20" s="40">
        <f t="shared" ca="1" si="31"/>
        <v>39234</v>
      </c>
      <c r="W20" s="40">
        <f t="shared" ca="1" si="31"/>
        <v>39264</v>
      </c>
      <c r="X20" s="40">
        <f t="shared" ca="1" si="31"/>
        <v>39295</v>
      </c>
      <c r="Y20" s="40">
        <f t="shared" ca="1" si="31"/>
        <v>39326</v>
      </c>
      <c r="Z20" s="40">
        <f t="shared" ca="1" si="31"/>
        <v>39356</v>
      </c>
      <c r="AA20" s="40">
        <f t="shared" ca="1" si="31"/>
        <v>39387</v>
      </c>
      <c r="AB20" s="40">
        <f t="shared" ca="1" si="31"/>
        <v>39417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0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9"/>
      <c r="D6" s="170"/>
      <c r="E6" s="34">
        <f ca="1">E7-IF(MONTH(E7)=2,IF(OR(YEAR(E7)=2008,YEAR(E7)=2012,YEAR(E7)=2016),29,28),IF(OR(MONTH(E7)=4,MONTH(E7)=6,MONTH(E7)=9,MONTH(E7)=11),30,31))+1</f>
        <v>41640</v>
      </c>
      <c r="F6" s="35">
        <f t="shared" ref="F6:AB6" ca="1" si="0">F7-IF(MONTH(F7)=2,IF(OR(YEAR(F7)=2008,YEAR(F7)=2012,YEAR(F7)=2016),29,28),IF(OR(MONTH(F7)=4,MONTH(F7)=6,MONTH(F7)=9,MONTH(F7)=11),30,31))+1</f>
        <v>41671</v>
      </c>
      <c r="G6" s="35">
        <f t="shared" ca="1" si="0"/>
        <v>41699</v>
      </c>
      <c r="H6" s="35">
        <f t="shared" ca="1" si="0"/>
        <v>41730</v>
      </c>
      <c r="I6" s="35">
        <f t="shared" ca="1" si="0"/>
        <v>41760</v>
      </c>
      <c r="J6" s="35">
        <f t="shared" ca="1" si="0"/>
        <v>41791</v>
      </c>
      <c r="K6" s="35">
        <f t="shared" ca="1" si="0"/>
        <v>41821</v>
      </c>
      <c r="L6" s="35">
        <f t="shared" ca="1" si="0"/>
        <v>41852</v>
      </c>
      <c r="M6" s="35">
        <f t="shared" ca="1" si="0"/>
        <v>41883</v>
      </c>
      <c r="N6" s="35">
        <f t="shared" ca="1" si="0"/>
        <v>41913</v>
      </c>
      <c r="O6" s="35">
        <f t="shared" ca="1" si="0"/>
        <v>41944</v>
      </c>
      <c r="P6" s="35">
        <f t="shared" ca="1" si="0"/>
        <v>41974</v>
      </c>
      <c r="Q6" s="35">
        <f t="shared" ca="1" si="0"/>
        <v>42005</v>
      </c>
      <c r="R6" s="35">
        <f t="shared" ca="1" si="0"/>
        <v>42036</v>
      </c>
      <c r="S6" s="35">
        <f t="shared" ca="1" si="0"/>
        <v>42064</v>
      </c>
      <c r="T6" s="35">
        <f t="shared" ca="1" si="0"/>
        <v>42095</v>
      </c>
      <c r="U6" s="35">
        <f t="shared" ca="1" si="0"/>
        <v>42125</v>
      </c>
      <c r="V6" s="35">
        <f t="shared" ca="1" si="0"/>
        <v>42156</v>
      </c>
      <c r="W6" s="35">
        <f t="shared" ca="1" si="0"/>
        <v>42186</v>
      </c>
      <c r="X6" s="35">
        <f t="shared" ca="1" si="0"/>
        <v>42217</v>
      </c>
      <c r="Y6" s="35">
        <f t="shared" ca="1" si="0"/>
        <v>42248</v>
      </c>
      <c r="Z6" s="35">
        <f t="shared" ca="1" si="0"/>
        <v>42278</v>
      </c>
      <c r="AA6" s="35">
        <f t="shared" ca="1" si="0"/>
        <v>42309</v>
      </c>
      <c r="AB6" s="35">
        <f t="shared" ca="1" si="0"/>
        <v>42339</v>
      </c>
    </row>
    <row r="7" spans="1:30" s="29" customFormat="1" ht="15" customHeight="1" thickBot="1" x14ac:dyDescent="0.25">
      <c r="A7" s="21"/>
      <c r="B7" s="146"/>
      <c r="C7" s="171"/>
      <c r="D7" s="172"/>
      <c r="E7" s="36">
        <f t="shared" ref="E7:AA7" ca="1" si="1">F6-1</f>
        <v>41670</v>
      </c>
      <c r="F7" s="37">
        <f t="shared" ca="1" si="1"/>
        <v>41698</v>
      </c>
      <c r="G7" s="37">
        <f t="shared" ca="1" si="1"/>
        <v>41729</v>
      </c>
      <c r="H7" s="37">
        <f t="shared" ca="1" si="1"/>
        <v>41759</v>
      </c>
      <c r="I7" s="37">
        <f t="shared" ca="1" si="1"/>
        <v>41790</v>
      </c>
      <c r="J7" s="37">
        <f t="shared" ca="1" si="1"/>
        <v>41820</v>
      </c>
      <c r="K7" s="37">
        <f t="shared" ca="1" si="1"/>
        <v>41851</v>
      </c>
      <c r="L7" s="37">
        <f t="shared" ca="1" si="1"/>
        <v>41882</v>
      </c>
      <c r="M7" s="37">
        <f t="shared" ca="1" si="1"/>
        <v>41912</v>
      </c>
      <c r="N7" s="37">
        <f t="shared" ca="1" si="1"/>
        <v>41943</v>
      </c>
      <c r="O7" s="37">
        <f t="shared" ca="1" si="1"/>
        <v>41973</v>
      </c>
      <c r="P7" s="37">
        <f t="shared" ca="1" si="1"/>
        <v>42004</v>
      </c>
      <c r="Q7" s="37">
        <f t="shared" ca="1" si="1"/>
        <v>42035</v>
      </c>
      <c r="R7" s="37">
        <f t="shared" ca="1" si="1"/>
        <v>42063</v>
      </c>
      <c r="S7" s="37">
        <f t="shared" ca="1" si="1"/>
        <v>42094</v>
      </c>
      <c r="T7" s="37">
        <f t="shared" ca="1" si="1"/>
        <v>42124</v>
      </c>
      <c r="U7" s="37">
        <f t="shared" ca="1" si="1"/>
        <v>42155</v>
      </c>
      <c r="V7" s="37">
        <f t="shared" ca="1" si="1"/>
        <v>42185</v>
      </c>
      <c r="W7" s="37">
        <f t="shared" ca="1" si="1"/>
        <v>42216</v>
      </c>
      <c r="X7" s="37">
        <f t="shared" ca="1" si="1"/>
        <v>42247</v>
      </c>
      <c r="Y7" s="37">
        <f t="shared" ca="1" si="1"/>
        <v>42277</v>
      </c>
      <c r="Z7" s="37">
        <f t="shared" ca="1" si="1"/>
        <v>42308</v>
      </c>
      <c r="AA7" s="37">
        <f t="shared" ca="1" si="1"/>
        <v>42338</v>
      </c>
      <c r="AB7" s="37">
        <f ca="1">D3</f>
        <v>42369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41640</v>
      </c>
      <c r="F8" s="147">
        <f t="shared" ca="1" si="2"/>
        <v>41671</v>
      </c>
      <c r="G8" s="147">
        <f t="shared" ca="1" si="2"/>
        <v>41699</v>
      </c>
      <c r="H8" s="147">
        <f t="shared" ca="1" si="2"/>
        <v>41730</v>
      </c>
      <c r="I8" s="147">
        <f t="shared" ca="1" si="2"/>
        <v>41760</v>
      </c>
      <c r="J8" s="147">
        <f t="shared" ca="1" si="2"/>
        <v>41791</v>
      </c>
      <c r="K8" s="147">
        <f t="shared" ca="1" si="2"/>
        <v>41821</v>
      </c>
      <c r="L8" s="147">
        <f t="shared" ca="1" si="2"/>
        <v>41852</v>
      </c>
      <c r="M8" s="147">
        <f t="shared" ca="1" si="2"/>
        <v>41883</v>
      </c>
      <c r="N8" s="147">
        <f t="shared" ca="1" si="2"/>
        <v>41913</v>
      </c>
      <c r="O8" s="147">
        <f t="shared" ca="1" si="2"/>
        <v>41944</v>
      </c>
      <c r="P8" s="147">
        <f t="shared" ca="1" si="2"/>
        <v>41974</v>
      </c>
      <c r="Q8" s="147">
        <f t="shared" ca="1" si="2"/>
        <v>42005</v>
      </c>
      <c r="R8" s="147">
        <f t="shared" ca="1" si="2"/>
        <v>42036</v>
      </c>
      <c r="S8" s="147">
        <f t="shared" ca="1" si="2"/>
        <v>42064</v>
      </c>
      <c r="T8" s="147">
        <f t="shared" ca="1" si="2"/>
        <v>42095</v>
      </c>
      <c r="U8" s="147">
        <f t="shared" ca="1" si="2"/>
        <v>42125</v>
      </c>
      <c r="V8" s="147">
        <f t="shared" ca="1" si="2"/>
        <v>42156</v>
      </c>
      <c r="W8" s="147">
        <f t="shared" ca="1" si="2"/>
        <v>42186</v>
      </c>
      <c r="X8" s="147">
        <f t="shared" ca="1" si="2"/>
        <v>42217</v>
      </c>
      <c r="Y8" s="147">
        <f t="shared" ca="1" si="2"/>
        <v>42248</v>
      </c>
      <c r="Z8" s="147">
        <f t="shared" ca="1" si="2"/>
        <v>42278</v>
      </c>
      <c r="AA8" s="147">
        <f t="shared" ca="1" si="2"/>
        <v>42309</v>
      </c>
      <c r="AB8" s="147">
        <f t="shared" ca="1" si="2"/>
        <v>42339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Model výnosů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2019-11-11T07:04:15Z</dcterms:modified>
</cp:coreProperties>
</file>