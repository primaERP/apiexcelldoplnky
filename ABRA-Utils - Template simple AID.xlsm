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48BD6DC-7563-41CE-B638-C05B8687A494}" xr6:coauthVersionLast="45" xr6:coauthVersionMax="45" xr10:uidLastSave="{00000000-0000-0000-0000-000000000000}"/>
  <bookViews>
    <workbookView xWindow="-28920" yWindow="-8580" windowWidth="29040" windowHeight="15840" tabRatio="674" activeTab="3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0" l="1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10" i="9"/>
  <c r="D9" i="9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7" i="11"/>
  <c r="E6" i="11"/>
  <c r="E9" i="11"/>
  <c r="Q10" i="11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M8" i="10"/>
  <c r="F1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E10" i="11"/>
  <c r="F10" i="11"/>
  <c r="G10" i="11"/>
  <c r="H10" i="11"/>
  <c r="I10" i="11"/>
  <c r="J10" i="11"/>
  <c r="K10" i="11"/>
  <c r="L10" i="11"/>
  <c r="M10" i="11"/>
  <c r="N10" i="11"/>
  <c r="O10" i="11"/>
  <c r="P10" i="11"/>
  <c r="R10" i="11"/>
  <c r="S10" i="11"/>
  <c r="T10" i="11"/>
  <c r="U10" i="11"/>
  <c r="V10" i="11"/>
  <c r="W10" i="11"/>
  <c r="X10" i="11"/>
  <c r="Y10" i="11"/>
  <c r="Z10" i="11"/>
  <c r="AA10" i="11"/>
  <c r="AB10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<sst xmlns="http://schemas.openxmlformats.org/spreadsheetml/2006/main" count="122" uniqueCount="78">
  <si>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</si>
  <si>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</si>
  <si>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</si>
  <si>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</si>
  <si>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</si>
  <si>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</si>
  <si>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</si>
  <si>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</si>
  <si>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</si>
  <si>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</si>
  <si>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</si>
  <si>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</si>
  <si>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</si>
  <si>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</si>
  <si>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</si>
  <si>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</si>
  <si>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</si>
  <si>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</si>
  <si>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</si>
  <si>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</si>
  <si>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</si>
  <si>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</si>
  <si>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</si>
  <si>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</si>
  <si>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</si>
  <si>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</si>
  <si>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</si>
  <si>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</si>
  <si>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</si>
  <si>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</si>
  <si>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</si>
  <si>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</si>
  <si>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</si>
  <si>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</si>
  <si>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</si>
  <si>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</si>
  <si>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</si>
  <si>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</si>
  <si>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</si>
  <si>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</si>
  <si>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</si>
  <si>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</si>
  <si>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</si>
  <si>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</si>
  <si>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</si>
  <si>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</si>
  <si>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</si>
  <si>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</si>
  <si>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</si>
  <si>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</si>
  <si>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</si>
  <si>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</si>
  <si>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</si>
  <si>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</si>
  <si>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</si>
  <si>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</si>
  <si>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</si>
  <si>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</si>
  <si>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</si>
  <si>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</si>
  <si>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</si>
  <si>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</si>
  <si>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</si>
  <si>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</si>
  <si>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</si>
  <si>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</si>
  <si>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</si>
  <si>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</si>
  <si>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</si>
  <si>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</si>
  <si>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</si>
  <si>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</si>
  <si>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</si>
  <si>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Hardware</t>
  </si>
  <si>
    <t>Software</t>
  </si>
  <si>
    <t>Skladové menu</t>
  </si>
  <si>
    <t>http://localhost/data</t>
  </si>
  <si>
    <t>Supervisor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</si>
</sst>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318.40800000000002</c:v>
                </c:pt>
                <c:pt idx="1">
                  <c:v>180.39099999999999</c:v>
                </c:pt>
                <c:pt idx="2">
                  <c:v>183.04</c:v>
                </c:pt>
                <c:pt idx="3">
                  <c:v>180.33699999999999</c:v>
                </c:pt>
                <c:pt idx="4">
                  <c:v>181.661</c:v>
                </c:pt>
                <c:pt idx="5">
                  <c:v>183.36779999999999</c:v>
                </c:pt>
                <c:pt idx="6">
                  <c:v>-744.59593000000007</c:v>
                </c:pt>
                <c:pt idx="7">
                  <c:v>180.38900000000001</c:v>
                </c:pt>
                <c:pt idx="8">
                  <c:v>182.37299999999999</c:v>
                </c:pt>
                <c:pt idx="9">
                  <c:v>180.38900000000001</c:v>
                </c:pt>
                <c:pt idx="10">
                  <c:v>180.38900000000001</c:v>
                </c:pt>
                <c:pt idx="11">
                  <c:v>182.7088</c:v>
                </c:pt>
                <c:pt idx="12">
                  <c:v>30</c:v>
                </c:pt>
                <c:pt idx="13">
                  <c:v>0.95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38.283999999999999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1221.7096999999999</c:v>
                </c:pt>
                <c:pt idx="1">
                  <c:v>0</c:v>
                </c:pt>
                <c:pt idx="2">
                  <c:v>139.49600000000001</c:v>
                </c:pt>
                <c:pt idx="3">
                  <c:v>-10</c:v>
                </c:pt>
                <c:pt idx="4">
                  <c:v>1669.1696999999999</c:v>
                </c:pt>
                <c:pt idx="5">
                  <c:v>0</c:v>
                </c:pt>
                <c:pt idx="6">
                  <c:v>387.47520000000003</c:v>
                </c:pt>
                <c:pt idx="7">
                  <c:v>1751.3288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0.72269000000000005</c:v>
                </c:pt>
                <c:pt idx="21">
                  <c:v>0</c:v>
                </c:pt>
                <c:pt idx="22">
                  <c:v>0</c:v>
                </c:pt>
                <c:pt idx="23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1458.09167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5160.8520899999994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658.26700000000005</c:v>
                </c:pt>
                <c:pt idx="1">
                  <c:v>658.26700000000005</c:v>
                </c:pt>
                <c:pt idx="2">
                  <c:v>658.26700000000005</c:v>
                </c:pt>
                <c:pt idx="3">
                  <c:v>648.26700000000005</c:v>
                </c:pt>
                <c:pt idx="4">
                  <c:v>738.00100000000009</c:v>
                </c:pt>
                <c:pt idx="5">
                  <c:v>746.54550000000006</c:v>
                </c:pt>
                <c:pt idx="6">
                  <c:v>714.26050000000009</c:v>
                </c:pt>
                <c:pt idx="7">
                  <c:v>754.59992000000011</c:v>
                </c:pt>
                <c:pt idx="8">
                  <c:v>1504.65292</c:v>
                </c:pt>
                <c:pt idx="9">
                  <c:v>1504.65292</c:v>
                </c:pt>
                <c:pt idx="10">
                  <c:v>1504.65292</c:v>
                </c:pt>
                <c:pt idx="11">
                  <c:v>1504.65292</c:v>
                </c:pt>
                <c:pt idx="12">
                  <c:v>1504.7529199999999</c:v>
                </c:pt>
                <c:pt idx="13">
                  <c:v>1504.7529199999999</c:v>
                </c:pt>
                <c:pt idx="14">
                  <c:v>1504.7529199999999</c:v>
                </c:pt>
                <c:pt idx="15">
                  <c:v>1504.7529199999999</c:v>
                </c:pt>
                <c:pt idx="16">
                  <c:v>1504.7529199999999</c:v>
                </c:pt>
                <c:pt idx="17">
                  <c:v>1504.7529199999999</c:v>
                </c:pt>
                <c:pt idx="18">
                  <c:v>1504.7529199999999</c:v>
                </c:pt>
                <c:pt idx="19">
                  <c:v>1504.7529199999999</c:v>
                </c:pt>
                <c:pt idx="20">
                  <c:v>1505.6099499999998</c:v>
                </c:pt>
                <c:pt idx="21">
                  <c:v>1505.6099499999998</c:v>
                </c:pt>
                <c:pt idx="22">
                  <c:v>1505.6099499999998</c:v>
                </c:pt>
                <c:pt idx="23">
                  <c:v>1505.6099499999998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2354.6305499999999</c:v>
                </c:pt>
                <c:pt idx="1">
                  <c:v>2354.6305499999999</c:v>
                </c:pt>
                <c:pt idx="2">
                  <c:v>2354.6305499999999</c:v>
                </c:pt>
                <c:pt idx="3">
                  <c:v>2494.12655</c:v>
                </c:pt>
                <c:pt idx="4">
                  <c:v>2544.3258299999998</c:v>
                </c:pt>
                <c:pt idx="5">
                  <c:v>2461.4535299999998</c:v>
                </c:pt>
                <c:pt idx="6">
                  <c:v>3799.8824599999998</c:v>
                </c:pt>
                <c:pt idx="7">
                  <c:v>4999.8824599999998</c:v>
                </c:pt>
                <c:pt idx="8">
                  <c:v>4999.8824599999998</c:v>
                </c:pt>
                <c:pt idx="9">
                  <c:v>4999.8824599999998</c:v>
                </c:pt>
                <c:pt idx="10">
                  <c:v>4999.8824599999998</c:v>
                </c:pt>
                <c:pt idx="11">
                  <c:v>4999.8824599999998</c:v>
                </c:pt>
                <c:pt idx="12">
                  <c:v>4999.8824599999998</c:v>
                </c:pt>
                <c:pt idx="13">
                  <c:v>4999.8824599999998</c:v>
                </c:pt>
                <c:pt idx="14">
                  <c:v>4999.8824599999998</c:v>
                </c:pt>
                <c:pt idx="15">
                  <c:v>4999.8824599999998</c:v>
                </c:pt>
                <c:pt idx="16">
                  <c:v>4999.8824599999998</c:v>
                </c:pt>
                <c:pt idx="17">
                  <c:v>4999.8824599999998</c:v>
                </c:pt>
                <c:pt idx="18">
                  <c:v>4999.8824599999998</c:v>
                </c:pt>
                <c:pt idx="19">
                  <c:v>4999.8824599999998</c:v>
                </c:pt>
                <c:pt idx="20">
                  <c:v>4999.8824599999998</c:v>
                </c:pt>
                <c:pt idx="21">
                  <c:v>4999.8824599999998</c:v>
                </c:pt>
                <c:pt idx="22">
                  <c:v>4999.8824599999998</c:v>
                </c:pt>
                <c:pt idx="23">
                  <c:v>4999.8824599999998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68989.875189999992</c:v>
                </c:pt>
                <c:pt idx="1">
                  <c:v>68261.860010000004</c:v>
                </c:pt>
                <c:pt idx="2">
                  <c:v>68391.360010000004</c:v>
                </c:pt>
                <c:pt idx="3">
                  <c:v>68660.026559999998</c:v>
                </c:pt>
                <c:pt idx="4">
                  <c:v>69207.866560000009</c:v>
                </c:pt>
                <c:pt idx="5">
                  <c:v>67932.018459999992</c:v>
                </c:pt>
                <c:pt idx="6">
                  <c:v>67932.018459999992</c:v>
                </c:pt>
                <c:pt idx="7">
                  <c:v>67654.501480000006</c:v>
                </c:pt>
                <c:pt idx="8">
                  <c:v>65845.101479999998</c:v>
                </c:pt>
                <c:pt idx="9">
                  <c:v>65845.101479999998</c:v>
                </c:pt>
                <c:pt idx="10">
                  <c:v>65845.101479999998</c:v>
                </c:pt>
                <c:pt idx="11">
                  <c:v>65845.101479999998</c:v>
                </c:pt>
                <c:pt idx="12">
                  <c:v>65845.101479999998</c:v>
                </c:pt>
                <c:pt idx="13">
                  <c:v>65845.101479999998</c:v>
                </c:pt>
                <c:pt idx="14">
                  <c:v>65845.101479999998</c:v>
                </c:pt>
                <c:pt idx="15">
                  <c:v>65845.101479999998</c:v>
                </c:pt>
                <c:pt idx="16">
                  <c:v>65845.101479999998</c:v>
                </c:pt>
                <c:pt idx="17">
                  <c:v>65845.101479999998</c:v>
                </c:pt>
                <c:pt idx="18">
                  <c:v>65845.101479999998</c:v>
                </c:pt>
                <c:pt idx="19">
                  <c:v>65757.072050000002</c:v>
                </c:pt>
                <c:pt idx="20">
                  <c:v>66089.90148</c:v>
                </c:pt>
                <c:pt idx="21">
                  <c:v>66811.701189999992</c:v>
                </c:pt>
                <c:pt idx="22">
                  <c:v>66811.701189999992</c:v>
                </c:pt>
                <c:pt idx="23">
                  <c:v>66811.701189999992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102.708</c:v>
                </c:pt>
                <c:pt idx="1">
                  <c:v>102.685</c:v>
                </c:pt>
                <c:pt idx="2">
                  <c:v>102.71</c:v>
                </c:pt>
                <c:pt idx="3">
                  <c:v>102.991</c:v>
                </c:pt>
                <c:pt idx="4">
                  <c:v>103.077</c:v>
                </c:pt>
                <c:pt idx="5">
                  <c:v>102.877</c:v>
                </c:pt>
                <c:pt idx="6">
                  <c:v>102.877</c:v>
                </c:pt>
                <c:pt idx="7">
                  <c:v>102.837</c:v>
                </c:pt>
                <c:pt idx="8">
                  <c:v>102.76300000000001</c:v>
                </c:pt>
                <c:pt idx="9">
                  <c:v>102.76300000000001</c:v>
                </c:pt>
                <c:pt idx="10">
                  <c:v>102.76300000000001</c:v>
                </c:pt>
                <c:pt idx="11">
                  <c:v>102.76300000000001</c:v>
                </c:pt>
                <c:pt idx="12">
                  <c:v>102.76300000000001</c:v>
                </c:pt>
                <c:pt idx="13">
                  <c:v>102.76300000000001</c:v>
                </c:pt>
                <c:pt idx="14">
                  <c:v>102.76300000000001</c:v>
                </c:pt>
                <c:pt idx="15">
                  <c:v>102.76300000000001</c:v>
                </c:pt>
                <c:pt idx="16">
                  <c:v>102.76300000000001</c:v>
                </c:pt>
                <c:pt idx="17">
                  <c:v>102.76300000000001</c:v>
                </c:pt>
                <c:pt idx="18">
                  <c:v>102.76300000000001</c:v>
                </c:pt>
                <c:pt idx="19">
                  <c:v>102.7045</c:v>
                </c:pt>
                <c:pt idx="20">
                  <c:v>102.8485</c:v>
                </c:pt>
                <c:pt idx="21">
                  <c:v>106.8121455</c:v>
                </c:pt>
                <c:pt idx="22">
                  <c:v>106.8121455</c:v>
                </c:pt>
                <c:pt idx="23">
                  <c:v>106.8121455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84.168199999999999</c:v>
                </c:pt>
                <c:pt idx="1">
                  <c:v>129.5</c:v>
                </c:pt>
                <c:pt idx="2">
                  <c:v>101.33345</c:v>
                </c:pt>
                <c:pt idx="3">
                  <c:v>547.84</c:v>
                </c:pt>
                <c:pt idx="4">
                  <c:v>580.6481</c:v>
                </c:pt>
                <c:pt idx="5">
                  <c:v>0</c:v>
                </c:pt>
                <c:pt idx="6">
                  <c:v>277.51697999999999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141.53457999999998</c:v>
                </c:pt>
                <c:pt idx="19">
                  <c:v>176.05885999999998</c:v>
                </c:pt>
                <c:pt idx="20">
                  <c:v>475.87477000000001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11899.966980000001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</c:v>
                </c:pt>
                <c:pt idx="5">
                  <c:v>0</c:v>
                </c:pt>
                <c:pt idx="6">
                  <c:v>0</c:v>
                </c:pt>
                <c:pt idx="7">
                  <c:v>1200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1221.7096999999999</c:v>
                </c:pt>
                <c:pt idx="1">
                  <c:v>0</c:v>
                </c:pt>
                <c:pt idx="2">
                  <c:v>139.49600000000001</c:v>
                </c:pt>
                <c:pt idx="3">
                  <c:v>-10</c:v>
                </c:pt>
                <c:pt idx="4">
                  <c:v>1669.0029199999999</c:v>
                </c:pt>
                <c:pt idx="5">
                  <c:v>0</c:v>
                </c:pt>
                <c:pt idx="6">
                  <c:v>387.47500000000002</c:v>
                </c:pt>
                <c:pt idx="7">
                  <c:v>1638.7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0.72269000000000005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32</c:v>
                </c:pt>
                <c:pt idx="1">
                  <c:v>0</c:v>
                </c:pt>
                <c:pt idx="2">
                  <c:v>19</c:v>
                </c:pt>
                <c:pt idx="3">
                  <c:v>-1</c:v>
                </c:pt>
                <c:pt idx="4">
                  <c:v>200</c:v>
                </c:pt>
                <c:pt idx="5">
                  <c:v>0</c:v>
                </c:pt>
                <c:pt idx="6">
                  <c:v>40</c:v>
                </c:pt>
                <c:pt idx="7">
                  <c:v>74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71.988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3.14005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68.847949999999997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154.10499999999999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35.700000000000003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154.10499999999999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25.7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  <c:pt idx="3">
                  <c:v>14.692</c:v>
                </c:pt>
                <c:pt idx="4">
                  <c:v>14.692</c:v>
                </c:pt>
                <c:pt idx="5">
                  <c:v>14.692</c:v>
                </c:pt>
                <c:pt idx="6">
                  <c:v>14.691000000000001</c:v>
                </c:pt>
                <c:pt idx="7">
                  <c:v>14.691000000000001</c:v>
                </c:pt>
                <c:pt idx="8">
                  <c:v>14.691000000000001</c:v>
                </c:pt>
                <c:pt idx="9">
                  <c:v>14.691000000000001</c:v>
                </c:pt>
                <c:pt idx="10">
                  <c:v>14.691000000000001</c:v>
                </c:pt>
                <c:pt idx="11">
                  <c:v>14.691000000000001</c:v>
                </c:pt>
                <c:pt idx="12">
                  <c:v>12.766</c:v>
                </c:pt>
                <c:pt idx="13">
                  <c:v>12.766</c:v>
                </c:pt>
                <c:pt idx="14">
                  <c:v>12.766</c:v>
                </c:pt>
                <c:pt idx="15">
                  <c:v>12.765000000000001</c:v>
                </c:pt>
                <c:pt idx="16">
                  <c:v>12.763999999999999</c:v>
                </c:pt>
                <c:pt idx="17">
                  <c:v>12.763999999999999</c:v>
                </c:pt>
                <c:pt idx="18">
                  <c:v>12.763999999999999</c:v>
                </c:pt>
                <c:pt idx="19">
                  <c:v>12.763999999999999</c:v>
                </c:pt>
                <c:pt idx="20">
                  <c:v>12.763999999999999</c:v>
                </c:pt>
                <c:pt idx="21">
                  <c:v>12.763999999999999</c:v>
                </c:pt>
                <c:pt idx="22">
                  <c:v>12.763999999999999</c:v>
                </c:pt>
                <c:pt idx="23">
                  <c:v>12.763999999999999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  <c:pt idx="3">
                  <c:v>14.692</c:v>
                </c:pt>
                <c:pt idx="4">
                  <c:v>14.692</c:v>
                </c:pt>
                <c:pt idx="5">
                  <c:v>14.692</c:v>
                </c:pt>
                <c:pt idx="6">
                  <c:v>14.691000000000001</c:v>
                </c:pt>
                <c:pt idx="7">
                  <c:v>14.691000000000001</c:v>
                </c:pt>
                <c:pt idx="8">
                  <c:v>14.691000000000001</c:v>
                </c:pt>
                <c:pt idx="9">
                  <c:v>14.691000000000001</c:v>
                </c:pt>
                <c:pt idx="10">
                  <c:v>14.691000000000001</c:v>
                </c:pt>
                <c:pt idx="11">
                  <c:v>14.691000000000001</c:v>
                </c:pt>
                <c:pt idx="12">
                  <c:v>12.766</c:v>
                </c:pt>
                <c:pt idx="13">
                  <c:v>12.766</c:v>
                </c:pt>
                <c:pt idx="14">
                  <c:v>12.766</c:v>
                </c:pt>
                <c:pt idx="15">
                  <c:v>12.765000000000001</c:v>
                </c:pt>
                <c:pt idx="16">
                  <c:v>12.763999999999999</c:v>
                </c:pt>
                <c:pt idx="17">
                  <c:v>12.763999999999999</c:v>
                </c:pt>
                <c:pt idx="18">
                  <c:v>12.763999999999999</c:v>
                </c:pt>
                <c:pt idx="19">
                  <c:v>12.763999999999999</c:v>
                </c:pt>
                <c:pt idx="20">
                  <c:v>12.763999999999999</c:v>
                </c:pt>
                <c:pt idx="21">
                  <c:v>12.763999999999999</c:v>
                </c:pt>
                <c:pt idx="22">
                  <c:v>12.763999999999999</c:v>
                </c:pt>
                <c:pt idx="23">
                  <c:v>12.763999999999999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  <c:pt idx="3">
                  <c:v>2265</c:v>
                </c:pt>
                <c:pt idx="4">
                  <c:v>2265</c:v>
                </c:pt>
                <c:pt idx="5">
                  <c:v>2265</c:v>
                </c:pt>
                <c:pt idx="6">
                  <c:v>2265</c:v>
                </c:pt>
                <c:pt idx="7">
                  <c:v>2265</c:v>
                </c:pt>
                <c:pt idx="8">
                  <c:v>2265</c:v>
                </c:pt>
                <c:pt idx="9">
                  <c:v>2265</c:v>
                </c:pt>
                <c:pt idx="10">
                  <c:v>2265</c:v>
                </c:pt>
                <c:pt idx="11">
                  <c:v>2265</c:v>
                </c:pt>
                <c:pt idx="12">
                  <c:v>2265</c:v>
                </c:pt>
                <c:pt idx="13">
                  <c:v>2265</c:v>
                </c:pt>
                <c:pt idx="14">
                  <c:v>2265</c:v>
                </c:pt>
                <c:pt idx="15">
                  <c:v>2265</c:v>
                </c:pt>
                <c:pt idx="16">
                  <c:v>2265</c:v>
                </c:pt>
                <c:pt idx="17">
                  <c:v>2265</c:v>
                </c:pt>
                <c:pt idx="18">
                  <c:v>2265</c:v>
                </c:pt>
                <c:pt idx="19">
                  <c:v>2265</c:v>
                </c:pt>
                <c:pt idx="20">
                  <c:v>2265</c:v>
                </c:pt>
                <c:pt idx="21">
                  <c:v>2265</c:v>
                </c:pt>
                <c:pt idx="22">
                  <c:v>2265</c:v>
                </c:pt>
                <c:pt idx="23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  <c:pt idx="3">
                  <c:v>2265</c:v>
                </c:pt>
                <c:pt idx="4">
                  <c:v>2265</c:v>
                </c:pt>
                <c:pt idx="5">
                  <c:v>2265</c:v>
                </c:pt>
                <c:pt idx="6">
                  <c:v>2265</c:v>
                </c:pt>
                <c:pt idx="7">
                  <c:v>2265</c:v>
                </c:pt>
                <c:pt idx="8">
                  <c:v>2265</c:v>
                </c:pt>
                <c:pt idx="9">
                  <c:v>2265</c:v>
                </c:pt>
                <c:pt idx="10">
                  <c:v>2265</c:v>
                </c:pt>
                <c:pt idx="11">
                  <c:v>2265</c:v>
                </c:pt>
                <c:pt idx="12">
                  <c:v>2265</c:v>
                </c:pt>
                <c:pt idx="13">
                  <c:v>2265</c:v>
                </c:pt>
                <c:pt idx="14">
                  <c:v>2265</c:v>
                </c:pt>
                <c:pt idx="15">
                  <c:v>2265</c:v>
                </c:pt>
                <c:pt idx="16">
                  <c:v>2265</c:v>
                </c:pt>
                <c:pt idx="17">
                  <c:v>2265</c:v>
                </c:pt>
                <c:pt idx="18">
                  <c:v>2265</c:v>
                </c:pt>
                <c:pt idx="19">
                  <c:v>2265</c:v>
                </c:pt>
                <c:pt idx="20">
                  <c:v>2265</c:v>
                </c:pt>
                <c:pt idx="21">
                  <c:v>2265</c:v>
                </c:pt>
                <c:pt idx="22">
                  <c:v>2265</c:v>
                </c:pt>
                <c:pt idx="23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  <c:pt idx="3">
                  <c:v>2116.4299999999998</c:v>
                </c:pt>
                <c:pt idx="4">
                  <c:v>2101.7379999999998</c:v>
                </c:pt>
                <c:pt idx="5">
                  <c:v>2087.0459999999998</c:v>
                </c:pt>
                <c:pt idx="6">
                  <c:v>2072.355</c:v>
                </c:pt>
                <c:pt idx="7">
                  <c:v>2057.6640000000002</c:v>
                </c:pt>
                <c:pt idx="8">
                  <c:v>2042.973</c:v>
                </c:pt>
                <c:pt idx="9">
                  <c:v>2028.2819999999999</c:v>
                </c:pt>
                <c:pt idx="10">
                  <c:v>2013.5909999999999</c:v>
                </c:pt>
                <c:pt idx="11">
                  <c:v>1998.9</c:v>
                </c:pt>
                <c:pt idx="12">
                  <c:v>1986.134</c:v>
                </c:pt>
                <c:pt idx="13">
                  <c:v>1973.3679999999999</c:v>
                </c:pt>
                <c:pt idx="14">
                  <c:v>1960.6020000000001</c:v>
                </c:pt>
                <c:pt idx="15">
                  <c:v>1947.837</c:v>
                </c:pt>
                <c:pt idx="16">
                  <c:v>1935.0730000000001</c:v>
                </c:pt>
                <c:pt idx="17">
                  <c:v>1922.309</c:v>
                </c:pt>
                <c:pt idx="18">
                  <c:v>1909.5450000000001</c:v>
                </c:pt>
                <c:pt idx="19">
                  <c:v>1896.7809999999999</c:v>
                </c:pt>
                <c:pt idx="20">
                  <c:v>1884.0170000000001</c:v>
                </c:pt>
                <c:pt idx="21">
                  <c:v>1871.2529999999999</c:v>
                </c:pt>
                <c:pt idx="22">
                  <c:v>1858.489</c:v>
                </c:pt>
                <c:pt idx="23">
                  <c:v>1845.7249999999999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  <c:pt idx="3">
                  <c:v>2116.4299999999998</c:v>
                </c:pt>
                <c:pt idx="4">
                  <c:v>2101.7379999999998</c:v>
                </c:pt>
                <c:pt idx="5">
                  <c:v>2087.0459999999998</c:v>
                </c:pt>
                <c:pt idx="6">
                  <c:v>2072.355</c:v>
                </c:pt>
                <c:pt idx="7">
                  <c:v>2057.6640000000002</c:v>
                </c:pt>
                <c:pt idx="8">
                  <c:v>2042.973</c:v>
                </c:pt>
                <c:pt idx="9">
                  <c:v>2028.2819999999999</c:v>
                </c:pt>
                <c:pt idx="10">
                  <c:v>2013.5909999999999</c:v>
                </c:pt>
                <c:pt idx="11">
                  <c:v>1998.9</c:v>
                </c:pt>
                <c:pt idx="12">
                  <c:v>1986.134</c:v>
                </c:pt>
                <c:pt idx="13">
                  <c:v>1973.3679999999999</c:v>
                </c:pt>
                <c:pt idx="14">
                  <c:v>1960.6020000000001</c:v>
                </c:pt>
                <c:pt idx="15">
                  <c:v>1947.837</c:v>
                </c:pt>
                <c:pt idx="16">
                  <c:v>1935.0730000000001</c:v>
                </c:pt>
                <c:pt idx="17">
                  <c:v>1922.309</c:v>
                </c:pt>
                <c:pt idx="18">
                  <c:v>1909.5450000000001</c:v>
                </c:pt>
                <c:pt idx="19">
                  <c:v>1896.7809999999999</c:v>
                </c:pt>
                <c:pt idx="20">
                  <c:v>1884.0170000000001</c:v>
                </c:pt>
                <c:pt idx="21">
                  <c:v>1871.2529999999999</c:v>
                </c:pt>
                <c:pt idx="22">
                  <c:v>1858.489</c:v>
                </c:pt>
                <c:pt idx="23">
                  <c:v>1845.7249999999999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  <c:pt idx="3">
                  <c:v>124.187</c:v>
                </c:pt>
                <c:pt idx="4">
                  <c:v>125.09099999999999</c:v>
                </c:pt>
                <c:pt idx="5">
                  <c:v>124</c:v>
                </c:pt>
                <c:pt idx="6">
                  <c:v>124</c:v>
                </c:pt>
                <c:pt idx="7">
                  <c:v>124</c:v>
                </c:pt>
                <c:pt idx="8">
                  <c:v>124</c:v>
                </c:pt>
                <c:pt idx="9">
                  <c:v>124.248</c:v>
                </c:pt>
                <c:pt idx="10">
                  <c:v>123.44</c:v>
                </c:pt>
                <c:pt idx="11">
                  <c:v>124.73699999999999</c:v>
                </c:pt>
                <c:pt idx="12">
                  <c:v>124.011</c:v>
                </c:pt>
                <c:pt idx="13">
                  <c:v>124</c:v>
                </c:pt>
                <c:pt idx="14">
                  <c:v>124</c:v>
                </c:pt>
                <c:pt idx="15">
                  <c:v>124.181</c:v>
                </c:pt>
                <c:pt idx="16">
                  <c:v>123.825</c:v>
                </c:pt>
                <c:pt idx="17">
                  <c:v>124</c:v>
                </c:pt>
                <c:pt idx="18">
                  <c:v>124.33</c:v>
                </c:pt>
                <c:pt idx="19">
                  <c:v>124</c:v>
                </c:pt>
                <c:pt idx="20">
                  <c:v>124.08499999999999</c:v>
                </c:pt>
                <c:pt idx="21">
                  <c:v>124.006</c:v>
                </c:pt>
                <c:pt idx="22">
                  <c:v>123.738</c:v>
                </c:pt>
                <c:pt idx="23">
                  <c:v>124.502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  <c:pt idx="3">
                        <c:v>240</c:v>
                      </c:pt>
                      <c:pt idx="4">
                        <c:v>240</c:v>
                      </c:pt>
                      <c:pt idx="5">
                        <c:v>240</c:v>
                      </c:pt>
                      <c:pt idx="6">
                        <c:v>240</c:v>
                      </c:pt>
                      <c:pt idx="7">
                        <c:v>240</c:v>
                      </c:pt>
                      <c:pt idx="8">
                        <c:v>240</c:v>
                      </c:pt>
                      <c:pt idx="9">
                        <c:v>240</c:v>
                      </c:pt>
                      <c:pt idx="10">
                        <c:v>240</c:v>
                      </c:pt>
                      <c:pt idx="11">
                        <c:v>240</c:v>
                      </c:pt>
                      <c:pt idx="12">
                        <c:v>240</c:v>
                      </c:pt>
                      <c:pt idx="13">
                        <c:v>240</c:v>
                      </c:pt>
                      <c:pt idx="14">
                        <c:v>240</c:v>
                      </c:pt>
                      <c:pt idx="15">
                        <c:v>240</c:v>
                      </c:pt>
                      <c:pt idx="16">
                        <c:v>240</c:v>
                      </c:pt>
                      <c:pt idx="17">
                        <c:v>240</c:v>
                      </c:pt>
                      <c:pt idx="18">
                        <c:v>240</c:v>
                      </c:pt>
                      <c:pt idx="19">
                        <c:v>240</c:v>
                      </c:pt>
                      <c:pt idx="20">
                        <c:v>240</c:v>
                      </c:pt>
                      <c:pt idx="21">
                        <c:v>240</c:v>
                      </c:pt>
                      <c:pt idx="22">
                        <c:v>240</c:v>
                      </c:pt>
                      <c:pt idx="23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  <c:pt idx="3">
                        <c:v>1008</c:v>
                      </c:pt>
                      <c:pt idx="4">
                        <c:v>960</c:v>
                      </c:pt>
                      <c:pt idx="5">
                        <c:v>1008</c:v>
                      </c:pt>
                      <c:pt idx="6">
                        <c:v>1104</c:v>
                      </c:pt>
                      <c:pt idx="7">
                        <c:v>1008</c:v>
                      </c:pt>
                      <c:pt idx="8">
                        <c:v>1056</c:v>
                      </c:pt>
                      <c:pt idx="9">
                        <c:v>1056</c:v>
                      </c:pt>
                      <c:pt idx="10">
                        <c:v>912</c:v>
                      </c:pt>
                      <c:pt idx="11">
                        <c:v>960</c:v>
                      </c:pt>
                      <c:pt idx="12">
                        <c:v>1008</c:v>
                      </c:pt>
                      <c:pt idx="13">
                        <c:v>960</c:v>
                      </c:pt>
                      <c:pt idx="14">
                        <c:v>1056</c:v>
                      </c:pt>
                      <c:pt idx="15">
                        <c:v>1008</c:v>
                      </c:pt>
                      <c:pt idx="16">
                        <c:v>912</c:v>
                      </c:pt>
                      <c:pt idx="17">
                        <c:v>1056</c:v>
                      </c:pt>
                      <c:pt idx="18">
                        <c:v>1056</c:v>
                      </c:pt>
                      <c:pt idx="19">
                        <c:v>1008</c:v>
                      </c:pt>
                      <c:pt idx="20">
                        <c:v>1008</c:v>
                      </c:pt>
                      <c:pt idx="21">
                        <c:v>1008</c:v>
                      </c:pt>
                      <c:pt idx="22">
                        <c:v>960</c:v>
                      </c:pt>
                      <c:pt idx="23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  <c:pt idx="3">
                        <c:v>1008</c:v>
                      </c:pt>
                      <c:pt idx="4">
                        <c:v>800</c:v>
                      </c:pt>
                      <c:pt idx="5">
                        <c:v>1008</c:v>
                      </c:pt>
                      <c:pt idx="6">
                        <c:v>1104</c:v>
                      </c:pt>
                      <c:pt idx="7">
                        <c:v>1008</c:v>
                      </c:pt>
                      <c:pt idx="8">
                        <c:v>1056</c:v>
                      </c:pt>
                      <c:pt idx="9">
                        <c:v>1056</c:v>
                      </c:pt>
                      <c:pt idx="10">
                        <c:v>912</c:v>
                      </c:pt>
                      <c:pt idx="11">
                        <c:v>960</c:v>
                      </c:pt>
                      <c:pt idx="12">
                        <c:v>1008</c:v>
                      </c:pt>
                      <c:pt idx="13">
                        <c:v>960</c:v>
                      </c:pt>
                      <c:pt idx="14">
                        <c:v>1056</c:v>
                      </c:pt>
                      <c:pt idx="15">
                        <c:v>1008</c:v>
                      </c:pt>
                      <c:pt idx="16">
                        <c:v>912</c:v>
                      </c:pt>
                      <c:pt idx="17">
                        <c:v>1056</c:v>
                      </c:pt>
                      <c:pt idx="18">
                        <c:v>1056</c:v>
                      </c:pt>
                      <c:pt idx="19">
                        <c:v>1008</c:v>
                      </c:pt>
                      <c:pt idx="20">
                        <c:v>1008</c:v>
                      </c:pt>
                      <c:pt idx="21">
                        <c:v>1008</c:v>
                      </c:pt>
                      <c:pt idx="22">
                        <c:v>960</c:v>
                      </c:pt>
                      <c:pt idx="23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  <c:pt idx="3">
                  <c:v>1008</c:v>
                </c:pt>
                <c:pt idx="4">
                  <c:v>960</c:v>
                </c:pt>
                <c:pt idx="5">
                  <c:v>1008</c:v>
                </c:pt>
                <c:pt idx="6">
                  <c:v>1104</c:v>
                </c:pt>
                <c:pt idx="7">
                  <c:v>1008</c:v>
                </c:pt>
                <c:pt idx="8">
                  <c:v>1056</c:v>
                </c:pt>
                <c:pt idx="9">
                  <c:v>1056</c:v>
                </c:pt>
                <c:pt idx="10">
                  <c:v>912</c:v>
                </c:pt>
                <c:pt idx="11">
                  <c:v>960</c:v>
                </c:pt>
                <c:pt idx="12">
                  <c:v>1008</c:v>
                </c:pt>
                <c:pt idx="13">
                  <c:v>960</c:v>
                </c:pt>
                <c:pt idx="14">
                  <c:v>1056</c:v>
                </c:pt>
                <c:pt idx="15">
                  <c:v>1008</c:v>
                </c:pt>
                <c:pt idx="16">
                  <c:v>912</c:v>
                </c:pt>
                <c:pt idx="17">
                  <c:v>1056</c:v>
                </c:pt>
                <c:pt idx="18">
                  <c:v>1056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960</c:v>
                </c:pt>
                <c:pt idx="23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  <c:pt idx="3">
                  <c:v>1008</c:v>
                </c:pt>
                <c:pt idx="4">
                  <c:v>800</c:v>
                </c:pt>
                <c:pt idx="5">
                  <c:v>1008</c:v>
                </c:pt>
                <c:pt idx="6">
                  <c:v>1104</c:v>
                </c:pt>
                <c:pt idx="7">
                  <c:v>1008</c:v>
                </c:pt>
                <c:pt idx="8">
                  <c:v>1056</c:v>
                </c:pt>
                <c:pt idx="9">
                  <c:v>1056</c:v>
                </c:pt>
                <c:pt idx="10">
                  <c:v>912</c:v>
                </c:pt>
                <c:pt idx="11">
                  <c:v>960</c:v>
                </c:pt>
                <c:pt idx="12">
                  <c:v>1008</c:v>
                </c:pt>
                <c:pt idx="13">
                  <c:v>960</c:v>
                </c:pt>
                <c:pt idx="14">
                  <c:v>1056</c:v>
                </c:pt>
                <c:pt idx="15">
                  <c:v>1008</c:v>
                </c:pt>
                <c:pt idx="16">
                  <c:v>912</c:v>
                </c:pt>
                <c:pt idx="17">
                  <c:v>1056</c:v>
                </c:pt>
                <c:pt idx="18">
                  <c:v>1056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960</c:v>
                </c:pt>
                <c:pt idx="23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B46" sqref="B46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39</v>
      </c>
      <c r="C2" s="166"/>
    </row>
    <row r="3" spans="2:7" x14ac:dyDescent="0.2">
      <c r="B3" s="1" t="s">
        <v>40</v>
      </c>
      <c r="C3" s="3" t="s">
        <v>76</v>
      </c>
      <c r="G3" s="4"/>
    </row>
    <row r="4" spans="2:7" x14ac:dyDescent="0.2">
      <c r="B4" s="1" t="s">
        <v>41</v>
      </c>
      <c r="C4" s="1" t="s">
        <v>77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D9" sqref="D9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39813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9"/>
      <c r="C6" s="170"/>
      <c r="D6" s="34">
        <f t="shared" ref="D6:AA6" ca="1" si="0">D7-IF(MONTH(D7)=2,IF(OR(YEAR(D7)=2008,YEAR(D7)=2012,YEAR(D7)=2016),29,28),IF(OR(MONTH(D7)=4,MONTH(D7)=6,MONTH(D7)=9,MONTH(D7)=11),30,31))+1</f>
        <v>39083</v>
      </c>
      <c r="E6" s="35">
        <f t="shared" ca="1" si="0"/>
        <v>39114</v>
      </c>
      <c r="F6" s="35">
        <f t="shared" ca="1" si="0"/>
        <v>39142</v>
      </c>
      <c r="G6" s="35">
        <f t="shared" ca="1" si="0"/>
        <v>39173</v>
      </c>
      <c r="H6" s="35">
        <f t="shared" ca="1" si="0"/>
        <v>39203</v>
      </c>
      <c r="I6" s="35">
        <f t="shared" ca="1" si="0"/>
        <v>39234</v>
      </c>
      <c r="J6" s="35">
        <f t="shared" ca="1" si="0"/>
        <v>39264</v>
      </c>
      <c r="K6" s="35">
        <f t="shared" ca="1" si="0"/>
        <v>39295</v>
      </c>
      <c r="L6" s="35">
        <f t="shared" ca="1" si="0"/>
        <v>39326</v>
      </c>
      <c r="M6" s="35">
        <f t="shared" ca="1" si="0"/>
        <v>39356</v>
      </c>
      <c r="N6" s="35">
        <f t="shared" ca="1" si="0"/>
        <v>39387</v>
      </c>
      <c r="O6" s="35">
        <f t="shared" ca="1" si="0"/>
        <v>39417</v>
      </c>
      <c r="P6" s="35">
        <f t="shared" ca="1" si="0"/>
        <v>39448</v>
      </c>
      <c r="Q6" s="35">
        <f t="shared" ca="1" si="0"/>
        <v>39479</v>
      </c>
      <c r="R6" s="35">
        <f t="shared" ca="1" si="0"/>
        <v>39508</v>
      </c>
      <c r="S6" s="35">
        <f t="shared" ca="1" si="0"/>
        <v>39539</v>
      </c>
      <c r="T6" s="35">
        <f t="shared" ca="1" si="0"/>
        <v>39569</v>
      </c>
      <c r="U6" s="35">
        <f t="shared" ca="1" si="0"/>
        <v>39600</v>
      </c>
      <c r="V6" s="35">
        <f t="shared" ca="1" si="0"/>
        <v>39630</v>
      </c>
      <c r="W6" s="35">
        <f t="shared" ca="1" si="0"/>
        <v>39661</v>
      </c>
      <c r="X6" s="35">
        <f t="shared" ca="1" si="0"/>
        <v>39692</v>
      </c>
      <c r="Y6" s="35">
        <f t="shared" ca="1" si="0"/>
        <v>39722</v>
      </c>
      <c r="Z6" s="35">
        <f t="shared" ca="1" si="0"/>
        <v>39753</v>
      </c>
      <c r="AA6" s="35">
        <f t="shared" ca="1" si="0"/>
        <v>39783</v>
      </c>
      <c r="AB6" s="167"/>
    </row>
    <row r="7" spans="1:31" s="29" customFormat="1" ht="15" customHeight="1" thickBot="1" x14ac:dyDescent="0.25">
      <c r="A7" s="27"/>
      <c r="B7" s="171"/>
      <c r="C7" s="172"/>
      <c r="D7" s="36">
        <f t="shared" ref="D7:Z7" ca="1" si="1">E6-1</f>
        <v>39113</v>
      </c>
      <c r="E7" s="37">
        <f t="shared" ca="1" si="1"/>
        <v>39141</v>
      </c>
      <c r="F7" s="37">
        <f t="shared" ca="1" si="1"/>
        <v>39172</v>
      </c>
      <c r="G7" s="37">
        <f t="shared" ca="1" si="1"/>
        <v>39202</v>
      </c>
      <c r="H7" s="37">
        <f t="shared" ca="1" si="1"/>
        <v>39233</v>
      </c>
      <c r="I7" s="37">
        <f t="shared" ca="1" si="1"/>
        <v>39263</v>
      </c>
      <c r="J7" s="37">
        <f t="shared" ca="1" si="1"/>
        <v>39294</v>
      </c>
      <c r="K7" s="37">
        <f t="shared" ca="1" si="1"/>
        <v>39325</v>
      </c>
      <c r="L7" s="37">
        <f t="shared" ca="1" si="1"/>
        <v>39355</v>
      </c>
      <c r="M7" s="37">
        <f t="shared" ca="1" si="1"/>
        <v>39386</v>
      </c>
      <c r="N7" s="37">
        <f t="shared" ca="1" si="1"/>
        <v>39416</v>
      </c>
      <c r="O7" s="37">
        <f t="shared" ca="1" si="1"/>
        <v>39447</v>
      </c>
      <c r="P7" s="37">
        <f t="shared" ca="1" si="1"/>
        <v>39478</v>
      </c>
      <c r="Q7" s="37">
        <f t="shared" ca="1" si="1"/>
        <v>39507</v>
      </c>
      <c r="R7" s="37">
        <f t="shared" ca="1" si="1"/>
        <v>39538</v>
      </c>
      <c r="S7" s="37">
        <f t="shared" ca="1" si="1"/>
        <v>39568</v>
      </c>
      <c r="T7" s="37">
        <f t="shared" ca="1" si="1"/>
        <v>39599</v>
      </c>
      <c r="U7" s="37">
        <f t="shared" ca="1" si="1"/>
        <v>39629</v>
      </c>
      <c r="V7" s="37">
        <f t="shared" ca="1" si="1"/>
        <v>39660</v>
      </c>
      <c r="W7" s="37">
        <f t="shared" ca="1" si="1"/>
        <v>39691</v>
      </c>
      <c r="X7" s="37">
        <f t="shared" ca="1" si="1"/>
        <v>39721</v>
      </c>
      <c r="Y7" s="37">
        <f t="shared" ca="1" si="1"/>
        <v>39752</v>
      </c>
      <c r="Z7" s="37">
        <f t="shared" ca="1" si="1"/>
        <v>39782</v>
      </c>
      <c r="AA7" s="37">
        <f ca="1">C3</f>
        <v>39813</v>
      </c>
      <c r="AB7" s="168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39083</v>
      </c>
      <c r="E8" s="39">
        <f t="shared" ca="1" si="2"/>
        <v>39114</v>
      </c>
      <c r="F8" s="39">
        <f t="shared" ca="1" si="2"/>
        <v>39142</v>
      </c>
      <c r="G8" s="40">
        <f t="shared" ca="1" si="2"/>
        <v>39173</v>
      </c>
      <c r="H8" s="40">
        <f t="shared" ca="1" si="2"/>
        <v>39203</v>
      </c>
      <c r="I8" s="40">
        <f t="shared" ca="1" si="2"/>
        <v>39234</v>
      </c>
      <c r="J8" s="40">
        <f t="shared" ca="1" si="2"/>
        <v>39264</v>
      </c>
      <c r="K8" s="40">
        <f t="shared" ca="1" si="2"/>
        <v>39295</v>
      </c>
      <c r="L8" s="40">
        <f t="shared" ca="1" si="2"/>
        <v>39326</v>
      </c>
      <c r="M8" s="40">
        <f t="shared" ca="1" si="2"/>
        <v>39356</v>
      </c>
      <c r="N8" s="40">
        <f t="shared" ca="1" si="2"/>
        <v>39387</v>
      </c>
      <c r="O8" s="40">
        <f t="shared" ca="1" si="2"/>
        <v>39417</v>
      </c>
      <c r="P8" s="40">
        <f t="shared" ca="1" si="2"/>
        <v>39448</v>
      </c>
      <c r="Q8" s="40">
        <f t="shared" ca="1" si="2"/>
        <v>39479</v>
      </c>
      <c r="R8" s="40">
        <f t="shared" ca="1" si="2"/>
        <v>39508</v>
      </c>
      <c r="S8" s="40">
        <f t="shared" ca="1" si="2"/>
        <v>39539</v>
      </c>
      <c r="T8" s="40">
        <f t="shared" ca="1" si="2"/>
        <v>39569</v>
      </c>
      <c r="U8" s="40">
        <f t="shared" ca="1" si="2"/>
        <v>39600</v>
      </c>
      <c r="V8" s="40">
        <f t="shared" ca="1" si="2"/>
        <v>39630</v>
      </c>
      <c r="W8" s="40">
        <f t="shared" ca="1" si="2"/>
        <v>39661</v>
      </c>
      <c r="X8" s="40">
        <f t="shared" ca="1" si="2"/>
        <v>39692</v>
      </c>
      <c r="Y8" s="40">
        <f t="shared" ca="1" si="2"/>
        <v>39722</v>
      </c>
      <c r="Z8" s="40">
        <f t="shared" ca="1" si="2"/>
        <v>39753</v>
      </c>
      <c r="AA8" s="40">
        <f t="shared" ca="1" si="2"/>
        <v>39783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318.40800000000002</v>
      </c>
      <c r="E9" s="44">
        <f t="shared" ca="1" si="3"/>
        <v>180.39099999999999</v>
      </c>
      <c r="F9" s="44">
        <f t="shared" ca="1" si="3"/>
        <v>183.04</v>
      </c>
      <c r="G9" s="44">
        <f t="shared" ca="1" si="3"/>
        <v>180.33699999999999</v>
      </c>
      <c r="H9" s="44">
        <f t="shared" ca="1" si="3"/>
        <v>181.661</v>
      </c>
      <c r="I9" s="44">
        <f t="shared" ca="1" si="3"/>
        <v>183.36779999999999</v>
      </c>
      <c r="J9" s="44">
        <f t="shared" ca="1" si="3"/>
        <v>-744.59593000000007</v>
      </c>
      <c r="K9" s="44">
        <f t="shared" ca="1" si="3"/>
        <v>180.38900000000001</v>
      </c>
      <c r="L9" s="44">
        <f t="shared" ca="1" si="3"/>
        <v>182.37299999999999</v>
      </c>
      <c r="M9" s="44">
        <f t="shared" ca="1" si="3"/>
        <v>180.38900000000001</v>
      </c>
      <c r="N9" s="44">
        <f t="shared" ref="N9:AA10" ca="1" si="4">AbraTurnover(URL,Username,Password,$C9,N$6,N$7)/1000</f>
        <v>180.38900000000001</v>
      </c>
      <c r="O9" s="44">
        <f t="shared" ca="1" si="4"/>
        <v>182.7088</v>
      </c>
      <c r="P9" s="44">
        <f t="shared" ca="1" si="4"/>
        <v>30</v>
      </c>
      <c r="Q9" s="44">
        <f t="shared" ca="1" si="4"/>
        <v>0.95</v>
      </c>
      <c r="R9" s="44">
        <f t="shared" ca="1" si="4"/>
        <v>0</v>
      </c>
      <c r="S9" s="44">
        <f t="shared" ca="1" si="4"/>
        <v>0</v>
      </c>
      <c r="T9" s="44">
        <f t="shared" ca="1" si="4"/>
        <v>0</v>
      </c>
      <c r="U9" s="44">
        <f t="shared" ca="1" si="4"/>
        <v>0</v>
      </c>
      <c r="V9" s="44">
        <f t="shared" ca="1" si="4"/>
        <v>0</v>
      </c>
      <c r="W9" s="44">
        <f t="shared" ca="1" si="4"/>
        <v>0</v>
      </c>
      <c r="X9" s="44">
        <f t="shared" ca="1" si="4"/>
        <v>0</v>
      </c>
      <c r="Y9" s="44">
        <f t="shared" ca="1" si="4"/>
        <v>0</v>
      </c>
      <c r="Z9" s="44">
        <f t="shared" ca="1" si="4"/>
        <v>0</v>
      </c>
      <c r="AA9" s="44">
        <f t="shared" ca="1" si="4"/>
        <v>38.283999999999999</v>
      </c>
      <c r="AB9" s="77">
        <f ca="1">SUM(D9:AA9)</f>
        <v>1458.09167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1221.7096999999999</v>
      </c>
      <c r="E10" s="44">
        <f t="shared" ca="1" si="3"/>
        <v>0</v>
      </c>
      <c r="F10" s="44">
        <f t="shared" ca="1" si="3"/>
        <v>139.49600000000001</v>
      </c>
      <c r="G10" s="44">
        <f t="shared" ca="1" si="3"/>
        <v>-10</v>
      </c>
      <c r="H10" s="44">
        <f t="shared" ca="1" si="3"/>
        <v>1669.1696999999999</v>
      </c>
      <c r="I10" s="44">
        <f t="shared" ca="1" si="3"/>
        <v>0</v>
      </c>
      <c r="J10" s="44">
        <f t="shared" ca="1" si="3"/>
        <v>387.47520000000003</v>
      </c>
      <c r="K10" s="44">
        <f t="shared" ca="1" si="3"/>
        <v>1751.3288</v>
      </c>
      <c r="L10" s="44">
        <f t="shared" ca="1" si="3"/>
        <v>0</v>
      </c>
      <c r="M10" s="44">
        <f t="shared" ca="1" si="3"/>
        <v>0</v>
      </c>
      <c r="N10" s="44">
        <f t="shared" ca="1" si="4"/>
        <v>0</v>
      </c>
      <c r="O10" s="44">
        <f t="shared" ca="1" si="4"/>
        <v>0</v>
      </c>
      <c r="P10" s="44">
        <f t="shared" ca="1" si="4"/>
        <v>0</v>
      </c>
      <c r="Q10" s="44">
        <f t="shared" ca="1" si="4"/>
        <v>0</v>
      </c>
      <c r="R10" s="44">
        <f t="shared" ca="1" si="4"/>
        <v>0</v>
      </c>
      <c r="S10" s="44">
        <f t="shared" ca="1" si="4"/>
        <v>0</v>
      </c>
      <c r="T10" s="44">
        <f t="shared" ca="1" si="4"/>
        <v>0</v>
      </c>
      <c r="U10" s="44">
        <f t="shared" ca="1" si="4"/>
        <v>0</v>
      </c>
      <c r="V10" s="44">
        <f t="shared" ca="1" si="4"/>
        <v>0</v>
      </c>
      <c r="W10" s="44">
        <f t="shared" ca="1" si="4"/>
        <v>0</v>
      </c>
      <c r="X10" s="44">
        <f t="shared" ca="1" si="4"/>
        <v>0.72269000000000005</v>
      </c>
      <c r="Y10" s="44">
        <f t="shared" ca="1" si="4"/>
        <v>0</v>
      </c>
      <c r="Z10" s="44">
        <f t="shared" ca="1" si="4"/>
        <v>0</v>
      </c>
      <c r="AA10" s="44">
        <f t="shared" ca="1" si="4"/>
        <v>0.95</v>
      </c>
      <c r="AB10" s="77">
        <f ca="1">SUM(D10:AA10)</f>
        <v>5160.8520899999994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D9" sqref="D9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39813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9"/>
      <c r="C6" s="170"/>
      <c r="D6" s="34">
        <f ca="1">D7-IF(MONTH(D7)=2,IF(OR(YEAR(D7)=2008,YEAR(D7)=2012,YEAR(D7)=2016),29,28),IF(OR(MONTH(D7)=4,MONTH(D7)=6,MONTH(D7)=9,MONTH(D7)=11),30,31))+1</f>
        <v>39083</v>
      </c>
      <c r="E6" s="35">
        <f t="shared" ref="E6:AA6" ca="1" si="0">E7-IF(MONTH(E7)=2,IF(OR(YEAR(E7)=2008,YEAR(E7)=2012,YEAR(E7)=2016),29,28),IF(OR(MONTH(E7)=4,MONTH(E7)=6,MONTH(E7)=9,MONTH(E7)=11),30,31))+1</f>
        <v>39114</v>
      </c>
      <c r="F6" s="35">
        <f t="shared" ca="1" si="0"/>
        <v>39142</v>
      </c>
      <c r="G6" s="35">
        <f t="shared" ca="1" si="0"/>
        <v>39173</v>
      </c>
      <c r="H6" s="35">
        <f t="shared" ca="1" si="0"/>
        <v>39203</v>
      </c>
      <c r="I6" s="35">
        <f t="shared" ca="1" si="0"/>
        <v>39234</v>
      </c>
      <c r="J6" s="35">
        <f t="shared" ca="1" si="0"/>
        <v>39264</v>
      </c>
      <c r="K6" s="35">
        <f t="shared" ca="1" si="0"/>
        <v>39295</v>
      </c>
      <c r="L6" s="35">
        <f t="shared" ca="1" si="0"/>
        <v>39326</v>
      </c>
      <c r="M6" s="35">
        <f t="shared" ca="1" si="0"/>
        <v>39356</v>
      </c>
      <c r="N6" s="35">
        <f t="shared" ca="1" si="0"/>
        <v>39387</v>
      </c>
      <c r="O6" s="35">
        <f t="shared" ca="1" si="0"/>
        <v>39417</v>
      </c>
      <c r="P6" s="35">
        <f t="shared" ca="1" si="0"/>
        <v>39448</v>
      </c>
      <c r="Q6" s="35">
        <f t="shared" ca="1" si="0"/>
        <v>39479</v>
      </c>
      <c r="R6" s="35">
        <f t="shared" ca="1" si="0"/>
        <v>39508</v>
      </c>
      <c r="S6" s="35">
        <f t="shared" ca="1" si="0"/>
        <v>39539</v>
      </c>
      <c r="T6" s="35">
        <f t="shared" ca="1" si="0"/>
        <v>39569</v>
      </c>
      <c r="U6" s="35">
        <f t="shared" ca="1" si="0"/>
        <v>39600</v>
      </c>
      <c r="V6" s="35">
        <f t="shared" ca="1" si="0"/>
        <v>39630</v>
      </c>
      <c r="W6" s="35">
        <f t="shared" ca="1" si="0"/>
        <v>39661</v>
      </c>
      <c r="X6" s="35">
        <f t="shared" ca="1" si="0"/>
        <v>39692</v>
      </c>
      <c r="Y6" s="35">
        <f t="shared" ca="1" si="0"/>
        <v>39722</v>
      </c>
      <c r="Z6" s="35">
        <f t="shared" ca="1" si="0"/>
        <v>39753</v>
      </c>
      <c r="AA6" s="35">
        <f t="shared" ca="1" si="0"/>
        <v>39783</v>
      </c>
    </row>
    <row r="7" spans="1:30" s="29" customFormat="1" ht="12" customHeight="1" thickBot="1" x14ac:dyDescent="0.25">
      <c r="A7" s="27"/>
      <c r="B7" s="171"/>
      <c r="C7" s="172"/>
      <c r="D7" s="36">
        <f t="shared" ref="D7:Z7" ca="1" si="1">E6-1</f>
        <v>39113</v>
      </c>
      <c r="E7" s="37">
        <f t="shared" ca="1" si="1"/>
        <v>39141</v>
      </c>
      <c r="F7" s="37">
        <f t="shared" ca="1" si="1"/>
        <v>39172</v>
      </c>
      <c r="G7" s="37">
        <f t="shared" ca="1" si="1"/>
        <v>39202</v>
      </c>
      <c r="H7" s="37">
        <f t="shared" ca="1" si="1"/>
        <v>39233</v>
      </c>
      <c r="I7" s="37">
        <f t="shared" ca="1" si="1"/>
        <v>39263</v>
      </c>
      <c r="J7" s="37">
        <f t="shared" ca="1" si="1"/>
        <v>39294</v>
      </c>
      <c r="K7" s="37">
        <f t="shared" ca="1" si="1"/>
        <v>39325</v>
      </c>
      <c r="L7" s="37">
        <f t="shared" ca="1" si="1"/>
        <v>39355</v>
      </c>
      <c r="M7" s="37">
        <f t="shared" ca="1" si="1"/>
        <v>39386</v>
      </c>
      <c r="N7" s="37">
        <f t="shared" ca="1" si="1"/>
        <v>39416</v>
      </c>
      <c r="O7" s="37">
        <f t="shared" ca="1" si="1"/>
        <v>39447</v>
      </c>
      <c r="P7" s="37">
        <f t="shared" ca="1" si="1"/>
        <v>39478</v>
      </c>
      <c r="Q7" s="37">
        <f t="shared" ca="1" si="1"/>
        <v>39507</v>
      </c>
      <c r="R7" s="37">
        <f t="shared" ca="1" si="1"/>
        <v>39538</v>
      </c>
      <c r="S7" s="37">
        <f t="shared" ca="1" si="1"/>
        <v>39568</v>
      </c>
      <c r="T7" s="37">
        <f t="shared" ca="1" si="1"/>
        <v>39599</v>
      </c>
      <c r="U7" s="37">
        <f t="shared" ca="1" si="1"/>
        <v>39629</v>
      </c>
      <c r="V7" s="37">
        <f t="shared" ca="1" si="1"/>
        <v>39660</v>
      </c>
      <c r="W7" s="37">
        <f t="shared" ca="1" si="1"/>
        <v>39691</v>
      </c>
      <c r="X7" s="37">
        <f t="shared" ca="1" si="1"/>
        <v>39721</v>
      </c>
      <c r="Y7" s="37">
        <f t="shared" ca="1" si="1"/>
        <v>39752</v>
      </c>
      <c r="Z7" s="37">
        <f t="shared" ca="1" si="1"/>
        <v>39782</v>
      </c>
      <c r="AA7" s="37">
        <f ca="1">C3</f>
        <v>39813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39083</v>
      </c>
      <c r="E8" s="39">
        <f t="shared" ca="1" si="2"/>
        <v>39114</v>
      </c>
      <c r="F8" s="39">
        <f t="shared" ca="1" si="2"/>
        <v>39142</v>
      </c>
      <c r="G8" s="40">
        <f t="shared" ca="1" si="2"/>
        <v>39173</v>
      </c>
      <c r="H8" s="40">
        <f t="shared" ca="1" si="2"/>
        <v>39203</v>
      </c>
      <c r="I8" s="40">
        <f t="shared" ca="1" si="2"/>
        <v>39234</v>
      </c>
      <c r="J8" s="40">
        <f t="shared" ca="1" si="2"/>
        <v>39264</v>
      </c>
      <c r="K8" s="40">
        <f t="shared" ca="1" si="2"/>
        <v>39295</v>
      </c>
      <c r="L8" s="40">
        <f t="shared" ca="1" si="2"/>
        <v>39326</v>
      </c>
      <c r="M8" s="40">
        <f t="shared" ca="1" si="2"/>
        <v>39356</v>
      </c>
      <c r="N8" s="40">
        <f t="shared" ca="1" si="2"/>
        <v>39387</v>
      </c>
      <c r="O8" s="40">
        <f t="shared" ca="1" si="2"/>
        <v>39417</v>
      </c>
      <c r="P8" s="40">
        <f t="shared" ca="1" si="2"/>
        <v>39448</v>
      </c>
      <c r="Q8" s="40">
        <f t="shared" ca="1" si="2"/>
        <v>39479</v>
      </c>
      <c r="R8" s="40">
        <f t="shared" ca="1" si="2"/>
        <v>39508</v>
      </c>
      <c r="S8" s="40">
        <f t="shared" ca="1" si="2"/>
        <v>39539</v>
      </c>
      <c r="T8" s="40">
        <f t="shared" ca="1" si="2"/>
        <v>39569</v>
      </c>
      <c r="U8" s="40">
        <f t="shared" ca="1" si="2"/>
        <v>39600</v>
      </c>
      <c r="V8" s="40">
        <f t="shared" ca="1" si="2"/>
        <v>39630</v>
      </c>
      <c r="W8" s="40">
        <f t="shared" ca="1" si="2"/>
        <v>39661</v>
      </c>
      <c r="X8" s="40">
        <f t="shared" ca="1" si="2"/>
        <v>39692</v>
      </c>
      <c r="Y8" s="40">
        <f t="shared" ca="1" si="2"/>
        <v>39722</v>
      </c>
      <c r="Z8" s="40">
        <f t="shared" ca="1" si="2"/>
        <v>39753</v>
      </c>
      <c r="AA8" s="40">
        <f t="shared" ca="1" si="2"/>
        <v>39783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658.26700000000005</v>
      </c>
      <c r="E9" s="44">
        <f ca="1">D9+AbraTurnover(URL,Username,Password,$C9,E$6,E$7)/1000</f>
        <v>658.26700000000005</v>
      </c>
      <c r="F9" s="44">
        <f t="shared" ref="F9:AA10" ca="1" si="3">E9+AbraTurnover(URL,Username,Password,$C9,F$6,F$7)/1000</f>
        <v>658.26700000000005</v>
      </c>
      <c r="G9" s="44">
        <f t="shared" ca="1" si="3"/>
        <v>648.26700000000005</v>
      </c>
      <c r="H9" s="44">
        <f t="shared" ca="1" si="3"/>
        <v>738.00100000000009</v>
      </c>
      <c r="I9" s="44">
        <f t="shared" ca="1" si="3"/>
        <v>746.54550000000006</v>
      </c>
      <c r="J9" s="44">
        <f t="shared" ca="1" si="3"/>
        <v>714.26050000000009</v>
      </c>
      <c r="K9" s="44">
        <f t="shared" ca="1" si="3"/>
        <v>754.59992000000011</v>
      </c>
      <c r="L9" s="44">
        <f t="shared" ca="1" si="3"/>
        <v>1504.65292</v>
      </c>
      <c r="M9" s="44">
        <f t="shared" ca="1" si="3"/>
        <v>1504.65292</v>
      </c>
      <c r="N9" s="44">
        <f t="shared" ca="1" si="3"/>
        <v>1504.65292</v>
      </c>
      <c r="O9" s="44">
        <f t="shared" ca="1" si="3"/>
        <v>1504.65292</v>
      </c>
      <c r="P9" s="44">
        <f t="shared" ca="1" si="3"/>
        <v>1504.7529199999999</v>
      </c>
      <c r="Q9" s="44">
        <f t="shared" ca="1" si="3"/>
        <v>1504.7529199999999</v>
      </c>
      <c r="R9" s="44">
        <f t="shared" ca="1" si="3"/>
        <v>1504.7529199999999</v>
      </c>
      <c r="S9" s="44">
        <f t="shared" ca="1" si="3"/>
        <v>1504.7529199999999</v>
      </c>
      <c r="T9" s="44">
        <f t="shared" ca="1" si="3"/>
        <v>1504.7529199999999</v>
      </c>
      <c r="U9" s="44">
        <f t="shared" ca="1" si="3"/>
        <v>1504.7529199999999</v>
      </c>
      <c r="V9" s="44">
        <f t="shared" ca="1" si="3"/>
        <v>1504.7529199999999</v>
      </c>
      <c r="W9" s="44">
        <f t="shared" ca="1" si="3"/>
        <v>1504.7529199999999</v>
      </c>
      <c r="X9" s="44">
        <f t="shared" ca="1" si="3"/>
        <v>1505.6099499999998</v>
      </c>
      <c r="Y9" s="44">
        <f t="shared" ca="1" si="3"/>
        <v>1505.6099499999998</v>
      </c>
      <c r="Z9" s="44">
        <f t="shared" ca="1" si="3"/>
        <v>1505.6099499999998</v>
      </c>
      <c r="AA9" s="44">
        <f t="shared" ca="1" si="3"/>
        <v>1505.6099499999998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2354.6305499999999</v>
      </c>
      <c r="E10" s="44">
        <f ca="1">D10+AbraTurnover(URL,Username,Password,$C10,E$6,E$7)/1000</f>
        <v>2354.6305499999999</v>
      </c>
      <c r="F10" s="44">
        <f ca="1">E10+AbraTurnover(URL,Username,Password,$C10,F$6,F$7)/1000</f>
        <v>2354.6305499999999</v>
      </c>
      <c r="G10" s="44">
        <f t="shared" ca="1" si="3"/>
        <v>2494.12655</v>
      </c>
      <c r="H10" s="44">
        <f t="shared" ca="1" si="3"/>
        <v>2544.3258299999998</v>
      </c>
      <c r="I10" s="44">
        <f t="shared" ca="1" si="3"/>
        <v>2461.4535299999998</v>
      </c>
      <c r="J10" s="44">
        <f t="shared" ca="1" si="3"/>
        <v>3799.8824599999998</v>
      </c>
      <c r="K10" s="44">
        <f t="shared" ca="1" si="3"/>
        <v>4999.8824599999998</v>
      </c>
      <c r="L10" s="44">
        <f t="shared" ca="1" si="3"/>
        <v>4999.8824599999998</v>
      </c>
      <c r="M10" s="44">
        <f t="shared" ca="1" si="3"/>
        <v>4999.8824599999998</v>
      </c>
      <c r="N10" s="44">
        <f t="shared" ca="1" si="3"/>
        <v>4999.8824599999998</v>
      </c>
      <c r="O10" s="44">
        <f t="shared" ca="1" si="3"/>
        <v>4999.8824599999998</v>
      </c>
      <c r="P10" s="44">
        <f t="shared" ca="1" si="3"/>
        <v>4999.8824599999998</v>
      </c>
      <c r="Q10" s="44">
        <f t="shared" ca="1" si="3"/>
        <v>4999.8824599999998</v>
      </c>
      <c r="R10" s="44">
        <f t="shared" ca="1" si="3"/>
        <v>4999.8824599999998</v>
      </c>
      <c r="S10" s="44">
        <f t="shared" ca="1" si="3"/>
        <v>4999.8824599999998</v>
      </c>
      <c r="T10" s="44">
        <f t="shared" ca="1" si="3"/>
        <v>4999.8824599999998</v>
      </c>
      <c r="U10" s="44">
        <f t="shared" ca="1" si="3"/>
        <v>4999.8824599999998</v>
      </c>
      <c r="V10" s="44">
        <f t="shared" ca="1" si="3"/>
        <v>4999.8824599999998</v>
      </c>
      <c r="W10" s="44">
        <f t="shared" ca="1" si="3"/>
        <v>4999.8824599999998</v>
      </c>
      <c r="X10" s="44">
        <f t="shared" ca="1" si="3"/>
        <v>4999.8824599999998</v>
      </c>
      <c r="Y10" s="44">
        <f t="shared" ca="1" si="3"/>
        <v>4999.8824599999998</v>
      </c>
      <c r="Z10" s="44">
        <f t="shared" ca="1" si="3"/>
        <v>4999.8824599999998</v>
      </c>
      <c r="AA10" s="44">
        <f t="shared" ca="1" si="3"/>
        <v>4999.8824599999998</v>
      </c>
    </row>
    <row r="11" spans="1:30" ht="15" customHeight="1" thickBot="1" x14ac:dyDescent="0.25">
      <c r="B11" s="173" t="s">
        <v>9</v>
      </c>
      <c r="C11" s="174"/>
      <c r="D11" s="48">
        <f t="shared" ref="D11:AA11" ca="1" si="4">SUM(D9:D10)</f>
        <v>3012.8975499999997</v>
      </c>
      <c r="E11" s="49">
        <f t="shared" ca="1" si="4"/>
        <v>3012.8975499999997</v>
      </c>
      <c r="F11" s="49">
        <f t="shared" ca="1" si="4"/>
        <v>3012.8975499999997</v>
      </c>
      <c r="G11" s="49">
        <f t="shared" ca="1" si="4"/>
        <v>3142.3935499999998</v>
      </c>
      <c r="H11" s="49">
        <f t="shared" ca="1" si="4"/>
        <v>3282.32683</v>
      </c>
      <c r="I11" s="49">
        <f t="shared" ca="1" si="4"/>
        <v>3207.9990299999999</v>
      </c>
      <c r="J11" s="49">
        <f t="shared" ca="1" si="4"/>
        <v>4514.1429600000001</v>
      </c>
      <c r="K11" s="49">
        <f t="shared" ca="1" si="4"/>
        <v>5754.4823799999995</v>
      </c>
      <c r="L11" s="49">
        <f t="shared" ca="1" si="4"/>
        <v>6504.5353799999993</v>
      </c>
      <c r="M11" s="49">
        <f t="shared" ca="1" si="4"/>
        <v>6504.5353799999993</v>
      </c>
      <c r="N11" s="49">
        <f t="shared" ca="1" si="4"/>
        <v>6504.5353799999993</v>
      </c>
      <c r="O11" s="49">
        <f t="shared" ca="1" si="4"/>
        <v>6504.5353799999993</v>
      </c>
      <c r="P11" s="49">
        <f t="shared" ca="1" si="4"/>
        <v>6504.6353799999997</v>
      </c>
      <c r="Q11" s="49">
        <f t="shared" ca="1" si="4"/>
        <v>6504.6353799999997</v>
      </c>
      <c r="R11" s="49">
        <f t="shared" ca="1" si="4"/>
        <v>6504.6353799999997</v>
      </c>
      <c r="S11" s="49">
        <f t="shared" ca="1" si="4"/>
        <v>6504.6353799999997</v>
      </c>
      <c r="T11" s="49">
        <f t="shared" ca="1" si="4"/>
        <v>6504.6353799999997</v>
      </c>
      <c r="U11" s="49">
        <f t="shared" ca="1" si="4"/>
        <v>6504.6353799999997</v>
      </c>
      <c r="V11" s="49">
        <f t="shared" ca="1" si="4"/>
        <v>6504.6353799999997</v>
      </c>
      <c r="W11" s="49">
        <f t="shared" ca="1" si="4"/>
        <v>6504.6353799999997</v>
      </c>
      <c r="X11" s="49">
        <f t="shared" ca="1" si="4"/>
        <v>6505.4924099999998</v>
      </c>
      <c r="Y11" s="49">
        <f t="shared" ca="1" si="4"/>
        <v>6505.4924099999998</v>
      </c>
      <c r="Z11" s="49">
        <f t="shared" ca="1" si="4"/>
        <v>6505.4924099999998</v>
      </c>
      <c r="AA11" s="49">
        <f t="shared" ca="1" si="4"/>
        <v>6505.4924099999998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tabSelected="1" zoomScaleNormal="100" zoomScalePageLayoutView="130" workbookViewId="0">
      <selection activeCell="E9" sqref="E9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39813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39083</v>
      </c>
      <c r="F6" s="35">
        <f t="shared" ref="F6:AB6" ca="1" si="0">F7-IF(MONTH(F7)=2,IF(OR(YEAR(F7)=2008,YEAR(F7)=2012,YEAR(F7)=2016),29,28),IF(OR(MONTH(F7)=4,MONTH(F7)=6,MONTH(F7)=9,MONTH(F7)=11),30,31))+1</f>
        <v>39114</v>
      </c>
      <c r="G6" s="35">
        <f t="shared" ca="1" si="0"/>
        <v>39142</v>
      </c>
      <c r="H6" s="35">
        <f t="shared" ca="1" si="0"/>
        <v>39173</v>
      </c>
      <c r="I6" s="35">
        <f t="shared" ca="1" si="0"/>
        <v>39203</v>
      </c>
      <c r="J6" s="35">
        <f t="shared" ca="1" si="0"/>
        <v>39234</v>
      </c>
      <c r="K6" s="35">
        <f t="shared" ca="1" si="0"/>
        <v>39264</v>
      </c>
      <c r="L6" s="35">
        <f t="shared" ca="1" si="0"/>
        <v>39295</v>
      </c>
      <c r="M6" s="35">
        <f t="shared" ca="1" si="0"/>
        <v>39326</v>
      </c>
      <c r="N6" s="35">
        <f t="shared" ca="1" si="0"/>
        <v>39356</v>
      </c>
      <c r="O6" s="35">
        <f t="shared" ca="1" si="0"/>
        <v>39387</v>
      </c>
      <c r="P6" s="35">
        <f t="shared" ca="1" si="0"/>
        <v>39417</v>
      </c>
      <c r="Q6" s="35">
        <f t="shared" ca="1" si="0"/>
        <v>39448</v>
      </c>
      <c r="R6" s="35">
        <f t="shared" ca="1" si="0"/>
        <v>39479</v>
      </c>
      <c r="S6" s="35">
        <f t="shared" ca="1" si="0"/>
        <v>39508</v>
      </c>
      <c r="T6" s="35">
        <f t="shared" ca="1" si="0"/>
        <v>39539</v>
      </c>
      <c r="U6" s="35">
        <f t="shared" ca="1" si="0"/>
        <v>39569</v>
      </c>
      <c r="V6" s="35">
        <f t="shared" ca="1" si="0"/>
        <v>39600</v>
      </c>
      <c r="W6" s="35">
        <f t="shared" ca="1" si="0"/>
        <v>39630</v>
      </c>
      <c r="X6" s="35">
        <f t="shared" ca="1" si="0"/>
        <v>39661</v>
      </c>
      <c r="Y6" s="35">
        <f t="shared" ca="1" si="0"/>
        <v>39692</v>
      </c>
      <c r="Z6" s="35">
        <f t="shared" ca="1" si="0"/>
        <v>39722</v>
      </c>
      <c r="AA6" s="35">
        <f t="shared" ca="1" si="0"/>
        <v>39753</v>
      </c>
      <c r="AB6" s="35">
        <f t="shared" ca="1" si="0"/>
        <v>39783</v>
      </c>
    </row>
    <row r="7" spans="1:191" s="28" customFormat="1" ht="15" customHeight="1" thickBot="1" x14ac:dyDescent="0.2">
      <c r="A7" s="27"/>
      <c r="B7" s="171"/>
      <c r="C7" s="177"/>
      <c r="D7" s="172"/>
      <c r="E7" s="36">
        <f t="shared" ref="E7:AA7" ca="1" si="1">F6-1</f>
        <v>39113</v>
      </c>
      <c r="F7" s="37">
        <f t="shared" ca="1" si="1"/>
        <v>39141</v>
      </c>
      <c r="G7" s="37">
        <f t="shared" ca="1" si="1"/>
        <v>39172</v>
      </c>
      <c r="H7" s="37">
        <f t="shared" ca="1" si="1"/>
        <v>39202</v>
      </c>
      <c r="I7" s="37">
        <f t="shared" ca="1" si="1"/>
        <v>39233</v>
      </c>
      <c r="J7" s="37">
        <f t="shared" ca="1" si="1"/>
        <v>39263</v>
      </c>
      <c r="K7" s="37">
        <f t="shared" ca="1" si="1"/>
        <v>39294</v>
      </c>
      <c r="L7" s="37">
        <f t="shared" ca="1" si="1"/>
        <v>39325</v>
      </c>
      <c r="M7" s="37">
        <f t="shared" ca="1" si="1"/>
        <v>39355</v>
      </c>
      <c r="N7" s="37">
        <f t="shared" ca="1" si="1"/>
        <v>39386</v>
      </c>
      <c r="O7" s="37">
        <f t="shared" ca="1" si="1"/>
        <v>39416</v>
      </c>
      <c r="P7" s="37">
        <f t="shared" ca="1" si="1"/>
        <v>39447</v>
      </c>
      <c r="Q7" s="37">
        <f t="shared" ca="1" si="1"/>
        <v>39478</v>
      </c>
      <c r="R7" s="37">
        <f t="shared" ca="1" si="1"/>
        <v>39507</v>
      </c>
      <c r="S7" s="37">
        <f t="shared" ca="1" si="1"/>
        <v>39538</v>
      </c>
      <c r="T7" s="37">
        <f t="shared" ca="1" si="1"/>
        <v>39568</v>
      </c>
      <c r="U7" s="37">
        <f t="shared" ca="1" si="1"/>
        <v>39599</v>
      </c>
      <c r="V7" s="37">
        <f t="shared" ca="1" si="1"/>
        <v>39629</v>
      </c>
      <c r="W7" s="37">
        <f t="shared" ca="1" si="1"/>
        <v>39660</v>
      </c>
      <c r="X7" s="37">
        <f t="shared" ca="1" si="1"/>
        <v>39691</v>
      </c>
      <c r="Y7" s="37">
        <f t="shared" ca="1" si="1"/>
        <v>39721</v>
      </c>
      <c r="Z7" s="37">
        <f t="shared" ca="1" si="1"/>
        <v>39752</v>
      </c>
      <c r="AA7" s="37">
        <f t="shared" ca="1" si="1"/>
        <v>39782</v>
      </c>
      <c r="AB7" s="37">
        <f ca="1">D3</f>
        <v>39813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39083</v>
      </c>
      <c r="F8" s="39">
        <f t="shared" ca="1" si="2"/>
        <v>39114</v>
      </c>
      <c r="G8" s="39">
        <f t="shared" ca="1" si="2"/>
        <v>39142</v>
      </c>
      <c r="H8" s="40">
        <f t="shared" ca="1" si="2"/>
        <v>39173</v>
      </c>
      <c r="I8" s="40">
        <f t="shared" ca="1" si="2"/>
        <v>39203</v>
      </c>
      <c r="J8" s="40">
        <f t="shared" ca="1" si="2"/>
        <v>39234</v>
      </c>
      <c r="K8" s="40">
        <f t="shared" ca="1" si="2"/>
        <v>39264</v>
      </c>
      <c r="L8" s="158">
        <f t="shared" ca="1" si="2"/>
        <v>39295</v>
      </c>
      <c r="M8" s="40">
        <f t="shared" ca="1" si="2"/>
        <v>39326</v>
      </c>
      <c r="N8" s="40">
        <f t="shared" ca="1" si="2"/>
        <v>39356</v>
      </c>
      <c r="O8" s="40">
        <f t="shared" ca="1" si="2"/>
        <v>39387</v>
      </c>
      <c r="P8" s="40">
        <f t="shared" ca="1" si="2"/>
        <v>39417</v>
      </c>
      <c r="Q8" s="40">
        <f t="shared" ca="1" si="2"/>
        <v>39448</v>
      </c>
      <c r="R8" s="40">
        <f t="shared" ca="1" si="2"/>
        <v>39479</v>
      </c>
      <c r="S8" s="40">
        <f t="shared" ca="1" si="2"/>
        <v>39508</v>
      </c>
      <c r="T8" s="40">
        <f t="shared" ca="1" si="2"/>
        <v>39539</v>
      </c>
      <c r="U8" s="40">
        <f t="shared" ca="1" si="2"/>
        <v>39569</v>
      </c>
      <c r="V8" s="40">
        <f t="shared" ca="1" si="2"/>
        <v>39600</v>
      </c>
      <c r="W8" s="40">
        <f t="shared" ca="1" si="2"/>
        <v>39630</v>
      </c>
      <c r="X8" s="40">
        <f t="shared" ca="1" si="2"/>
        <v>39661</v>
      </c>
      <c r="Y8" s="40">
        <f t="shared" ca="1" si="2"/>
        <v>39692</v>
      </c>
      <c r="Z8" s="40">
        <f t="shared" ca="1" si="2"/>
        <v>39722</v>
      </c>
      <c r="AA8" s="40">
        <f t="shared" ca="1" si="2"/>
        <v>39753</v>
      </c>
      <c r="AB8" s="40">
        <f t="shared" ca="1" si="2"/>
        <v>39783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ca="1">AbraStock(URL,Username,Password,$D9,E$6)/1000</f>
        <v>68989.875189999992</v>
      </c>
      <c r="F9" s="152">
        <f t="shared" ref="E9:N10" ca="1" si="3">AbraStock(URL,Username,Password,$D9,F$6)/1000</f>
        <v>68261.860010000004</v>
      </c>
      <c r="G9" s="152">
        <f t="shared" ca="1" si="3"/>
        <v>68391.360010000004</v>
      </c>
      <c r="H9" s="152">
        <f t="shared" ca="1" si="3"/>
        <v>68660.026559999998</v>
      </c>
      <c r="I9" s="152">
        <f t="shared" ca="1" si="3"/>
        <v>69207.866560000009</v>
      </c>
      <c r="J9" s="152">
        <f t="shared" ca="1" si="3"/>
        <v>67932.018459999992</v>
      </c>
      <c r="K9" s="152">
        <f t="shared" ca="1" si="3"/>
        <v>67932.018459999992</v>
      </c>
      <c r="L9" s="159">
        <f t="shared" ca="1" si="3"/>
        <v>67654.501480000006</v>
      </c>
      <c r="M9" s="152">
        <f t="shared" ca="1" si="3"/>
        <v>65845.101479999998</v>
      </c>
      <c r="N9" s="152">
        <f t="shared" ca="1" si="3"/>
        <v>65845.101479999998</v>
      </c>
      <c r="O9" s="152">
        <f t="shared" ref="O9:AB10" ca="1" si="4">AbraStock(URL,Username,Password,$D9,O$6)/1000</f>
        <v>65845.101479999998</v>
      </c>
      <c r="P9" s="152">
        <f t="shared" ca="1" si="4"/>
        <v>65845.101479999998</v>
      </c>
      <c r="Q9" s="152">
        <f t="shared" ca="1" si="4"/>
        <v>65845.101479999998</v>
      </c>
      <c r="R9" s="152">
        <f t="shared" ca="1" si="4"/>
        <v>65845.101479999998</v>
      </c>
      <c r="S9" s="152">
        <f t="shared" ca="1" si="4"/>
        <v>65845.101479999998</v>
      </c>
      <c r="T9" s="152">
        <f t="shared" ca="1" si="4"/>
        <v>65845.101479999998</v>
      </c>
      <c r="U9" s="152">
        <f t="shared" ca="1" si="4"/>
        <v>65845.101479999998</v>
      </c>
      <c r="V9" s="152">
        <f t="shared" ca="1" si="4"/>
        <v>65845.101479999998</v>
      </c>
      <c r="W9" s="152">
        <f t="shared" ca="1" si="4"/>
        <v>65845.101479999998</v>
      </c>
      <c r="X9" s="152">
        <f t="shared" ca="1" si="4"/>
        <v>65757.072050000002</v>
      </c>
      <c r="Y9" s="152">
        <f t="shared" ca="1" si="4"/>
        <v>66089.90148</v>
      </c>
      <c r="Z9" s="152">
        <f t="shared" ca="1" si="4"/>
        <v>66811.701189999992</v>
      </c>
      <c r="AA9" s="152">
        <f t="shared" ca="1" si="4"/>
        <v>66811.701189999992</v>
      </c>
      <c r="AB9" s="152">
        <f t="shared" ca="1" si="4"/>
        <v>66811.701189999992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102.708</v>
      </c>
      <c r="F10" s="156">
        <f t="shared" ca="1" si="3"/>
        <v>102.685</v>
      </c>
      <c r="G10" s="156">
        <f t="shared" ca="1" si="3"/>
        <v>102.71</v>
      </c>
      <c r="H10" s="156">
        <f t="shared" ca="1" si="3"/>
        <v>102.991</v>
      </c>
      <c r="I10" s="156">
        <f t="shared" ca="1" si="3"/>
        <v>103.077</v>
      </c>
      <c r="J10" s="156">
        <f t="shared" ca="1" si="3"/>
        <v>102.877</v>
      </c>
      <c r="K10" s="156">
        <f t="shared" ca="1" si="3"/>
        <v>102.877</v>
      </c>
      <c r="L10" s="156">
        <f t="shared" ca="1" si="3"/>
        <v>102.837</v>
      </c>
      <c r="M10" s="156">
        <f t="shared" ca="1" si="3"/>
        <v>102.76300000000001</v>
      </c>
      <c r="N10" s="156">
        <f t="shared" ca="1" si="3"/>
        <v>102.76300000000001</v>
      </c>
      <c r="O10" s="156">
        <f t="shared" ca="1" si="4"/>
        <v>102.76300000000001</v>
      </c>
      <c r="P10" s="156">
        <f t="shared" ca="1" si="4"/>
        <v>102.76300000000001</v>
      </c>
      <c r="Q10" s="156">
        <f t="shared" ca="1" si="4"/>
        <v>102.76300000000001</v>
      </c>
      <c r="R10" s="156">
        <f t="shared" ca="1" si="4"/>
        <v>102.76300000000001</v>
      </c>
      <c r="S10" s="156">
        <f t="shared" ca="1" si="4"/>
        <v>102.76300000000001</v>
      </c>
      <c r="T10" s="156">
        <f t="shared" ca="1" si="4"/>
        <v>102.76300000000001</v>
      </c>
      <c r="U10" s="156">
        <f t="shared" ca="1" si="4"/>
        <v>102.76300000000001</v>
      </c>
      <c r="V10" s="156">
        <f t="shared" ca="1" si="4"/>
        <v>102.76300000000001</v>
      </c>
      <c r="W10" s="156">
        <f t="shared" ca="1" si="4"/>
        <v>102.76300000000001</v>
      </c>
      <c r="X10" s="156">
        <f t="shared" ca="1" si="4"/>
        <v>102.7045</v>
      </c>
      <c r="Y10" s="156">
        <f t="shared" ca="1" si="4"/>
        <v>102.8485</v>
      </c>
      <c r="Z10" s="156">
        <f t="shared" ca="1" si="4"/>
        <v>106.8121455</v>
      </c>
      <c r="AA10" s="156">
        <f t="shared" ca="1" si="4"/>
        <v>106.8121455</v>
      </c>
      <c r="AB10" s="157">
        <f t="shared" ca="1" si="4"/>
        <v>106.8121455</v>
      </c>
      <c r="AC10" s="33"/>
    </row>
    <row r="11" spans="1:191" s="32" customFormat="1" ht="15" customHeight="1" thickBot="1" x14ac:dyDescent="0.25">
      <c r="A11" s="30"/>
      <c r="B11" s="173" t="s">
        <v>1</v>
      </c>
      <c r="C11" s="175"/>
      <c r="D11" s="174"/>
      <c r="E11" s="62">
        <f t="shared" ref="E11:AB11" ca="1" si="5">SUM(E9:E10)</f>
        <v>69092.58318999999</v>
      </c>
      <c r="F11" s="154">
        <f t="shared" ca="1" si="5"/>
        <v>68364.545010000002</v>
      </c>
      <c r="G11" s="154">
        <f t="shared" ca="1" si="5"/>
        <v>68494.07001000001</v>
      </c>
      <c r="H11" s="154">
        <f t="shared" ca="1" si="5"/>
        <v>68763.017559999993</v>
      </c>
      <c r="I11" s="154">
        <f t="shared" ca="1" si="5"/>
        <v>69310.943560000014</v>
      </c>
      <c r="J11" s="154">
        <f t="shared" ca="1" si="5"/>
        <v>68034.895459999985</v>
      </c>
      <c r="K11" s="154">
        <f t="shared" ca="1" si="5"/>
        <v>68034.895459999985</v>
      </c>
      <c r="L11" s="154">
        <f t="shared" ca="1" si="5"/>
        <v>67757.338480000006</v>
      </c>
      <c r="M11" s="154">
        <f t="shared" ca="1" si="5"/>
        <v>65947.864480000004</v>
      </c>
      <c r="N11" s="154">
        <f t="shared" ca="1" si="5"/>
        <v>65947.864480000004</v>
      </c>
      <c r="O11" s="154">
        <f t="shared" ca="1" si="5"/>
        <v>65947.864480000004</v>
      </c>
      <c r="P11" s="154">
        <f t="shared" ca="1" si="5"/>
        <v>65947.864480000004</v>
      </c>
      <c r="Q11" s="154">
        <f t="shared" ca="1" si="5"/>
        <v>65947.864480000004</v>
      </c>
      <c r="R11" s="154">
        <f t="shared" ca="1" si="5"/>
        <v>65947.864480000004</v>
      </c>
      <c r="S11" s="154">
        <f t="shared" ca="1" si="5"/>
        <v>65947.864480000004</v>
      </c>
      <c r="T11" s="154">
        <f t="shared" ca="1" si="5"/>
        <v>65947.864480000004</v>
      </c>
      <c r="U11" s="154">
        <f t="shared" ca="1" si="5"/>
        <v>65947.864480000004</v>
      </c>
      <c r="V11" s="154">
        <f t="shared" ca="1" si="5"/>
        <v>65947.864480000004</v>
      </c>
      <c r="W11" s="154">
        <f t="shared" ca="1" si="5"/>
        <v>65947.864480000004</v>
      </c>
      <c r="X11" s="154">
        <f t="shared" ca="1" si="5"/>
        <v>65859.77655000001</v>
      </c>
      <c r="Y11" s="154">
        <f t="shared" ca="1" si="5"/>
        <v>66192.749979999993</v>
      </c>
      <c r="Z11" s="154">
        <f t="shared" ca="1" si="5"/>
        <v>66918.513335499985</v>
      </c>
      <c r="AA11" s="154">
        <f t="shared" ca="1" si="5"/>
        <v>66918.513335499985</v>
      </c>
      <c r="AB11" s="154">
        <f t="shared" ca="1" si="5"/>
        <v>66918.513335499985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75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73</v>
      </c>
      <c r="E15" s="153">
        <f t="shared" ref="E15:N16" ca="1" si="6">AbraMoves(URL,Username,Password,"a",E$6,E$7,$D15)/1000</f>
        <v>84.168199999999999</v>
      </c>
      <c r="F15" s="153">
        <f t="shared" ca="1" si="6"/>
        <v>129.5</v>
      </c>
      <c r="G15" s="153">
        <f t="shared" ca="1" si="6"/>
        <v>101.33345</v>
      </c>
      <c r="H15" s="153">
        <f t="shared" ca="1" si="6"/>
        <v>547.84</v>
      </c>
      <c r="I15" s="153">
        <f t="shared" ca="1" si="6"/>
        <v>580.6481</v>
      </c>
      <c r="J15" s="153">
        <f t="shared" ca="1" si="6"/>
        <v>0</v>
      </c>
      <c r="K15" s="153">
        <f t="shared" ca="1" si="6"/>
        <v>277.51697999999999</v>
      </c>
      <c r="L15" s="153">
        <f t="shared" ca="1" si="6"/>
        <v>0</v>
      </c>
      <c r="M15" s="153">
        <f t="shared" ca="1" si="6"/>
        <v>0</v>
      </c>
      <c r="N15" s="153">
        <f t="shared" ca="1" si="6"/>
        <v>0</v>
      </c>
      <c r="O15" s="153">
        <f t="shared" ref="O15:AB16" ca="1" si="7">AbraMoves(URL,Username,Password,"a",O$6,O$7,$D15)/1000</f>
        <v>0</v>
      </c>
      <c r="P15" s="153">
        <f t="shared" ca="1" si="7"/>
        <v>0</v>
      </c>
      <c r="Q15" s="153">
        <f t="shared" ca="1" si="7"/>
        <v>0</v>
      </c>
      <c r="R15" s="153">
        <f t="shared" ca="1" si="7"/>
        <v>0</v>
      </c>
      <c r="S15" s="153">
        <f t="shared" ca="1" si="7"/>
        <v>0</v>
      </c>
      <c r="T15" s="153">
        <f t="shared" ca="1" si="7"/>
        <v>0</v>
      </c>
      <c r="U15" s="153">
        <f t="shared" ca="1" si="7"/>
        <v>0</v>
      </c>
      <c r="V15" s="153">
        <f t="shared" ca="1" si="7"/>
        <v>0</v>
      </c>
      <c r="W15" s="153">
        <f t="shared" ca="1" si="7"/>
        <v>141.53457999999998</v>
      </c>
      <c r="X15" s="153">
        <f t="shared" ca="1" si="7"/>
        <v>176.05885999999998</v>
      </c>
      <c r="Y15" s="153">
        <f t="shared" ca="1" si="7"/>
        <v>475.87477000000001</v>
      </c>
      <c r="Z15" s="153">
        <f t="shared" ca="1" si="7"/>
        <v>0</v>
      </c>
      <c r="AA15" s="153">
        <f t="shared" ca="1" si="7"/>
        <v>0</v>
      </c>
      <c r="AB15" s="153">
        <f t="shared" ca="1" si="7"/>
        <v>0</v>
      </c>
      <c r="AC15" s="33"/>
    </row>
    <row r="16" spans="1:191" ht="15" customHeight="1" thickBot="1" x14ac:dyDescent="0.2">
      <c r="B16" s="45"/>
      <c r="C16" s="60"/>
      <c r="D16" s="61" t="s">
        <v>74</v>
      </c>
      <c r="E16" s="151">
        <f t="shared" ca="1" si="6"/>
        <v>11899.966980000001</v>
      </c>
      <c r="F16" s="151">
        <f t="shared" ca="1" si="6"/>
        <v>0</v>
      </c>
      <c r="G16" s="151">
        <f t="shared" ca="1" si="6"/>
        <v>0</v>
      </c>
      <c r="H16" s="151">
        <f t="shared" ca="1" si="6"/>
        <v>0</v>
      </c>
      <c r="I16" s="151">
        <f t="shared" ca="1" si="6"/>
        <v>600</v>
      </c>
      <c r="J16" s="151">
        <f t="shared" ca="1" si="6"/>
        <v>0</v>
      </c>
      <c r="K16" s="151">
        <f t="shared" ca="1" si="6"/>
        <v>0</v>
      </c>
      <c r="L16" s="151">
        <f t="shared" ca="1" si="6"/>
        <v>1200</v>
      </c>
      <c r="M16" s="151">
        <f t="shared" ca="1" si="6"/>
        <v>0</v>
      </c>
      <c r="N16" s="151">
        <f t="shared" ca="1" si="6"/>
        <v>0</v>
      </c>
      <c r="O16" s="151">
        <f t="shared" ca="1" si="7"/>
        <v>0</v>
      </c>
      <c r="P16" s="151">
        <f t="shared" ca="1" si="7"/>
        <v>0</v>
      </c>
      <c r="Q16" s="151">
        <f t="shared" ca="1" si="7"/>
        <v>0</v>
      </c>
      <c r="R16" s="151">
        <f t="shared" ca="1" si="7"/>
        <v>0</v>
      </c>
      <c r="S16" s="151">
        <f t="shared" ca="1" si="7"/>
        <v>0</v>
      </c>
      <c r="T16" s="151">
        <f t="shared" ca="1" si="7"/>
        <v>0</v>
      </c>
      <c r="U16" s="151">
        <f t="shared" ca="1" si="7"/>
        <v>0</v>
      </c>
      <c r="V16" s="151">
        <f t="shared" ca="1" si="7"/>
        <v>0</v>
      </c>
      <c r="W16" s="151">
        <f t="shared" ca="1" si="7"/>
        <v>0</v>
      </c>
      <c r="X16" s="151">
        <f t="shared" ca="1" si="7"/>
        <v>0</v>
      </c>
      <c r="Y16" s="151">
        <f t="shared" ca="1" si="7"/>
        <v>20</v>
      </c>
      <c r="Z16" s="151">
        <f t="shared" ca="1" si="7"/>
        <v>0</v>
      </c>
      <c r="AA16" s="151">
        <f t="shared" ca="1" si="7"/>
        <v>0</v>
      </c>
      <c r="AB16" s="151">
        <f t="shared" ca="1" si="7"/>
        <v>0</v>
      </c>
      <c r="AC16" s="33"/>
    </row>
    <row r="17" spans="2:28" ht="15" customHeight="1" thickBot="1" x14ac:dyDescent="0.2">
      <c r="B17" s="173" t="s">
        <v>1</v>
      </c>
      <c r="C17" s="175"/>
      <c r="D17" s="174"/>
      <c r="E17" s="62">
        <f ca="1">SUM(E15:E16)</f>
        <v>11984.135180000001</v>
      </c>
      <c r="F17" s="62">
        <f t="shared" ref="F17:AB17" ca="1" si="8">SUM(F15:F16)</f>
        <v>129.5</v>
      </c>
      <c r="G17" s="62">
        <f t="shared" ca="1" si="8"/>
        <v>101.33345</v>
      </c>
      <c r="H17" s="62">
        <f t="shared" ca="1" si="8"/>
        <v>547.84</v>
      </c>
      <c r="I17" s="62">
        <f t="shared" ca="1" si="8"/>
        <v>1180.6480999999999</v>
      </c>
      <c r="J17" s="62">
        <f t="shared" ca="1" si="8"/>
        <v>0</v>
      </c>
      <c r="K17" s="62">
        <f t="shared" ca="1" si="8"/>
        <v>277.51697999999999</v>
      </c>
      <c r="L17" s="62">
        <f t="shared" ca="1" si="8"/>
        <v>1200</v>
      </c>
      <c r="M17" s="62">
        <f t="shared" ca="1" si="8"/>
        <v>0</v>
      </c>
      <c r="N17" s="62">
        <f t="shared" ca="1" si="8"/>
        <v>0</v>
      </c>
      <c r="O17" s="62">
        <f t="shared" ca="1" si="8"/>
        <v>0</v>
      </c>
      <c r="P17" s="62">
        <f t="shared" ca="1" si="8"/>
        <v>0</v>
      </c>
      <c r="Q17" s="62">
        <f t="shared" ca="1" si="8"/>
        <v>0</v>
      </c>
      <c r="R17" s="62">
        <f t="shared" ca="1" si="8"/>
        <v>0</v>
      </c>
      <c r="S17" s="62">
        <f t="shared" ca="1" si="8"/>
        <v>0</v>
      </c>
      <c r="T17" s="62">
        <f t="shared" ca="1" si="8"/>
        <v>0</v>
      </c>
      <c r="U17" s="62">
        <f t="shared" ca="1" si="8"/>
        <v>0</v>
      </c>
      <c r="V17" s="62">
        <f t="shared" ca="1" si="8"/>
        <v>0</v>
      </c>
      <c r="W17" s="62">
        <f t="shared" ca="1" si="8"/>
        <v>141.53457999999998</v>
      </c>
      <c r="X17" s="62">
        <f t="shared" ca="1" si="8"/>
        <v>176.05885999999998</v>
      </c>
      <c r="Y17" s="62">
        <f t="shared" ca="1" si="8"/>
        <v>495.87477000000001</v>
      </c>
      <c r="Z17" s="62">
        <f t="shared" ca="1" si="8"/>
        <v>0</v>
      </c>
      <c r="AA17" s="62">
        <f t="shared" ca="1" si="8"/>
        <v>0</v>
      </c>
      <c r="AB17" s="62">
        <f t="shared" ca="1" si="8"/>
        <v>0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AC12" sqref="AC12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5" width="12.7109375" style="65" customWidth="1"/>
    <col min="6" max="6" width="19.28515625" style="65" customWidth="1"/>
    <col min="7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39813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8"/>
      <c r="C6" s="179"/>
      <c r="D6" s="180"/>
      <c r="E6" s="88">
        <f ca="1">E7-IF(MONTH(E7)=2,IF(OR(YEAR(E7)=2008,YEAR(E7)=2012,YEAR(E7)=2016),29,28),IF(OR(MONTH(E7)=4,MONTH(E7)=6,MONTH(E7)=9,MONTH(E7)=11),30,31))+1</f>
        <v>39083</v>
      </c>
      <c r="F6" s="89">
        <f t="shared" ref="F6:AB6" ca="1" si="0">F7-IF(MONTH(F7)=2,IF(OR(YEAR(F7)=2008,YEAR(F7)=2012,YEAR(F7)=2016),29,28),IF(OR(MONTH(F7)=4,MONTH(F7)=6,MONTH(F7)=9,MONTH(F7)=11),30,31))+1</f>
        <v>39114</v>
      </c>
      <c r="G6" s="89">
        <f t="shared" ca="1" si="0"/>
        <v>39142</v>
      </c>
      <c r="H6" s="89">
        <f t="shared" ca="1" si="0"/>
        <v>39173</v>
      </c>
      <c r="I6" s="89">
        <f t="shared" ca="1" si="0"/>
        <v>39203</v>
      </c>
      <c r="J6" s="89">
        <f t="shared" ca="1" si="0"/>
        <v>39234</v>
      </c>
      <c r="K6" s="89">
        <f t="shared" ca="1" si="0"/>
        <v>39264</v>
      </c>
      <c r="L6" s="89">
        <f t="shared" ca="1" si="0"/>
        <v>39295</v>
      </c>
      <c r="M6" s="89">
        <f t="shared" ca="1" si="0"/>
        <v>39326</v>
      </c>
      <c r="N6" s="89">
        <f t="shared" ca="1" si="0"/>
        <v>39356</v>
      </c>
      <c r="O6" s="89">
        <f t="shared" ca="1" si="0"/>
        <v>39387</v>
      </c>
      <c r="P6" s="89">
        <f t="shared" ca="1" si="0"/>
        <v>39417</v>
      </c>
      <c r="Q6" s="89">
        <f t="shared" ca="1" si="0"/>
        <v>39448</v>
      </c>
      <c r="R6" s="89">
        <f t="shared" ca="1" si="0"/>
        <v>39479</v>
      </c>
      <c r="S6" s="89">
        <f t="shared" ca="1" si="0"/>
        <v>39508</v>
      </c>
      <c r="T6" s="89">
        <f t="shared" ca="1" si="0"/>
        <v>39539</v>
      </c>
      <c r="U6" s="89">
        <f t="shared" ca="1" si="0"/>
        <v>39569</v>
      </c>
      <c r="V6" s="89">
        <f t="shared" ca="1" si="0"/>
        <v>39600</v>
      </c>
      <c r="W6" s="89">
        <f t="shared" ca="1" si="0"/>
        <v>39630</v>
      </c>
      <c r="X6" s="89">
        <f t="shared" ca="1" si="0"/>
        <v>39661</v>
      </c>
      <c r="Y6" s="89">
        <f t="shared" ca="1" si="0"/>
        <v>39692</v>
      </c>
      <c r="Z6" s="89">
        <f t="shared" ca="1" si="0"/>
        <v>39722</v>
      </c>
      <c r="AA6" s="89">
        <f t="shared" ca="1" si="0"/>
        <v>39753</v>
      </c>
      <c r="AB6" s="89">
        <f t="shared" ca="1" si="0"/>
        <v>39783</v>
      </c>
    </row>
    <row r="7" spans="1:30" s="82" customFormat="1" ht="15" customHeight="1" thickBot="1" x14ac:dyDescent="0.25">
      <c r="A7" s="81"/>
      <c r="B7" s="181"/>
      <c r="C7" s="182"/>
      <c r="D7" s="183"/>
      <c r="E7" s="90">
        <f t="shared" ref="E7:AA7" ca="1" si="1">F6-1</f>
        <v>39113</v>
      </c>
      <c r="F7" s="91">
        <f t="shared" ca="1" si="1"/>
        <v>39141</v>
      </c>
      <c r="G7" s="91">
        <f t="shared" ca="1" si="1"/>
        <v>39172</v>
      </c>
      <c r="H7" s="91">
        <f t="shared" ca="1" si="1"/>
        <v>39202</v>
      </c>
      <c r="I7" s="91">
        <f t="shared" ca="1" si="1"/>
        <v>39233</v>
      </c>
      <c r="J7" s="91">
        <f t="shared" ca="1" si="1"/>
        <v>39263</v>
      </c>
      <c r="K7" s="91">
        <f t="shared" ca="1" si="1"/>
        <v>39294</v>
      </c>
      <c r="L7" s="91">
        <f t="shared" ca="1" si="1"/>
        <v>39325</v>
      </c>
      <c r="M7" s="91">
        <f t="shared" ca="1" si="1"/>
        <v>39355</v>
      </c>
      <c r="N7" s="91">
        <f t="shared" ca="1" si="1"/>
        <v>39386</v>
      </c>
      <c r="O7" s="91">
        <f t="shared" ca="1" si="1"/>
        <v>39416</v>
      </c>
      <c r="P7" s="91">
        <f t="shared" ca="1" si="1"/>
        <v>39447</v>
      </c>
      <c r="Q7" s="91">
        <f t="shared" ca="1" si="1"/>
        <v>39478</v>
      </c>
      <c r="R7" s="91">
        <f t="shared" ca="1" si="1"/>
        <v>39507</v>
      </c>
      <c r="S7" s="91">
        <f t="shared" ca="1" si="1"/>
        <v>39538</v>
      </c>
      <c r="T7" s="91">
        <f t="shared" ca="1" si="1"/>
        <v>39568</v>
      </c>
      <c r="U7" s="91">
        <f t="shared" ca="1" si="1"/>
        <v>39599</v>
      </c>
      <c r="V7" s="91">
        <f t="shared" ca="1" si="1"/>
        <v>39629</v>
      </c>
      <c r="W7" s="91">
        <f t="shared" ca="1" si="1"/>
        <v>39660</v>
      </c>
      <c r="X7" s="91">
        <f t="shared" ca="1" si="1"/>
        <v>39691</v>
      </c>
      <c r="Y7" s="91">
        <f t="shared" ca="1" si="1"/>
        <v>39721</v>
      </c>
      <c r="Z7" s="91">
        <f t="shared" ca="1" si="1"/>
        <v>39752</v>
      </c>
      <c r="AA7" s="91">
        <f t="shared" ca="1" si="1"/>
        <v>39782</v>
      </c>
      <c r="AB7" s="91">
        <f ca="1">D3</f>
        <v>39813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39083</v>
      </c>
      <c r="F8" s="40">
        <f t="shared" ca="1" si="2"/>
        <v>39114</v>
      </c>
      <c r="G8" s="40">
        <f t="shared" ca="1" si="2"/>
        <v>39142</v>
      </c>
      <c r="H8" s="40">
        <f t="shared" ca="1" si="2"/>
        <v>39173</v>
      </c>
      <c r="I8" s="40">
        <f t="shared" ca="1" si="2"/>
        <v>39203</v>
      </c>
      <c r="J8" s="40">
        <f t="shared" ca="1" si="2"/>
        <v>39234</v>
      </c>
      <c r="K8" s="40">
        <f t="shared" ca="1" si="2"/>
        <v>39264</v>
      </c>
      <c r="L8" s="40">
        <f t="shared" ca="1" si="2"/>
        <v>39295</v>
      </c>
      <c r="M8" s="40">
        <f t="shared" ca="1" si="2"/>
        <v>39326</v>
      </c>
      <c r="N8" s="40">
        <f t="shared" ca="1" si="2"/>
        <v>39356</v>
      </c>
      <c r="O8" s="40">
        <f t="shared" ca="1" si="2"/>
        <v>39387</v>
      </c>
      <c r="P8" s="40">
        <f t="shared" ca="1" si="2"/>
        <v>39417</v>
      </c>
      <c r="Q8" s="40">
        <f t="shared" ca="1" si="2"/>
        <v>39448</v>
      </c>
      <c r="R8" s="40">
        <f t="shared" ca="1" si="2"/>
        <v>39479</v>
      </c>
      <c r="S8" s="40">
        <f t="shared" ca="1" si="2"/>
        <v>39508</v>
      </c>
      <c r="T8" s="40">
        <f t="shared" ca="1" si="2"/>
        <v>39539</v>
      </c>
      <c r="U8" s="40">
        <f t="shared" ca="1" si="2"/>
        <v>39569</v>
      </c>
      <c r="V8" s="40">
        <f t="shared" ca="1" si="2"/>
        <v>39600</v>
      </c>
      <c r="W8" s="40">
        <f t="shared" ca="1" si="2"/>
        <v>39630</v>
      </c>
      <c r="X8" s="40">
        <f t="shared" ca="1" si="2"/>
        <v>39661</v>
      </c>
      <c r="Y8" s="40">
        <f t="shared" ca="1" si="2"/>
        <v>39692</v>
      </c>
      <c r="Z8" s="40">
        <f t="shared" ca="1" si="2"/>
        <v>39722</v>
      </c>
      <c r="AA8" s="40">
        <f t="shared" ca="1" si="2"/>
        <v>39753</v>
      </c>
      <c r="AB8" s="40">
        <f t="shared" ca="1" si="2"/>
        <v>39783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AB9" ca="1" si="3">AbraSale(URL,Username,Password,$D9,E$6,E$7)</f>
        <v>32</v>
      </c>
      <c r="F9" s="93">
        <f t="shared" ca="1" si="3"/>
        <v>0</v>
      </c>
      <c r="G9" s="93">
        <f t="shared" ca="1" si="3"/>
        <v>19</v>
      </c>
      <c r="H9" s="93">
        <f t="shared" ca="1" si="3"/>
        <v>-1</v>
      </c>
      <c r="I9" s="93">
        <f t="shared" ca="1" si="3"/>
        <v>200</v>
      </c>
      <c r="J9" s="93">
        <f t="shared" ca="1" si="3"/>
        <v>0</v>
      </c>
      <c r="K9" s="93">
        <f t="shared" ca="1" si="3"/>
        <v>40</v>
      </c>
      <c r="L9" s="93">
        <f t="shared" ca="1" si="3"/>
        <v>74</v>
      </c>
      <c r="M9" s="93">
        <f t="shared" ca="1" si="3"/>
        <v>0</v>
      </c>
      <c r="N9" s="93">
        <f t="shared" ca="1" si="3"/>
        <v>0</v>
      </c>
      <c r="O9" s="93">
        <f t="shared" ca="1" si="3"/>
        <v>0</v>
      </c>
      <c r="P9" s="93">
        <f t="shared" ca="1" si="3"/>
        <v>0</v>
      </c>
      <c r="Q9" s="93">
        <f t="shared" ca="1" si="3"/>
        <v>0</v>
      </c>
      <c r="R9" s="93">
        <f t="shared" ca="1" si="3"/>
        <v>0</v>
      </c>
      <c r="S9" s="93">
        <f t="shared" ca="1" si="3"/>
        <v>0</v>
      </c>
      <c r="T9" s="93">
        <f t="shared" ca="1" si="3"/>
        <v>0</v>
      </c>
      <c r="U9" s="93">
        <f t="shared" ca="1" si="3"/>
        <v>0</v>
      </c>
      <c r="V9" s="93">
        <f t="shared" ca="1" si="3"/>
        <v>0</v>
      </c>
      <c r="W9" s="93">
        <f t="shared" ca="1" si="3"/>
        <v>0</v>
      </c>
      <c r="X9" s="93">
        <f t="shared" ca="1" si="3"/>
        <v>0</v>
      </c>
      <c r="Y9" s="93">
        <f t="shared" ca="1" si="3"/>
        <v>27</v>
      </c>
      <c r="Z9" s="93">
        <f t="shared" ca="1" si="3"/>
        <v>0</v>
      </c>
      <c r="AA9" s="93">
        <f t="shared" ca="1" si="3"/>
        <v>0</v>
      </c>
      <c r="AB9" s="93">
        <f t="shared" ca="1" si="3"/>
        <v>0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ref="E10:N10" ca="1" si="4">AbraSale(URL,Username,Password,$D10,E$6,E$7)/1000</f>
        <v>1221.7096999999999</v>
      </c>
      <c r="F10" s="93">
        <f t="shared" ca="1" si="4"/>
        <v>0</v>
      </c>
      <c r="G10" s="93">
        <f t="shared" ca="1" si="4"/>
        <v>139.49600000000001</v>
      </c>
      <c r="H10" s="93">
        <f t="shared" ca="1" si="4"/>
        <v>-10</v>
      </c>
      <c r="I10" s="93">
        <f t="shared" ca="1" si="4"/>
        <v>1669.0029199999999</v>
      </c>
      <c r="J10" s="93">
        <f t="shared" ca="1" si="4"/>
        <v>0</v>
      </c>
      <c r="K10" s="93">
        <f t="shared" ca="1" si="4"/>
        <v>387.47500000000002</v>
      </c>
      <c r="L10" s="93">
        <f t="shared" ca="1" si="4"/>
        <v>1638.7</v>
      </c>
      <c r="M10" s="93">
        <f t="shared" ca="1" si="4"/>
        <v>0</v>
      </c>
      <c r="N10" s="93">
        <f t="shared" ca="1" si="4"/>
        <v>0</v>
      </c>
      <c r="O10" s="93">
        <f t="shared" ref="O10:AB10" ca="1" si="5">AbraSale(URL,Username,Password,$D10,O$6,O$7)/1000</f>
        <v>0</v>
      </c>
      <c r="P10" s="93">
        <f t="shared" ca="1" si="5"/>
        <v>0</v>
      </c>
      <c r="Q10" s="93">
        <f ca="1">AbraSale(URL,Username,Password,$D10,Q$6,Q$7)/1000</f>
        <v>0</v>
      </c>
      <c r="R10" s="93">
        <f t="shared" ca="1" si="5"/>
        <v>0</v>
      </c>
      <c r="S10" s="93">
        <f t="shared" ca="1" si="5"/>
        <v>0</v>
      </c>
      <c r="T10" s="93">
        <f t="shared" ca="1" si="5"/>
        <v>0</v>
      </c>
      <c r="U10" s="93">
        <f t="shared" ca="1" si="5"/>
        <v>0</v>
      </c>
      <c r="V10" s="93">
        <f t="shared" ca="1" si="5"/>
        <v>0</v>
      </c>
      <c r="W10" s="93">
        <f t="shared" ca="1" si="5"/>
        <v>0</v>
      </c>
      <c r="X10" s="93">
        <f t="shared" ca="1" si="5"/>
        <v>0</v>
      </c>
      <c r="Y10" s="93">
        <f t="shared" ca="1" si="5"/>
        <v>0.72269000000000005</v>
      </c>
      <c r="Z10" s="93">
        <f t="shared" ca="1" si="5"/>
        <v>0</v>
      </c>
      <c r="AA10" s="93">
        <f t="shared" ca="1" si="5"/>
        <v>0</v>
      </c>
      <c r="AB10" s="93">
        <f t="shared" ca="1" si="5"/>
        <v>0</v>
      </c>
      <c r="AC10" s="94"/>
    </row>
    <row r="11" spans="1:30" ht="15" customHeight="1" thickBot="1" x14ac:dyDescent="0.25">
      <c r="B11" s="173" t="s">
        <v>38</v>
      </c>
      <c r="C11" s="175"/>
      <c r="D11" s="174"/>
      <c r="E11" s="95">
        <f ca="1">E10/E9</f>
        <v>38.178428124999996</v>
      </c>
      <c r="F11" s="95" t="e">
        <f t="shared" ref="F11:AB11" ca="1" si="6">F10/F9</f>
        <v>#DIV/0!</v>
      </c>
      <c r="G11" s="95">
        <f t="shared" ca="1" si="6"/>
        <v>7.3418947368421055</v>
      </c>
      <c r="H11" s="95">
        <f t="shared" ca="1" si="6"/>
        <v>10</v>
      </c>
      <c r="I11" s="95">
        <f t="shared" ca="1" si="6"/>
        <v>8.3450145999999989</v>
      </c>
      <c r="J11" s="95" t="e">
        <f t="shared" ca="1" si="6"/>
        <v>#DIV/0!</v>
      </c>
      <c r="K11" s="95">
        <f t="shared" ca="1" si="6"/>
        <v>9.6868750000000006</v>
      </c>
      <c r="L11" s="95">
        <f t="shared" ca="1" si="6"/>
        <v>22.144594594594594</v>
      </c>
      <c r="M11" s="95" t="e">
        <f t="shared" ca="1" si="6"/>
        <v>#DIV/0!</v>
      </c>
      <c r="N11" s="95" t="e">
        <f t="shared" ca="1" si="6"/>
        <v>#DIV/0!</v>
      </c>
      <c r="O11" s="95" t="e">
        <f t="shared" ca="1" si="6"/>
        <v>#DIV/0!</v>
      </c>
      <c r="P11" s="95" t="e">
        <f t="shared" ca="1" si="6"/>
        <v>#DIV/0!</v>
      </c>
      <c r="Q11" s="95" t="e">
        <f t="shared" ca="1" si="6"/>
        <v>#DIV/0!</v>
      </c>
      <c r="R11" s="95" t="e">
        <f t="shared" ca="1" si="6"/>
        <v>#DIV/0!</v>
      </c>
      <c r="S11" s="95" t="e">
        <f t="shared" ca="1" si="6"/>
        <v>#DIV/0!</v>
      </c>
      <c r="T11" s="95" t="e">
        <f t="shared" ca="1" si="6"/>
        <v>#DIV/0!</v>
      </c>
      <c r="U11" s="95" t="e">
        <f t="shared" ca="1" si="6"/>
        <v>#DIV/0!</v>
      </c>
      <c r="V11" s="95" t="e">
        <f t="shared" ca="1" si="6"/>
        <v>#DIV/0!</v>
      </c>
      <c r="W11" s="95" t="e">
        <f t="shared" ca="1" si="6"/>
        <v>#DIV/0!</v>
      </c>
      <c r="X11" s="95" t="e">
        <f t="shared" ca="1" si="6"/>
        <v>#DIV/0!</v>
      </c>
      <c r="Y11" s="95">
        <f t="shared" ca="1" si="6"/>
        <v>2.6766296296296298E-2</v>
      </c>
      <c r="Z11" s="95" t="e">
        <f t="shared" ca="1" si="6"/>
        <v>#DIV/0!</v>
      </c>
      <c r="AA11" s="95" t="e">
        <f t="shared" ca="1" si="6"/>
        <v>#DIV/0!</v>
      </c>
      <c r="AB11" s="95" t="e">
        <f t="shared" ca="1" si="6"/>
        <v>#DIV/0!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AE9" sqref="AE9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39082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8"/>
      <c r="C6" s="179"/>
      <c r="D6" s="180"/>
      <c r="E6" s="126">
        <f ca="1">E7-IF(MONTH(E7)=2,IF(OR(YEAR(E7)=2008,YEAR(E7)=2012,YEAR(E7)=2016),29,28),IF(OR(MONTH(E7)=4,MONTH(E7)=6,MONTH(E7)=9,MONTH(E7)=11),30,31))+1</f>
        <v>38353</v>
      </c>
      <c r="F6" s="127">
        <f t="shared" ref="F6:AB6" ca="1" si="0">F7-IF(MONTH(F7)=2,IF(OR(YEAR(F7)=2008,YEAR(F7)=2012,YEAR(F7)=2016),29,28),IF(OR(MONTH(F7)=4,MONTH(F7)=6,MONTH(F7)=9,MONTH(F7)=11),30,31))+1</f>
        <v>38384</v>
      </c>
      <c r="G6" s="127">
        <f t="shared" ca="1" si="0"/>
        <v>38412</v>
      </c>
      <c r="H6" s="127">
        <f t="shared" ca="1" si="0"/>
        <v>38443</v>
      </c>
      <c r="I6" s="127">
        <f t="shared" ca="1" si="0"/>
        <v>38473</v>
      </c>
      <c r="J6" s="127">
        <f t="shared" ca="1" si="0"/>
        <v>38504</v>
      </c>
      <c r="K6" s="127">
        <f t="shared" ca="1" si="0"/>
        <v>38534</v>
      </c>
      <c r="L6" s="127">
        <f t="shared" ca="1" si="0"/>
        <v>38565</v>
      </c>
      <c r="M6" s="127">
        <f t="shared" ca="1" si="0"/>
        <v>38596</v>
      </c>
      <c r="N6" s="127">
        <f t="shared" ca="1" si="0"/>
        <v>38626</v>
      </c>
      <c r="O6" s="127">
        <f t="shared" ca="1" si="0"/>
        <v>38657</v>
      </c>
      <c r="P6" s="127">
        <f t="shared" ca="1" si="0"/>
        <v>38687</v>
      </c>
      <c r="Q6" s="127">
        <f t="shared" ca="1" si="0"/>
        <v>38718</v>
      </c>
      <c r="R6" s="127">
        <f t="shared" ca="1" si="0"/>
        <v>38749</v>
      </c>
      <c r="S6" s="127">
        <f t="shared" ca="1" si="0"/>
        <v>38777</v>
      </c>
      <c r="T6" s="127">
        <f t="shared" ca="1" si="0"/>
        <v>38808</v>
      </c>
      <c r="U6" s="127">
        <f t="shared" ca="1" si="0"/>
        <v>38838</v>
      </c>
      <c r="V6" s="127">
        <f t="shared" ca="1" si="0"/>
        <v>38869</v>
      </c>
      <c r="W6" s="127">
        <f t="shared" ca="1" si="0"/>
        <v>38899</v>
      </c>
      <c r="X6" s="127">
        <f t="shared" ca="1" si="0"/>
        <v>38930</v>
      </c>
      <c r="Y6" s="127">
        <f t="shared" ca="1" si="0"/>
        <v>38961</v>
      </c>
      <c r="Z6" s="127">
        <f t="shared" ca="1" si="0"/>
        <v>38991</v>
      </c>
      <c r="AA6" s="127">
        <f t="shared" ca="1" si="0"/>
        <v>39022</v>
      </c>
      <c r="AB6" s="127">
        <f t="shared" ca="1" si="0"/>
        <v>39052</v>
      </c>
    </row>
    <row r="7" spans="1:30" s="121" customFormat="1" ht="15" customHeight="1" thickBot="1" x14ac:dyDescent="0.25">
      <c r="A7" s="120"/>
      <c r="B7" s="181"/>
      <c r="C7" s="182"/>
      <c r="D7" s="183"/>
      <c r="E7" s="128">
        <f t="shared" ref="E7:AA7" ca="1" si="1">F6-1</f>
        <v>38383</v>
      </c>
      <c r="F7" s="129">
        <f t="shared" ca="1" si="1"/>
        <v>38411</v>
      </c>
      <c r="G7" s="129">
        <f t="shared" ca="1" si="1"/>
        <v>38442</v>
      </c>
      <c r="H7" s="129">
        <f t="shared" ca="1" si="1"/>
        <v>38472</v>
      </c>
      <c r="I7" s="129">
        <f t="shared" ca="1" si="1"/>
        <v>38503</v>
      </c>
      <c r="J7" s="129">
        <f t="shared" ca="1" si="1"/>
        <v>38533</v>
      </c>
      <c r="K7" s="129">
        <f t="shared" ca="1" si="1"/>
        <v>38564</v>
      </c>
      <c r="L7" s="129">
        <f t="shared" ca="1" si="1"/>
        <v>38595</v>
      </c>
      <c r="M7" s="129">
        <f t="shared" ca="1" si="1"/>
        <v>38625</v>
      </c>
      <c r="N7" s="129">
        <f t="shared" ca="1" si="1"/>
        <v>38656</v>
      </c>
      <c r="O7" s="129">
        <f t="shared" ca="1" si="1"/>
        <v>38686</v>
      </c>
      <c r="P7" s="129">
        <f t="shared" ca="1" si="1"/>
        <v>38717</v>
      </c>
      <c r="Q7" s="129">
        <f t="shared" ca="1" si="1"/>
        <v>38748</v>
      </c>
      <c r="R7" s="129">
        <f t="shared" ca="1" si="1"/>
        <v>38776</v>
      </c>
      <c r="S7" s="129">
        <f t="shared" ca="1" si="1"/>
        <v>38807</v>
      </c>
      <c r="T7" s="129">
        <f t="shared" ca="1" si="1"/>
        <v>38837</v>
      </c>
      <c r="U7" s="129">
        <f t="shared" ca="1" si="1"/>
        <v>38868</v>
      </c>
      <c r="V7" s="129">
        <f t="shared" ca="1" si="1"/>
        <v>38898</v>
      </c>
      <c r="W7" s="129">
        <f t="shared" ca="1" si="1"/>
        <v>38929</v>
      </c>
      <c r="X7" s="129">
        <f t="shared" ca="1" si="1"/>
        <v>38960</v>
      </c>
      <c r="Y7" s="129">
        <f t="shared" ca="1" si="1"/>
        <v>38990</v>
      </c>
      <c r="Z7" s="129">
        <f t="shared" ca="1" si="1"/>
        <v>39021</v>
      </c>
      <c r="AA7" s="129">
        <f t="shared" ca="1" si="1"/>
        <v>39051</v>
      </c>
      <c r="AB7" s="129">
        <f ca="1">D3</f>
        <v>39082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38353</v>
      </c>
      <c r="F8" s="131">
        <f t="shared" ca="1" si="2"/>
        <v>38384</v>
      </c>
      <c r="G8" s="131">
        <f t="shared" ca="1" si="2"/>
        <v>38412</v>
      </c>
      <c r="H8" s="131">
        <f t="shared" ca="1" si="2"/>
        <v>38443</v>
      </c>
      <c r="I8" s="131">
        <f t="shared" ca="1" si="2"/>
        <v>38473</v>
      </c>
      <c r="J8" s="131">
        <f t="shared" ca="1" si="2"/>
        <v>38504</v>
      </c>
      <c r="K8" s="131">
        <f t="shared" ca="1" si="2"/>
        <v>38534</v>
      </c>
      <c r="L8" s="131">
        <f t="shared" ca="1" si="2"/>
        <v>38565</v>
      </c>
      <c r="M8" s="131">
        <f t="shared" ca="1" si="2"/>
        <v>38596</v>
      </c>
      <c r="N8" s="131">
        <f t="shared" ca="1" si="2"/>
        <v>38626</v>
      </c>
      <c r="O8" s="131">
        <f t="shared" ca="1" si="2"/>
        <v>38657</v>
      </c>
      <c r="P8" s="131">
        <f t="shared" ca="1" si="2"/>
        <v>38687</v>
      </c>
      <c r="Q8" s="131">
        <f t="shared" ca="1" si="2"/>
        <v>38718</v>
      </c>
      <c r="R8" s="131">
        <f t="shared" ca="1" si="2"/>
        <v>38749</v>
      </c>
      <c r="S8" s="131">
        <f t="shared" ca="1" si="2"/>
        <v>38777</v>
      </c>
      <c r="T8" s="131">
        <f t="shared" ca="1" si="2"/>
        <v>38808</v>
      </c>
      <c r="U8" s="131">
        <f t="shared" ca="1" si="2"/>
        <v>38838</v>
      </c>
      <c r="V8" s="131">
        <f t="shared" ca="1" si="2"/>
        <v>38869</v>
      </c>
      <c r="W8" s="131">
        <f t="shared" ca="1" si="2"/>
        <v>38899</v>
      </c>
      <c r="X8" s="131">
        <f t="shared" ca="1" si="2"/>
        <v>38930</v>
      </c>
      <c r="Y8" s="131">
        <f t="shared" ca="1" si="2"/>
        <v>38961</v>
      </c>
      <c r="Z8" s="131">
        <f t="shared" ca="1" si="2"/>
        <v>38991</v>
      </c>
      <c r="AA8" s="131">
        <f t="shared" ca="1" si="2"/>
        <v>39022</v>
      </c>
      <c r="AB8" s="131">
        <f t="shared" ca="1" si="2"/>
        <v>39052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0</v>
      </c>
      <c r="F9" s="132">
        <f t="shared" ca="1" si="3"/>
        <v>0</v>
      </c>
      <c r="G9" s="132">
        <f t="shared" ca="1" si="3"/>
        <v>0</v>
      </c>
      <c r="H9" s="132">
        <f t="shared" ca="1" si="3"/>
        <v>0</v>
      </c>
      <c r="I9" s="132">
        <f t="shared" ca="1" si="3"/>
        <v>0</v>
      </c>
      <c r="J9" s="132">
        <f t="shared" ca="1" si="3"/>
        <v>0</v>
      </c>
      <c r="K9" s="132">
        <f t="shared" ca="1" si="3"/>
        <v>0</v>
      </c>
      <c r="L9" s="132">
        <f t="shared" ca="1" si="3"/>
        <v>0</v>
      </c>
      <c r="M9" s="132">
        <f t="shared" ca="1" si="3"/>
        <v>0</v>
      </c>
      <c r="N9" s="132">
        <f t="shared" ca="1" si="3"/>
        <v>0</v>
      </c>
      <c r="O9" s="132">
        <f t="shared" ref="O9:AB12" ca="1" si="4">AbraReceivable(URL,Username,Password,$D9,O$6,O$7)/1000</f>
        <v>0</v>
      </c>
      <c r="P9" s="132">
        <f t="shared" ca="1" si="4"/>
        <v>0</v>
      </c>
      <c r="Q9" s="132">
        <f t="shared" ca="1" si="4"/>
        <v>0</v>
      </c>
      <c r="R9" s="132">
        <f t="shared" ca="1" si="4"/>
        <v>0</v>
      </c>
      <c r="S9" s="132">
        <f t="shared" ca="1" si="4"/>
        <v>71.988</v>
      </c>
      <c r="T9" s="132">
        <f t="shared" ca="1" si="4"/>
        <v>0</v>
      </c>
      <c r="U9" s="132">
        <f t="shared" ca="1" si="4"/>
        <v>0</v>
      </c>
      <c r="V9" s="132">
        <f t="shared" ca="1" si="4"/>
        <v>0</v>
      </c>
      <c r="W9" s="132">
        <f t="shared" ca="1" si="4"/>
        <v>0</v>
      </c>
      <c r="X9" s="132">
        <f t="shared" ca="1" si="4"/>
        <v>0</v>
      </c>
      <c r="Y9" s="132">
        <f t="shared" ca="1" si="4"/>
        <v>0</v>
      </c>
      <c r="Z9" s="132">
        <f t="shared" ca="1" si="4"/>
        <v>0</v>
      </c>
      <c r="AA9" s="132">
        <f t="shared" ca="1" si="4"/>
        <v>0</v>
      </c>
      <c r="AB9" s="132">
        <f t="shared" ca="1" si="4"/>
        <v>0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0</v>
      </c>
      <c r="F10" s="132">
        <f t="shared" ca="1" si="3"/>
        <v>0</v>
      </c>
      <c r="G10" s="132">
        <f t="shared" ca="1" si="3"/>
        <v>0</v>
      </c>
      <c r="H10" s="132">
        <f t="shared" ca="1" si="3"/>
        <v>0</v>
      </c>
      <c r="I10" s="132">
        <f t="shared" ca="1" si="3"/>
        <v>0</v>
      </c>
      <c r="J10" s="132">
        <f t="shared" ca="1" si="3"/>
        <v>0</v>
      </c>
      <c r="K10" s="132">
        <f t="shared" ca="1" si="3"/>
        <v>0</v>
      </c>
      <c r="L10" s="132">
        <f t="shared" ca="1" si="3"/>
        <v>0</v>
      </c>
      <c r="M10" s="132">
        <f t="shared" ca="1" si="3"/>
        <v>0</v>
      </c>
      <c r="N10" s="132">
        <f t="shared" ca="1" si="3"/>
        <v>0</v>
      </c>
      <c r="O10" s="132">
        <f t="shared" ca="1" si="4"/>
        <v>0</v>
      </c>
      <c r="P10" s="132">
        <f t="shared" ca="1" si="4"/>
        <v>0</v>
      </c>
      <c r="Q10" s="132">
        <f t="shared" ca="1" si="4"/>
        <v>0</v>
      </c>
      <c r="R10" s="132">
        <f t="shared" ca="1" si="4"/>
        <v>0</v>
      </c>
      <c r="S10" s="132">
        <f t="shared" ca="1" si="4"/>
        <v>3.14005</v>
      </c>
      <c r="T10" s="132">
        <f t="shared" ca="1" si="4"/>
        <v>0</v>
      </c>
      <c r="U10" s="132">
        <f t="shared" ca="1" si="4"/>
        <v>0</v>
      </c>
      <c r="V10" s="132">
        <f t="shared" ca="1" si="4"/>
        <v>0</v>
      </c>
      <c r="W10" s="132">
        <f t="shared" ca="1" si="4"/>
        <v>0</v>
      </c>
      <c r="X10" s="132">
        <f t="shared" ca="1" si="4"/>
        <v>0</v>
      </c>
      <c r="Y10" s="132">
        <f t="shared" ca="1" si="4"/>
        <v>0</v>
      </c>
      <c r="Z10" s="132">
        <f t="shared" ca="1" si="4"/>
        <v>0</v>
      </c>
      <c r="AA10" s="132">
        <f t="shared" ca="1" si="4"/>
        <v>0</v>
      </c>
      <c r="AB10" s="132">
        <f t="shared" ca="1" si="4"/>
        <v>0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0</v>
      </c>
      <c r="F11" s="132">
        <f t="shared" ca="1" si="3"/>
        <v>0</v>
      </c>
      <c r="G11" s="132">
        <f t="shared" ca="1" si="3"/>
        <v>0</v>
      </c>
      <c r="H11" s="132">
        <f t="shared" ca="1" si="3"/>
        <v>0</v>
      </c>
      <c r="I11" s="132">
        <f t="shared" ca="1" si="3"/>
        <v>0</v>
      </c>
      <c r="J11" s="132">
        <f t="shared" ca="1" si="3"/>
        <v>0</v>
      </c>
      <c r="K11" s="132">
        <f t="shared" ca="1" si="3"/>
        <v>0</v>
      </c>
      <c r="L11" s="132">
        <f t="shared" ca="1" si="3"/>
        <v>0</v>
      </c>
      <c r="M11" s="132">
        <f t="shared" ca="1" si="3"/>
        <v>0</v>
      </c>
      <c r="N11" s="132">
        <f t="shared" ca="1" si="3"/>
        <v>0</v>
      </c>
      <c r="O11" s="132">
        <f t="shared" ca="1" si="4"/>
        <v>0</v>
      </c>
      <c r="P11" s="132">
        <f t="shared" ca="1" si="4"/>
        <v>0</v>
      </c>
      <c r="Q11" s="132">
        <f t="shared" ca="1" si="4"/>
        <v>0</v>
      </c>
      <c r="R11" s="132">
        <f t="shared" ca="1" si="4"/>
        <v>0</v>
      </c>
      <c r="S11" s="132">
        <f t="shared" ca="1" si="4"/>
        <v>68.847949999999997</v>
      </c>
      <c r="T11" s="132">
        <f t="shared" ca="1" si="4"/>
        <v>0</v>
      </c>
      <c r="U11" s="132">
        <f t="shared" ca="1" si="4"/>
        <v>0</v>
      </c>
      <c r="V11" s="132">
        <f t="shared" ca="1" si="4"/>
        <v>0</v>
      </c>
      <c r="W11" s="132">
        <f t="shared" ca="1" si="4"/>
        <v>0</v>
      </c>
      <c r="X11" s="132">
        <f t="shared" ca="1" si="4"/>
        <v>0</v>
      </c>
      <c r="Y11" s="132">
        <f t="shared" ca="1" si="4"/>
        <v>0</v>
      </c>
      <c r="Z11" s="132">
        <f t="shared" ca="1" si="4"/>
        <v>0</v>
      </c>
      <c r="AA11" s="132">
        <f t="shared" ca="1" si="4"/>
        <v>0</v>
      </c>
      <c r="AB11" s="132">
        <f t="shared" ca="1" si="4"/>
        <v>0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0</v>
      </c>
      <c r="F12" s="132">
        <f t="shared" ca="1" si="3"/>
        <v>0</v>
      </c>
      <c r="G12" s="132">
        <f t="shared" ca="1" si="3"/>
        <v>0</v>
      </c>
      <c r="H12" s="132">
        <f t="shared" ca="1" si="3"/>
        <v>0</v>
      </c>
      <c r="I12" s="132">
        <f t="shared" ca="1" si="3"/>
        <v>0</v>
      </c>
      <c r="J12" s="132">
        <f t="shared" ca="1" si="3"/>
        <v>0</v>
      </c>
      <c r="K12" s="132">
        <f t="shared" ca="1" si="3"/>
        <v>0</v>
      </c>
      <c r="L12" s="132">
        <f t="shared" ca="1" si="3"/>
        <v>0</v>
      </c>
      <c r="M12" s="132">
        <f t="shared" ca="1" si="3"/>
        <v>0</v>
      </c>
      <c r="N12" s="132">
        <f t="shared" ca="1" si="3"/>
        <v>0</v>
      </c>
      <c r="O12" s="132">
        <f t="shared" ca="1" si="4"/>
        <v>0</v>
      </c>
      <c r="P12" s="132">
        <f t="shared" ca="1" si="4"/>
        <v>0</v>
      </c>
      <c r="Q12" s="132">
        <f t="shared" ca="1" si="4"/>
        <v>0</v>
      </c>
      <c r="R12" s="132">
        <f t="shared" ca="1" si="4"/>
        <v>0</v>
      </c>
      <c r="S12" s="132">
        <f t="shared" ca="1" si="4"/>
        <v>0</v>
      </c>
      <c r="T12" s="132">
        <f t="shared" ca="1" si="4"/>
        <v>0</v>
      </c>
      <c r="U12" s="132">
        <f t="shared" ca="1" si="4"/>
        <v>0</v>
      </c>
      <c r="V12" s="132">
        <f t="shared" ca="1" si="4"/>
        <v>0</v>
      </c>
      <c r="W12" s="132">
        <f t="shared" ca="1" si="4"/>
        <v>0</v>
      </c>
      <c r="X12" s="132">
        <f t="shared" ca="1" si="4"/>
        <v>0</v>
      </c>
      <c r="Y12" s="132">
        <f t="shared" ca="1" si="4"/>
        <v>0</v>
      </c>
      <c r="Z12" s="132">
        <f t="shared" ca="1" si="4"/>
        <v>0</v>
      </c>
      <c r="AA12" s="132">
        <f t="shared" ca="1" si="4"/>
        <v>0</v>
      </c>
      <c r="AB12" s="132">
        <f t="shared" ca="1" si="4"/>
        <v>0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39813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8"/>
      <c r="C20" s="179"/>
      <c r="D20" s="180"/>
      <c r="E20" s="126">
        <f ca="1">E21-IF(MONTH(E21)=2,IF(OR(YEAR(E21)=2008,YEAR(E21)=2012,YEAR(E21)=2016),29,28),IF(OR(MONTH(E21)=4,MONTH(E21)=6,MONTH(E21)=9,MONTH(E21)=11),30,31))+1</f>
        <v>39083</v>
      </c>
      <c r="F20" s="127">
        <f t="shared" ref="F20:AB20" ca="1" si="5">F21-IF(MONTH(F21)=2,IF(OR(YEAR(F21)=2008,YEAR(F21)=2012,YEAR(F21)=2016),29,28),IF(OR(MONTH(F21)=4,MONTH(F21)=6,MONTH(F21)=9,MONTH(F21)=11),30,31))+1</f>
        <v>39114</v>
      </c>
      <c r="G20" s="127">
        <f t="shared" ca="1" si="5"/>
        <v>39142</v>
      </c>
      <c r="H20" s="127">
        <f t="shared" ca="1" si="5"/>
        <v>39173</v>
      </c>
      <c r="I20" s="127">
        <f t="shared" ca="1" si="5"/>
        <v>39203</v>
      </c>
      <c r="J20" s="127">
        <f t="shared" ca="1" si="5"/>
        <v>39234</v>
      </c>
      <c r="K20" s="127">
        <f t="shared" ca="1" si="5"/>
        <v>39264</v>
      </c>
      <c r="L20" s="127">
        <f t="shared" ca="1" si="5"/>
        <v>39295</v>
      </c>
      <c r="M20" s="127">
        <f t="shared" ca="1" si="5"/>
        <v>39326</v>
      </c>
      <c r="N20" s="127">
        <f t="shared" ca="1" si="5"/>
        <v>39356</v>
      </c>
      <c r="O20" s="127">
        <f t="shared" ca="1" si="5"/>
        <v>39387</v>
      </c>
      <c r="P20" s="127">
        <f t="shared" ca="1" si="5"/>
        <v>39417</v>
      </c>
      <c r="Q20" s="127">
        <f t="shared" ca="1" si="5"/>
        <v>39448</v>
      </c>
      <c r="R20" s="127">
        <f t="shared" ca="1" si="5"/>
        <v>39479</v>
      </c>
      <c r="S20" s="127">
        <f t="shared" ca="1" si="5"/>
        <v>39508</v>
      </c>
      <c r="T20" s="127">
        <f t="shared" ca="1" si="5"/>
        <v>39539</v>
      </c>
      <c r="U20" s="127">
        <f t="shared" ca="1" si="5"/>
        <v>39569</v>
      </c>
      <c r="V20" s="127">
        <f t="shared" ca="1" si="5"/>
        <v>39600</v>
      </c>
      <c r="W20" s="127">
        <f t="shared" ca="1" si="5"/>
        <v>39630</v>
      </c>
      <c r="X20" s="127">
        <f t="shared" ca="1" si="5"/>
        <v>39661</v>
      </c>
      <c r="Y20" s="127">
        <f t="shared" ca="1" si="5"/>
        <v>39692</v>
      </c>
      <c r="Z20" s="127">
        <f t="shared" ca="1" si="5"/>
        <v>39722</v>
      </c>
      <c r="AA20" s="127">
        <f t="shared" ca="1" si="5"/>
        <v>39753</v>
      </c>
      <c r="AB20" s="127">
        <f t="shared" ca="1" si="5"/>
        <v>39783</v>
      </c>
      <c r="AC20" s="121"/>
    </row>
    <row r="21" spans="2:29" ht="15.75" thickBot="1" x14ac:dyDescent="0.25">
      <c r="B21" s="181"/>
      <c r="C21" s="182"/>
      <c r="D21" s="183"/>
      <c r="E21" s="128">
        <f t="shared" ref="E21" ca="1" si="6">F20-1</f>
        <v>39113</v>
      </c>
      <c r="F21" s="129">
        <f t="shared" ref="F21" ca="1" si="7">G20-1</f>
        <v>39141</v>
      </c>
      <c r="G21" s="129">
        <f t="shared" ref="G21" ca="1" si="8">H20-1</f>
        <v>39172</v>
      </c>
      <c r="H21" s="129">
        <f t="shared" ref="H21" ca="1" si="9">I20-1</f>
        <v>39202</v>
      </c>
      <c r="I21" s="129">
        <f t="shared" ref="I21" ca="1" si="10">J20-1</f>
        <v>39233</v>
      </c>
      <c r="J21" s="129">
        <f t="shared" ref="J21" ca="1" si="11">K20-1</f>
        <v>39263</v>
      </c>
      <c r="K21" s="129">
        <f t="shared" ref="K21" ca="1" si="12">L20-1</f>
        <v>39294</v>
      </c>
      <c r="L21" s="129">
        <f t="shared" ref="L21" ca="1" si="13">M20-1</f>
        <v>39325</v>
      </c>
      <c r="M21" s="129">
        <f t="shared" ref="M21" ca="1" si="14">N20-1</f>
        <v>39355</v>
      </c>
      <c r="N21" s="129">
        <f t="shared" ref="N21" ca="1" si="15">O20-1</f>
        <v>39386</v>
      </c>
      <c r="O21" s="129">
        <f t="shared" ref="O21" ca="1" si="16">P20-1</f>
        <v>39416</v>
      </c>
      <c r="P21" s="129">
        <f t="shared" ref="P21" ca="1" si="17">Q20-1</f>
        <v>39447</v>
      </c>
      <c r="Q21" s="129">
        <f t="shared" ref="Q21" ca="1" si="18">R20-1</f>
        <v>39478</v>
      </c>
      <c r="R21" s="129">
        <f t="shared" ref="R21" ca="1" si="19">S20-1</f>
        <v>39507</v>
      </c>
      <c r="S21" s="129">
        <f t="shared" ref="S21" ca="1" si="20">T20-1</f>
        <v>39538</v>
      </c>
      <c r="T21" s="129">
        <f t="shared" ref="T21" ca="1" si="21">U20-1</f>
        <v>39568</v>
      </c>
      <c r="U21" s="129">
        <f t="shared" ref="U21" ca="1" si="22">V20-1</f>
        <v>39599</v>
      </c>
      <c r="V21" s="129">
        <f t="shared" ref="V21" ca="1" si="23">W20-1</f>
        <v>39629</v>
      </c>
      <c r="W21" s="129">
        <f t="shared" ref="W21" ca="1" si="24">X20-1</f>
        <v>39660</v>
      </c>
      <c r="X21" s="129">
        <f t="shared" ref="X21" ca="1" si="25">Y20-1</f>
        <v>39691</v>
      </c>
      <c r="Y21" s="129">
        <f t="shared" ref="Y21" ca="1" si="26">Z20-1</f>
        <v>39721</v>
      </c>
      <c r="Z21" s="129">
        <f t="shared" ref="Z21" ca="1" si="27">AA20-1</f>
        <v>39752</v>
      </c>
      <c r="AA21" s="129">
        <f t="shared" ref="AA21" ca="1" si="28">AB20-1</f>
        <v>39782</v>
      </c>
      <c r="AB21" s="129">
        <f ca="1">D17</f>
        <v>39813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39083</v>
      </c>
      <c r="F22" s="131">
        <f t="shared" ca="1" si="29"/>
        <v>39114</v>
      </c>
      <c r="G22" s="131">
        <f t="shared" ca="1" si="29"/>
        <v>39142</v>
      </c>
      <c r="H22" s="131">
        <f t="shared" ca="1" si="29"/>
        <v>39173</v>
      </c>
      <c r="I22" s="131">
        <f t="shared" ca="1" si="29"/>
        <v>39203</v>
      </c>
      <c r="J22" s="131">
        <f t="shared" ca="1" si="29"/>
        <v>39234</v>
      </c>
      <c r="K22" s="131">
        <f t="shared" ca="1" si="29"/>
        <v>39264</v>
      </c>
      <c r="L22" s="131">
        <f t="shared" ca="1" si="29"/>
        <v>39295</v>
      </c>
      <c r="M22" s="131">
        <f t="shared" ca="1" si="29"/>
        <v>39326</v>
      </c>
      <c r="N22" s="131">
        <f t="shared" ca="1" si="29"/>
        <v>39356</v>
      </c>
      <c r="O22" s="131">
        <f t="shared" ca="1" si="29"/>
        <v>39387</v>
      </c>
      <c r="P22" s="131">
        <f t="shared" ca="1" si="29"/>
        <v>39417</v>
      </c>
      <c r="Q22" s="131">
        <f t="shared" ca="1" si="29"/>
        <v>39448</v>
      </c>
      <c r="R22" s="131">
        <f t="shared" ca="1" si="29"/>
        <v>39479</v>
      </c>
      <c r="S22" s="131">
        <f t="shared" ca="1" si="29"/>
        <v>39508</v>
      </c>
      <c r="T22" s="131">
        <f t="shared" ca="1" si="29"/>
        <v>39539</v>
      </c>
      <c r="U22" s="131">
        <f t="shared" ca="1" si="29"/>
        <v>39569</v>
      </c>
      <c r="V22" s="131">
        <f t="shared" ca="1" si="29"/>
        <v>39600</v>
      </c>
      <c r="W22" s="131">
        <f t="shared" ca="1" si="29"/>
        <v>39630</v>
      </c>
      <c r="X22" s="131">
        <f t="shared" ca="1" si="29"/>
        <v>39661</v>
      </c>
      <c r="Y22" s="131">
        <f t="shared" ca="1" si="29"/>
        <v>39692</v>
      </c>
      <c r="Z22" s="131">
        <f t="shared" ca="1" si="29"/>
        <v>39722</v>
      </c>
      <c r="AA22" s="131">
        <f t="shared" ca="1" si="29"/>
        <v>39753</v>
      </c>
      <c r="AB22" s="131">
        <f t="shared" ca="1" si="29"/>
        <v>39783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154.10499999999999</v>
      </c>
      <c r="F23" s="132">
        <f t="shared" ca="1" si="30"/>
        <v>0</v>
      </c>
      <c r="G23" s="132">
        <f t="shared" ca="1" si="30"/>
        <v>0</v>
      </c>
      <c r="H23" s="132">
        <f t="shared" ca="1" si="30"/>
        <v>0</v>
      </c>
      <c r="I23" s="132">
        <f t="shared" ca="1" si="30"/>
        <v>0</v>
      </c>
      <c r="J23" s="132">
        <f t="shared" ca="1" si="30"/>
        <v>0</v>
      </c>
      <c r="K23" s="132">
        <f t="shared" ca="1" si="30"/>
        <v>0</v>
      </c>
      <c r="L23" s="132">
        <f t="shared" ca="1" si="30"/>
        <v>0</v>
      </c>
      <c r="M23" s="132">
        <f t="shared" ca="1" si="30"/>
        <v>0</v>
      </c>
      <c r="N23" s="132">
        <f t="shared" ca="1" si="30"/>
        <v>0</v>
      </c>
      <c r="O23" s="132">
        <f t="shared" ref="O23:AB26" ca="1" si="31">AbraPayable(URL,Username,Password,$D23,O$20,O$21)/1000</f>
        <v>0</v>
      </c>
      <c r="P23" s="132">
        <f t="shared" ca="1" si="31"/>
        <v>0</v>
      </c>
      <c r="Q23" s="132">
        <f t="shared" ca="1" si="31"/>
        <v>35.700000000000003</v>
      </c>
      <c r="R23" s="132">
        <f t="shared" ca="1" si="31"/>
        <v>0</v>
      </c>
      <c r="S23" s="132">
        <f t="shared" ca="1" si="31"/>
        <v>0</v>
      </c>
      <c r="T23" s="132">
        <f t="shared" ca="1" si="31"/>
        <v>0</v>
      </c>
      <c r="U23" s="132">
        <f t="shared" ca="1" si="31"/>
        <v>0</v>
      </c>
      <c r="V23" s="132">
        <f t="shared" ca="1" si="31"/>
        <v>0</v>
      </c>
      <c r="W23" s="132">
        <f t="shared" ca="1" si="31"/>
        <v>0</v>
      </c>
      <c r="X23" s="132">
        <f t="shared" ca="1" si="31"/>
        <v>0</v>
      </c>
      <c r="Y23" s="132">
        <f t="shared" ca="1" si="31"/>
        <v>0</v>
      </c>
      <c r="Z23" s="132">
        <f t="shared" ca="1" si="31"/>
        <v>0</v>
      </c>
      <c r="AA23" s="132">
        <f t="shared" ca="1" si="31"/>
        <v>0</v>
      </c>
      <c r="AB23" s="132">
        <f t="shared" ca="1" si="31"/>
        <v>0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0</v>
      </c>
      <c r="H24" s="132">
        <f t="shared" ca="1" si="30"/>
        <v>0</v>
      </c>
      <c r="I24" s="132">
        <f t="shared" ca="1" si="30"/>
        <v>0</v>
      </c>
      <c r="J24" s="132">
        <f t="shared" ca="1" si="30"/>
        <v>0</v>
      </c>
      <c r="K24" s="132">
        <f t="shared" ca="1" si="30"/>
        <v>0</v>
      </c>
      <c r="L24" s="132">
        <f t="shared" ca="1" si="30"/>
        <v>0</v>
      </c>
      <c r="M24" s="132">
        <f t="shared" ca="1" si="30"/>
        <v>0</v>
      </c>
      <c r="N24" s="132">
        <f t="shared" ca="1" si="30"/>
        <v>0</v>
      </c>
      <c r="O24" s="132">
        <f t="shared" ca="1" si="31"/>
        <v>0</v>
      </c>
      <c r="P24" s="132">
        <f t="shared" ca="1" si="31"/>
        <v>0</v>
      </c>
      <c r="Q24" s="132">
        <f t="shared" ca="1" si="31"/>
        <v>10</v>
      </c>
      <c r="R24" s="132">
        <f t="shared" ca="1" si="31"/>
        <v>0</v>
      </c>
      <c r="S24" s="132">
        <f t="shared" ca="1" si="31"/>
        <v>0</v>
      </c>
      <c r="T24" s="132">
        <f t="shared" ca="1" si="31"/>
        <v>0</v>
      </c>
      <c r="U24" s="132">
        <f t="shared" ca="1" si="31"/>
        <v>0</v>
      </c>
      <c r="V24" s="132">
        <f t="shared" ca="1" si="31"/>
        <v>0</v>
      </c>
      <c r="W24" s="132">
        <f t="shared" ca="1" si="31"/>
        <v>0</v>
      </c>
      <c r="X24" s="132">
        <f t="shared" ca="1" si="31"/>
        <v>0</v>
      </c>
      <c r="Y24" s="132">
        <f t="shared" ca="1" si="31"/>
        <v>0</v>
      </c>
      <c r="Z24" s="132">
        <f t="shared" ca="1" si="31"/>
        <v>0</v>
      </c>
      <c r="AA24" s="132">
        <f t="shared" ca="1" si="31"/>
        <v>0</v>
      </c>
      <c r="AB24" s="132">
        <f t="shared" ca="1" si="31"/>
        <v>0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154.10499999999999</v>
      </c>
      <c r="F25" s="132">
        <f t="shared" ca="1" si="30"/>
        <v>0</v>
      </c>
      <c r="G25" s="132">
        <f t="shared" ca="1" si="30"/>
        <v>0</v>
      </c>
      <c r="H25" s="132">
        <f t="shared" ca="1" si="30"/>
        <v>0</v>
      </c>
      <c r="I25" s="132">
        <f t="shared" ca="1" si="30"/>
        <v>0</v>
      </c>
      <c r="J25" s="132">
        <f t="shared" ca="1" si="30"/>
        <v>0</v>
      </c>
      <c r="K25" s="132">
        <f t="shared" ca="1" si="30"/>
        <v>0</v>
      </c>
      <c r="L25" s="132">
        <f t="shared" ca="1" si="30"/>
        <v>0</v>
      </c>
      <c r="M25" s="132">
        <f t="shared" ca="1" si="30"/>
        <v>0</v>
      </c>
      <c r="N25" s="132">
        <f t="shared" ca="1" si="30"/>
        <v>0</v>
      </c>
      <c r="O25" s="132">
        <f t="shared" ca="1" si="31"/>
        <v>0</v>
      </c>
      <c r="P25" s="132">
        <f t="shared" ca="1" si="31"/>
        <v>0</v>
      </c>
      <c r="Q25" s="132">
        <f t="shared" ca="1" si="31"/>
        <v>25.7</v>
      </c>
      <c r="R25" s="132">
        <f t="shared" ca="1" si="31"/>
        <v>0</v>
      </c>
      <c r="S25" s="132">
        <f t="shared" ca="1" si="31"/>
        <v>0</v>
      </c>
      <c r="T25" s="132">
        <f t="shared" ca="1" si="31"/>
        <v>0</v>
      </c>
      <c r="U25" s="132">
        <f t="shared" ca="1" si="31"/>
        <v>0</v>
      </c>
      <c r="V25" s="132">
        <f t="shared" ca="1" si="31"/>
        <v>0</v>
      </c>
      <c r="W25" s="132">
        <f t="shared" ca="1" si="31"/>
        <v>0</v>
      </c>
      <c r="X25" s="132">
        <f t="shared" ca="1" si="31"/>
        <v>0</v>
      </c>
      <c r="Y25" s="132">
        <f t="shared" ca="1" si="31"/>
        <v>0</v>
      </c>
      <c r="Z25" s="132">
        <f t="shared" ca="1" si="31"/>
        <v>0</v>
      </c>
      <c r="AA25" s="132">
        <f t="shared" ca="1" si="31"/>
        <v>0</v>
      </c>
      <c r="AB25" s="132">
        <f t="shared" ca="1" si="31"/>
        <v>0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0</v>
      </c>
      <c r="F26" s="132">
        <f t="shared" ca="1" si="30"/>
        <v>0</v>
      </c>
      <c r="G26" s="132">
        <f t="shared" ca="1" si="30"/>
        <v>0</v>
      </c>
      <c r="H26" s="132">
        <f t="shared" ca="1" si="30"/>
        <v>0</v>
      </c>
      <c r="I26" s="132">
        <f t="shared" ca="1" si="30"/>
        <v>0</v>
      </c>
      <c r="J26" s="132">
        <f t="shared" ca="1" si="30"/>
        <v>0</v>
      </c>
      <c r="K26" s="132">
        <f t="shared" ca="1" si="30"/>
        <v>0</v>
      </c>
      <c r="L26" s="132">
        <f t="shared" ca="1" si="30"/>
        <v>0</v>
      </c>
      <c r="M26" s="132">
        <f t="shared" ca="1" si="30"/>
        <v>0</v>
      </c>
      <c r="N26" s="132">
        <f t="shared" ca="1" si="30"/>
        <v>0</v>
      </c>
      <c r="O26" s="132">
        <f t="shared" ca="1" si="31"/>
        <v>0</v>
      </c>
      <c r="P26" s="132">
        <f t="shared" ca="1" si="31"/>
        <v>0</v>
      </c>
      <c r="Q26" s="132">
        <f t="shared" ca="1" si="31"/>
        <v>0</v>
      </c>
      <c r="R26" s="132">
        <f t="shared" ca="1" si="31"/>
        <v>0</v>
      </c>
      <c r="S26" s="132">
        <f t="shared" ca="1" si="31"/>
        <v>0</v>
      </c>
      <c r="T26" s="132">
        <f t="shared" ca="1" si="31"/>
        <v>0</v>
      </c>
      <c r="U26" s="132">
        <f t="shared" ca="1" si="31"/>
        <v>0</v>
      </c>
      <c r="V26" s="132">
        <f t="shared" ca="1" si="31"/>
        <v>0</v>
      </c>
      <c r="W26" s="132">
        <f t="shared" ca="1" si="31"/>
        <v>0</v>
      </c>
      <c r="X26" s="132">
        <f t="shared" ca="1" si="31"/>
        <v>0</v>
      </c>
      <c r="Y26" s="132">
        <f t="shared" ca="1" si="31"/>
        <v>0</v>
      </c>
      <c r="Z26" s="132">
        <f t="shared" ca="1" si="31"/>
        <v>0</v>
      </c>
      <c r="AA26" s="132">
        <f t="shared" ca="1" si="31"/>
        <v>0</v>
      </c>
      <c r="AB26" s="132">
        <f t="shared" ca="1" si="31"/>
        <v>0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AF6" sqref="AF6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39447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38718</v>
      </c>
      <c r="F6" s="35">
        <f t="shared" ref="F6:AB6" ca="1" si="0">F7-IF(MONTH(F7)=2,IF(OR(YEAR(F7)=2008,YEAR(F7)=2012,YEAR(F7)=2016),29,28),IF(OR(MONTH(F7)=4,MONTH(F7)=6,MONTH(F7)=9,MONTH(F7)=11),30,31))+1</f>
        <v>38749</v>
      </c>
      <c r="G6" s="35">
        <f t="shared" ca="1" si="0"/>
        <v>38777</v>
      </c>
      <c r="H6" s="35">
        <f t="shared" ca="1" si="0"/>
        <v>38808</v>
      </c>
      <c r="I6" s="35">
        <f t="shared" ca="1" si="0"/>
        <v>38838</v>
      </c>
      <c r="J6" s="35">
        <f t="shared" ca="1" si="0"/>
        <v>38869</v>
      </c>
      <c r="K6" s="35">
        <f t="shared" ca="1" si="0"/>
        <v>38899</v>
      </c>
      <c r="L6" s="35">
        <f t="shared" ca="1" si="0"/>
        <v>38930</v>
      </c>
      <c r="M6" s="35">
        <f t="shared" ca="1" si="0"/>
        <v>38961</v>
      </c>
      <c r="N6" s="35">
        <f t="shared" ca="1" si="0"/>
        <v>38991</v>
      </c>
      <c r="O6" s="35">
        <f t="shared" ca="1" si="0"/>
        <v>39022</v>
      </c>
      <c r="P6" s="35">
        <f t="shared" ca="1" si="0"/>
        <v>39052</v>
      </c>
      <c r="Q6" s="35">
        <f t="shared" ca="1" si="0"/>
        <v>39083</v>
      </c>
      <c r="R6" s="35">
        <f t="shared" ca="1" si="0"/>
        <v>39114</v>
      </c>
      <c r="S6" s="35">
        <f t="shared" ca="1" si="0"/>
        <v>39142</v>
      </c>
      <c r="T6" s="35">
        <f t="shared" ca="1" si="0"/>
        <v>39173</v>
      </c>
      <c r="U6" s="35">
        <f t="shared" ca="1" si="0"/>
        <v>39203</v>
      </c>
      <c r="V6" s="35">
        <f t="shared" ca="1" si="0"/>
        <v>39234</v>
      </c>
      <c r="W6" s="35">
        <f t="shared" ca="1" si="0"/>
        <v>39264</v>
      </c>
      <c r="X6" s="35">
        <f t="shared" ca="1" si="0"/>
        <v>39295</v>
      </c>
      <c r="Y6" s="35">
        <f t="shared" ca="1" si="0"/>
        <v>39326</v>
      </c>
      <c r="Z6" s="35">
        <f t="shared" ca="1" si="0"/>
        <v>39356</v>
      </c>
      <c r="AA6" s="35">
        <f t="shared" ca="1" si="0"/>
        <v>39387</v>
      </c>
      <c r="AB6" s="35">
        <f t="shared" ca="1" si="0"/>
        <v>39417</v>
      </c>
    </row>
    <row r="7" spans="1:30" s="29" customFormat="1" ht="15" customHeight="1" thickBot="1" x14ac:dyDescent="0.25">
      <c r="A7" s="27"/>
      <c r="B7" s="171"/>
      <c r="C7" s="177"/>
      <c r="D7" s="172"/>
      <c r="E7" s="36">
        <f t="shared" ref="E7:AA7" ca="1" si="1">F6-1</f>
        <v>38748</v>
      </c>
      <c r="F7" s="37">
        <f t="shared" ca="1" si="1"/>
        <v>38776</v>
      </c>
      <c r="G7" s="37">
        <f t="shared" ca="1" si="1"/>
        <v>38807</v>
      </c>
      <c r="H7" s="37">
        <f t="shared" ca="1" si="1"/>
        <v>38837</v>
      </c>
      <c r="I7" s="37">
        <f t="shared" ca="1" si="1"/>
        <v>38868</v>
      </c>
      <c r="J7" s="37">
        <f t="shared" ca="1" si="1"/>
        <v>38898</v>
      </c>
      <c r="K7" s="37">
        <f t="shared" ca="1" si="1"/>
        <v>38929</v>
      </c>
      <c r="L7" s="37">
        <f t="shared" ca="1" si="1"/>
        <v>38960</v>
      </c>
      <c r="M7" s="37">
        <f t="shared" ca="1" si="1"/>
        <v>38990</v>
      </c>
      <c r="N7" s="37">
        <f t="shared" ca="1" si="1"/>
        <v>39021</v>
      </c>
      <c r="O7" s="37">
        <f t="shared" ca="1" si="1"/>
        <v>39051</v>
      </c>
      <c r="P7" s="37">
        <f t="shared" ca="1" si="1"/>
        <v>39082</v>
      </c>
      <c r="Q7" s="37">
        <f t="shared" ca="1" si="1"/>
        <v>39113</v>
      </c>
      <c r="R7" s="37">
        <f t="shared" ca="1" si="1"/>
        <v>39141</v>
      </c>
      <c r="S7" s="37">
        <f t="shared" ca="1" si="1"/>
        <v>39172</v>
      </c>
      <c r="T7" s="37">
        <f t="shared" ca="1" si="1"/>
        <v>39202</v>
      </c>
      <c r="U7" s="37">
        <f t="shared" ca="1" si="1"/>
        <v>39233</v>
      </c>
      <c r="V7" s="37">
        <f t="shared" ca="1" si="1"/>
        <v>39263</v>
      </c>
      <c r="W7" s="37">
        <f t="shared" ca="1" si="1"/>
        <v>39294</v>
      </c>
      <c r="X7" s="37">
        <f t="shared" ca="1" si="1"/>
        <v>39325</v>
      </c>
      <c r="Y7" s="37">
        <f t="shared" ca="1" si="1"/>
        <v>39355</v>
      </c>
      <c r="Z7" s="37">
        <f t="shared" ca="1" si="1"/>
        <v>39386</v>
      </c>
      <c r="AA7" s="37">
        <f t="shared" ca="1" si="1"/>
        <v>39416</v>
      </c>
      <c r="AB7" s="37">
        <f ca="1">D3</f>
        <v>39447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38718</v>
      </c>
      <c r="F8" s="39">
        <f t="shared" ca="1" si="2"/>
        <v>38749</v>
      </c>
      <c r="G8" s="39">
        <f t="shared" ca="1" si="2"/>
        <v>38777</v>
      </c>
      <c r="H8" s="40">
        <f t="shared" ca="1" si="2"/>
        <v>38808</v>
      </c>
      <c r="I8" s="40">
        <f t="shared" ca="1" si="2"/>
        <v>38838</v>
      </c>
      <c r="J8" s="40">
        <f t="shared" ca="1" si="2"/>
        <v>38869</v>
      </c>
      <c r="K8" s="40">
        <f t="shared" ca="1" si="2"/>
        <v>38899</v>
      </c>
      <c r="L8" s="40">
        <f t="shared" ca="1" si="2"/>
        <v>38930</v>
      </c>
      <c r="M8" s="40">
        <f t="shared" ca="1" si="2"/>
        <v>38961</v>
      </c>
      <c r="N8" s="40">
        <f t="shared" ca="1" si="2"/>
        <v>38991</v>
      </c>
      <c r="O8" s="40">
        <f t="shared" ca="1" si="2"/>
        <v>39022</v>
      </c>
      <c r="P8" s="40">
        <f t="shared" ca="1" si="2"/>
        <v>39052</v>
      </c>
      <c r="Q8" s="40">
        <f t="shared" ca="1" si="2"/>
        <v>39083</v>
      </c>
      <c r="R8" s="40">
        <f t="shared" ca="1" si="2"/>
        <v>39114</v>
      </c>
      <c r="S8" s="40">
        <f t="shared" ca="1" si="2"/>
        <v>39142</v>
      </c>
      <c r="T8" s="40">
        <f t="shared" ca="1" si="2"/>
        <v>39173</v>
      </c>
      <c r="U8" s="40">
        <f t="shared" ca="1" si="2"/>
        <v>39203</v>
      </c>
      <c r="V8" s="40">
        <f t="shared" ca="1" si="2"/>
        <v>39234</v>
      </c>
      <c r="W8" s="40">
        <f t="shared" ca="1" si="2"/>
        <v>39264</v>
      </c>
      <c r="X8" s="40">
        <f t="shared" ca="1" si="2"/>
        <v>39295</v>
      </c>
      <c r="Y8" s="40">
        <f t="shared" ca="1" si="2"/>
        <v>39326</v>
      </c>
      <c r="Z8" s="40">
        <f t="shared" ca="1" si="2"/>
        <v>39356</v>
      </c>
      <c r="AA8" s="40">
        <f t="shared" ca="1" si="2"/>
        <v>39387</v>
      </c>
      <c r="AB8" s="40">
        <f t="shared" ca="1" si="2"/>
        <v>39417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14.693</v>
      </c>
      <c r="F9" s="161">
        <f t="shared" ca="1" si="3"/>
        <v>14.693</v>
      </c>
      <c r="G9" s="152">
        <f t="shared" ca="1" si="3"/>
        <v>14.692</v>
      </c>
      <c r="H9" s="152">
        <f t="shared" ca="1" si="3"/>
        <v>14.692</v>
      </c>
      <c r="I9" s="152">
        <f t="shared" ca="1" si="3"/>
        <v>14.692</v>
      </c>
      <c r="J9" s="152">
        <f t="shared" ca="1" si="3"/>
        <v>14.692</v>
      </c>
      <c r="K9" s="152">
        <f t="shared" ca="1" si="3"/>
        <v>14.691000000000001</v>
      </c>
      <c r="L9" s="152">
        <f t="shared" ca="1" si="3"/>
        <v>14.691000000000001</v>
      </c>
      <c r="M9" s="152">
        <f t="shared" ca="1" si="3"/>
        <v>14.691000000000001</v>
      </c>
      <c r="N9" s="152">
        <f t="shared" ca="1" si="3"/>
        <v>14.691000000000001</v>
      </c>
      <c r="O9" s="152">
        <f t="shared" ca="1" si="3"/>
        <v>14.691000000000001</v>
      </c>
      <c r="P9" s="152">
        <f t="shared" ca="1" si="3"/>
        <v>14.691000000000001</v>
      </c>
      <c r="Q9" s="152">
        <f t="shared" ca="1" si="3"/>
        <v>12.766</v>
      </c>
      <c r="R9" s="152">
        <f t="shared" ca="1" si="3"/>
        <v>12.766</v>
      </c>
      <c r="S9" s="152">
        <f t="shared" ca="1" si="3"/>
        <v>12.766</v>
      </c>
      <c r="T9" s="152">
        <f t="shared" ca="1" si="3"/>
        <v>12.765000000000001</v>
      </c>
      <c r="U9" s="152">
        <f t="shared" ref="U9:AB9" ca="1" si="4">AbraDepreciation(URL,Username,Password,$D9,U$6,U$7)/1000</f>
        <v>12.763999999999999</v>
      </c>
      <c r="V9" s="152">
        <f t="shared" ca="1" si="4"/>
        <v>12.763999999999999</v>
      </c>
      <c r="W9" s="152">
        <f t="shared" ca="1" si="4"/>
        <v>12.763999999999999</v>
      </c>
      <c r="X9" s="152">
        <f t="shared" ca="1" si="4"/>
        <v>12.763999999999999</v>
      </c>
      <c r="Y9" s="152">
        <f t="shared" ca="1" si="4"/>
        <v>12.763999999999999</v>
      </c>
      <c r="Z9" s="152">
        <f t="shared" ca="1" si="4"/>
        <v>12.763999999999999</v>
      </c>
      <c r="AA9" s="152">
        <f t="shared" ca="1" si="4"/>
        <v>12.763999999999999</v>
      </c>
      <c r="AB9" s="152">
        <f t="shared" ca="1" si="4"/>
        <v>12.763999999999999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14.693</v>
      </c>
      <c r="F10" s="140">
        <f t="shared" ca="1" si="3"/>
        <v>14.693</v>
      </c>
      <c r="G10" s="140">
        <f t="shared" ca="1" si="3"/>
        <v>14.692</v>
      </c>
      <c r="H10" s="140">
        <f t="shared" ca="1" si="3"/>
        <v>14.692</v>
      </c>
      <c r="I10" s="140">
        <f t="shared" ca="1" si="3"/>
        <v>14.692</v>
      </c>
      <c r="J10" s="140">
        <f t="shared" ca="1" si="3"/>
        <v>14.692</v>
      </c>
      <c r="K10" s="140">
        <f t="shared" ca="1" si="3"/>
        <v>14.691000000000001</v>
      </c>
      <c r="L10" s="140">
        <f t="shared" ca="1" si="3"/>
        <v>14.691000000000001</v>
      </c>
      <c r="M10" s="140">
        <f t="shared" ca="1" si="3"/>
        <v>14.691000000000001</v>
      </c>
      <c r="N10" s="140">
        <f t="shared" ca="1" si="3"/>
        <v>14.691000000000001</v>
      </c>
      <c r="O10" s="140">
        <f t="shared" ref="O10:AB10" ca="1" si="5">AbraDepreciation(URL,Username,Password,$D10,O$6,O$7)/1000</f>
        <v>14.691000000000001</v>
      </c>
      <c r="P10" s="140">
        <f t="shared" ca="1" si="5"/>
        <v>14.691000000000001</v>
      </c>
      <c r="Q10" s="140">
        <f t="shared" ca="1" si="5"/>
        <v>12.766</v>
      </c>
      <c r="R10" s="140">
        <f t="shared" ca="1" si="5"/>
        <v>12.766</v>
      </c>
      <c r="S10" s="140">
        <f t="shared" ca="1" si="5"/>
        <v>12.766</v>
      </c>
      <c r="T10" s="140">
        <f t="shared" ca="1" si="5"/>
        <v>12.765000000000001</v>
      </c>
      <c r="U10" s="140">
        <f t="shared" ca="1" si="5"/>
        <v>12.763999999999999</v>
      </c>
      <c r="V10" s="140">
        <f t="shared" ca="1" si="5"/>
        <v>12.763999999999999</v>
      </c>
      <c r="W10" s="140">
        <f t="shared" ca="1" si="5"/>
        <v>12.763999999999999</v>
      </c>
      <c r="X10" s="140">
        <f t="shared" ca="1" si="5"/>
        <v>12.763999999999999</v>
      </c>
      <c r="Y10" s="140">
        <f t="shared" ca="1" si="5"/>
        <v>12.763999999999999</v>
      </c>
      <c r="Z10" s="140">
        <f t="shared" ca="1" si="5"/>
        <v>12.763999999999999</v>
      </c>
      <c r="AA10" s="140">
        <f t="shared" ca="1" si="5"/>
        <v>12.763999999999999</v>
      </c>
      <c r="AB10" s="140">
        <f t="shared" ca="1" si="5"/>
        <v>12.763999999999999</v>
      </c>
    </row>
    <row r="11" spans="1:30" ht="15" customHeight="1" thickBot="1" x14ac:dyDescent="0.25">
      <c r="B11" s="173" t="s">
        <v>21</v>
      </c>
      <c r="C11" s="175"/>
      <c r="D11" s="174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39447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9"/>
      <c r="C18" s="176"/>
      <c r="D18" s="170"/>
      <c r="E18" s="34">
        <f ca="1">E19-IF(MONTH(E19)=2,IF(OR(YEAR(E19)=2008,YEAR(E19)=2012,YEAR(E19)=2016),29,28),IF(OR(MONTH(E19)=4,MONTH(E19)=6,MONTH(E19)=9,MONTH(E19)=11),30,31))+1</f>
        <v>38718</v>
      </c>
      <c r="F18" s="35">
        <f t="shared" ref="F18:AB18" ca="1" si="7">F19-IF(MONTH(F19)=2,IF(OR(YEAR(F19)=2008,YEAR(F19)=2012,YEAR(F19)=2016),29,28),IF(OR(MONTH(F19)=4,MONTH(F19)=6,MONTH(F19)=9,MONTH(F19)=11),30,31))+1</f>
        <v>38749</v>
      </c>
      <c r="G18" s="35">
        <f t="shared" ca="1" si="7"/>
        <v>38777</v>
      </c>
      <c r="H18" s="35">
        <f t="shared" ca="1" si="7"/>
        <v>38808</v>
      </c>
      <c r="I18" s="35">
        <f t="shared" ca="1" si="7"/>
        <v>38838</v>
      </c>
      <c r="J18" s="35">
        <f t="shared" ca="1" si="7"/>
        <v>38869</v>
      </c>
      <c r="K18" s="35">
        <f t="shared" ca="1" si="7"/>
        <v>38899</v>
      </c>
      <c r="L18" s="35">
        <f t="shared" ca="1" si="7"/>
        <v>38930</v>
      </c>
      <c r="M18" s="35">
        <f t="shared" ca="1" si="7"/>
        <v>38961</v>
      </c>
      <c r="N18" s="35">
        <f t="shared" ca="1" si="7"/>
        <v>38991</v>
      </c>
      <c r="O18" s="35">
        <f t="shared" ca="1" si="7"/>
        <v>39022</v>
      </c>
      <c r="P18" s="35">
        <f t="shared" ca="1" si="7"/>
        <v>39052</v>
      </c>
      <c r="Q18" s="35">
        <f t="shared" ca="1" si="7"/>
        <v>39083</v>
      </c>
      <c r="R18" s="35">
        <f t="shared" ca="1" si="7"/>
        <v>39114</v>
      </c>
      <c r="S18" s="35">
        <f t="shared" ca="1" si="7"/>
        <v>39142</v>
      </c>
      <c r="T18" s="35">
        <f t="shared" ca="1" si="7"/>
        <v>39173</v>
      </c>
      <c r="U18" s="35">
        <f t="shared" ca="1" si="7"/>
        <v>39203</v>
      </c>
      <c r="V18" s="35">
        <f t="shared" ca="1" si="7"/>
        <v>39234</v>
      </c>
      <c r="W18" s="35">
        <f t="shared" ca="1" si="7"/>
        <v>39264</v>
      </c>
      <c r="X18" s="35">
        <f t="shared" ca="1" si="7"/>
        <v>39295</v>
      </c>
      <c r="Y18" s="35">
        <f t="shared" ca="1" si="7"/>
        <v>39326</v>
      </c>
      <c r="Z18" s="35">
        <f t="shared" ca="1" si="7"/>
        <v>39356</v>
      </c>
      <c r="AA18" s="35">
        <f t="shared" ca="1" si="7"/>
        <v>39387</v>
      </c>
      <c r="AB18" s="35">
        <f t="shared" ca="1" si="7"/>
        <v>39417</v>
      </c>
    </row>
    <row r="19" spans="2:29" ht="15.75" thickBot="1" x14ac:dyDescent="0.25">
      <c r="B19" s="171"/>
      <c r="C19" s="177"/>
      <c r="D19" s="172"/>
      <c r="E19" s="36">
        <f t="shared" ref="E19" ca="1" si="8">F18-1</f>
        <v>38748</v>
      </c>
      <c r="F19" s="37">
        <f t="shared" ref="F19" ca="1" si="9">G18-1</f>
        <v>38776</v>
      </c>
      <c r="G19" s="37">
        <f t="shared" ref="G19" ca="1" si="10">H18-1</f>
        <v>38807</v>
      </c>
      <c r="H19" s="37">
        <f t="shared" ref="H19" ca="1" si="11">I18-1</f>
        <v>38837</v>
      </c>
      <c r="I19" s="37">
        <f t="shared" ref="I19" ca="1" si="12">J18-1</f>
        <v>38868</v>
      </c>
      <c r="J19" s="37">
        <f t="shared" ref="J19" ca="1" si="13">K18-1</f>
        <v>38898</v>
      </c>
      <c r="K19" s="37">
        <f t="shared" ref="K19" ca="1" si="14">L18-1</f>
        <v>38929</v>
      </c>
      <c r="L19" s="37">
        <f t="shared" ref="L19" ca="1" si="15">M18-1</f>
        <v>38960</v>
      </c>
      <c r="M19" s="37">
        <f t="shared" ref="M19" ca="1" si="16">N18-1</f>
        <v>38990</v>
      </c>
      <c r="N19" s="37">
        <f t="shared" ref="N19" ca="1" si="17">O18-1</f>
        <v>39021</v>
      </c>
      <c r="O19" s="37">
        <f t="shared" ref="O19" ca="1" si="18">P18-1</f>
        <v>39051</v>
      </c>
      <c r="P19" s="37">
        <f t="shared" ref="P19" ca="1" si="19">Q18-1</f>
        <v>39082</v>
      </c>
      <c r="Q19" s="37">
        <f t="shared" ref="Q19" ca="1" si="20">R18-1</f>
        <v>39113</v>
      </c>
      <c r="R19" s="37">
        <f t="shared" ref="R19" ca="1" si="21">S18-1</f>
        <v>39141</v>
      </c>
      <c r="S19" s="37">
        <f t="shared" ref="S19" ca="1" si="22">T18-1</f>
        <v>39172</v>
      </c>
      <c r="T19" s="37">
        <f t="shared" ref="T19" ca="1" si="23">U18-1</f>
        <v>39202</v>
      </c>
      <c r="U19" s="37">
        <f t="shared" ref="U19" ca="1" si="24">V18-1</f>
        <v>39233</v>
      </c>
      <c r="V19" s="37">
        <f t="shared" ref="V19" ca="1" si="25">W18-1</f>
        <v>39263</v>
      </c>
      <c r="W19" s="37">
        <f t="shared" ref="W19" ca="1" si="26">X18-1</f>
        <v>39294</v>
      </c>
      <c r="X19" s="37">
        <f t="shared" ref="X19" ca="1" si="27">Y18-1</f>
        <v>39325</v>
      </c>
      <c r="Y19" s="37">
        <f t="shared" ref="Y19" ca="1" si="28">Z18-1</f>
        <v>39355</v>
      </c>
      <c r="Z19" s="37">
        <f t="shared" ref="Z19" ca="1" si="29">AA18-1</f>
        <v>39386</v>
      </c>
      <c r="AA19" s="37">
        <f t="shared" ref="AA19" ca="1" si="30">AB18-1</f>
        <v>39416</v>
      </c>
      <c r="AB19" s="37">
        <f ca="1">D15</f>
        <v>39447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38718</v>
      </c>
      <c r="F20" s="39">
        <f t="shared" ca="1" si="31"/>
        <v>38749</v>
      </c>
      <c r="G20" s="39">
        <f t="shared" ca="1" si="31"/>
        <v>38777</v>
      </c>
      <c r="H20" s="40">
        <f t="shared" ca="1" si="31"/>
        <v>38808</v>
      </c>
      <c r="I20" s="40">
        <f t="shared" ca="1" si="31"/>
        <v>38838</v>
      </c>
      <c r="J20" s="40">
        <f t="shared" ca="1" si="31"/>
        <v>38869</v>
      </c>
      <c r="K20" s="40">
        <f t="shared" ca="1" si="31"/>
        <v>38899</v>
      </c>
      <c r="L20" s="40">
        <f t="shared" ca="1" si="31"/>
        <v>38930</v>
      </c>
      <c r="M20" s="40">
        <f t="shared" ca="1" si="31"/>
        <v>38961</v>
      </c>
      <c r="N20" s="40">
        <f t="shared" ca="1" si="31"/>
        <v>38991</v>
      </c>
      <c r="O20" s="40">
        <f t="shared" ca="1" si="31"/>
        <v>39022</v>
      </c>
      <c r="P20" s="40">
        <f t="shared" ca="1" si="31"/>
        <v>39052</v>
      </c>
      <c r="Q20" s="40">
        <f t="shared" ca="1" si="31"/>
        <v>39083</v>
      </c>
      <c r="R20" s="40">
        <f t="shared" ca="1" si="31"/>
        <v>39114</v>
      </c>
      <c r="S20" s="40">
        <f t="shared" ca="1" si="31"/>
        <v>39142</v>
      </c>
      <c r="T20" s="40">
        <f t="shared" ca="1" si="31"/>
        <v>39173</v>
      </c>
      <c r="U20" s="40">
        <f t="shared" ca="1" si="31"/>
        <v>39203</v>
      </c>
      <c r="V20" s="40">
        <f t="shared" ca="1" si="31"/>
        <v>39234</v>
      </c>
      <c r="W20" s="40">
        <f t="shared" ca="1" si="31"/>
        <v>39264</v>
      </c>
      <c r="X20" s="40">
        <f t="shared" ca="1" si="31"/>
        <v>39295</v>
      </c>
      <c r="Y20" s="40">
        <f t="shared" ca="1" si="31"/>
        <v>39326</v>
      </c>
      <c r="Z20" s="40">
        <f t="shared" ca="1" si="31"/>
        <v>39356</v>
      </c>
      <c r="AA20" s="40">
        <f t="shared" ca="1" si="31"/>
        <v>39387</v>
      </c>
      <c r="AB20" s="40">
        <f t="shared" ca="1" si="31"/>
        <v>39417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2265</v>
      </c>
      <c r="F21" s="59">
        <f t="shared" ca="1" si="32"/>
        <v>2265</v>
      </c>
      <c r="G21" s="59">
        <f t="shared" ca="1" si="32"/>
        <v>2265</v>
      </c>
      <c r="H21" s="59">
        <f t="shared" ca="1" si="32"/>
        <v>2265</v>
      </c>
      <c r="I21" s="59">
        <f t="shared" ca="1" si="32"/>
        <v>2265</v>
      </c>
      <c r="J21" s="59">
        <f t="shared" ca="1" si="32"/>
        <v>2265</v>
      </c>
      <c r="K21" s="59">
        <f t="shared" ca="1" si="32"/>
        <v>2265</v>
      </c>
      <c r="L21" s="59">
        <f t="shared" ca="1" si="32"/>
        <v>2265</v>
      </c>
      <c r="M21" s="59">
        <f t="shared" ca="1" si="32"/>
        <v>2265</v>
      </c>
      <c r="N21" s="59">
        <f t="shared" ca="1" si="32"/>
        <v>2265</v>
      </c>
      <c r="O21" s="59">
        <f t="shared" ref="O21:AB24" ca="1" si="33">AbraAsset(URL,Username,Password,$D21,O$19)/1000</f>
        <v>2265</v>
      </c>
      <c r="P21" s="59">
        <f t="shared" ca="1" si="33"/>
        <v>2265</v>
      </c>
      <c r="Q21" s="59">
        <f t="shared" ca="1" si="33"/>
        <v>2265</v>
      </c>
      <c r="R21" s="59">
        <f t="shared" ca="1" si="33"/>
        <v>2265</v>
      </c>
      <c r="S21" s="59">
        <f t="shared" ca="1" si="33"/>
        <v>2265</v>
      </c>
      <c r="T21" s="59">
        <f t="shared" ca="1" si="33"/>
        <v>2265</v>
      </c>
      <c r="U21" s="59">
        <f t="shared" ca="1" si="33"/>
        <v>2265</v>
      </c>
      <c r="V21" s="59">
        <f t="shared" ca="1" si="33"/>
        <v>2265</v>
      </c>
      <c r="W21" s="59">
        <f t="shared" ca="1" si="33"/>
        <v>2265</v>
      </c>
      <c r="X21" s="59">
        <f t="shared" ca="1" si="33"/>
        <v>2265</v>
      </c>
      <c r="Y21" s="59">
        <f t="shared" ca="1" si="33"/>
        <v>2265</v>
      </c>
      <c r="Z21" s="59">
        <f t="shared" ca="1" si="33"/>
        <v>2265</v>
      </c>
      <c r="AA21" s="59">
        <f t="shared" ca="1" si="33"/>
        <v>2265</v>
      </c>
      <c r="AB21" s="59">
        <f t="shared" ca="1" si="33"/>
        <v>2265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2265</v>
      </c>
      <c r="F22" s="59">
        <f t="shared" ca="1" si="32"/>
        <v>2265</v>
      </c>
      <c r="G22" s="59">
        <f t="shared" ca="1" si="32"/>
        <v>2265</v>
      </c>
      <c r="H22" s="153">
        <f t="shared" ca="1" si="32"/>
        <v>2265</v>
      </c>
      <c r="I22" s="59">
        <f t="shared" ca="1" si="32"/>
        <v>2265</v>
      </c>
      <c r="J22" s="59">
        <f t="shared" ca="1" si="32"/>
        <v>2265</v>
      </c>
      <c r="K22" s="59">
        <f t="shared" ca="1" si="32"/>
        <v>2265</v>
      </c>
      <c r="L22" s="59">
        <f t="shared" ca="1" si="32"/>
        <v>2265</v>
      </c>
      <c r="M22" s="59">
        <f t="shared" ca="1" si="32"/>
        <v>2265</v>
      </c>
      <c r="N22" s="59">
        <f t="shared" ca="1" si="32"/>
        <v>2265</v>
      </c>
      <c r="O22" s="59">
        <f t="shared" ca="1" si="33"/>
        <v>2265</v>
      </c>
      <c r="P22" s="59">
        <f t="shared" ca="1" si="33"/>
        <v>2265</v>
      </c>
      <c r="Q22" s="59">
        <f t="shared" ca="1" si="33"/>
        <v>2265</v>
      </c>
      <c r="R22" s="59">
        <f t="shared" ca="1" si="33"/>
        <v>2265</v>
      </c>
      <c r="S22" s="59">
        <f t="shared" ca="1" si="33"/>
        <v>2265</v>
      </c>
      <c r="T22" s="59">
        <f t="shared" ca="1" si="33"/>
        <v>2265</v>
      </c>
      <c r="U22" s="59">
        <f t="shared" ca="1" si="33"/>
        <v>2265</v>
      </c>
      <c r="V22" s="59">
        <f t="shared" ca="1" si="33"/>
        <v>2265</v>
      </c>
      <c r="W22" s="59">
        <f t="shared" ca="1" si="33"/>
        <v>2265</v>
      </c>
      <c r="X22" s="59">
        <f t="shared" ca="1" si="33"/>
        <v>2265</v>
      </c>
      <c r="Y22" s="59">
        <f t="shared" ca="1" si="33"/>
        <v>2265</v>
      </c>
      <c r="Z22" s="59">
        <f t="shared" ca="1" si="33"/>
        <v>2265</v>
      </c>
      <c r="AA22" s="59">
        <f t="shared" ca="1" si="33"/>
        <v>2265</v>
      </c>
      <c r="AB22" s="59">
        <f t="shared" ca="1" si="33"/>
        <v>2265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2160.5070000000001</v>
      </c>
      <c r="F23" s="59">
        <f t="shared" ca="1" si="32"/>
        <v>2145.8139999999999</v>
      </c>
      <c r="G23" s="59">
        <f t="shared" ca="1" si="32"/>
        <v>2131.1219999999998</v>
      </c>
      <c r="H23" s="163">
        <f t="shared" ca="1" si="32"/>
        <v>2116.4299999999998</v>
      </c>
      <c r="I23" s="59">
        <f t="shared" ca="1" si="32"/>
        <v>2101.7379999999998</v>
      </c>
      <c r="J23" s="59">
        <f t="shared" ca="1" si="32"/>
        <v>2087.0459999999998</v>
      </c>
      <c r="K23" s="59">
        <f t="shared" ca="1" si="32"/>
        <v>2072.355</v>
      </c>
      <c r="L23" s="59">
        <f t="shared" ca="1" si="32"/>
        <v>2057.6640000000002</v>
      </c>
      <c r="M23" s="59">
        <f t="shared" ca="1" si="32"/>
        <v>2042.973</v>
      </c>
      <c r="N23" s="59">
        <f t="shared" ca="1" si="32"/>
        <v>2028.2819999999999</v>
      </c>
      <c r="O23" s="59">
        <f t="shared" ca="1" si="33"/>
        <v>2013.5909999999999</v>
      </c>
      <c r="P23" s="59">
        <f t="shared" ca="1" si="33"/>
        <v>1998.9</v>
      </c>
      <c r="Q23" s="59">
        <f t="shared" ca="1" si="33"/>
        <v>1986.134</v>
      </c>
      <c r="R23" s="59">
        <f t="shared" ca="1" si="33"/>
        <v>1973.3679999999999</v>
      </c>
      <c r="S23" s="59">
        <f t="shared" ca="1" si="33"/>
        <v>1960.6020000000001</v>
      </c>
      <c r="T23" s="59">
        <f t="shared" ca="1" si="33"/>
        <v>1947.837</v>
      </c>
      <c r="U23" s="59">
        <f t="shared" ca="1" si="33"/>
        <v>1935.0730000000001</v>
      </c>
      <c r="V23" s="59">
        <f t="shared" ca="1" si="33"/>
        <v>1922.309</v>
      </c>
      <c r="W23" s="59">
        <f t="shared" ca="1" si="33"/>
        <v>1909.5450000000001</v>
      </c>
      <c r="X23" s="59">
        <f t="shared" ca="1" si="33"/>
        <v>1896.7809999999999</v>
      </c>
      <c r="Y23" s="59">
        <f t="shared" ca="1" si="33"/>
        <v>1884.0170000000001</v>
      </c>
      <c r="Z23" s="59">
        <f t="shared" ca="1" si="33"/>
        <v>1871.2529999999999</v>
      </c>
      <c r="AA23" s="59">
        <f t="shared" ca="1" si="33"/>
        <v>1858.489</v>
      </c>
      <c r="AB23" s="59">
        <f t="shared" ca="1" si="33"/>
        <v>1845.7249999999999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2160.5070000000001</v>
      </c>
      <c r="F24" s="59">
        <f t="shared" ca="1" si="32"/>
        <v>2145.8139999999999</v>
      </c>
      <c r="G24" s="59">
        <f t="shared" ca="1" si="32"/>
        <v>2131.1219999999998</v>
      </c>
      <c r="H24" s="151">
        <f t="shared" ca="1" si="32"/>
        <v>2116.4299999999998</v>
      </c>
      <c r="I24" s="59">
        <f t="shared" ca="1" si="32"/>
        <v>2101.7379999999998</v>
      </c>
      <c r="J24" s="59">
        <f t="shared" ca="1" si="32"/>
        <v>2087.0459999999998</v>
      </c>
      <c r="K24" s="59">
        <f t="shared" ca="1" si="32"/>
        <v>2072.355</v>
      </c>
      <c r="L24" s="59">
        <f t="shared" ca="1" si="32"/>
        <v>2057.6640000000002</v>
      </c>
      <c r="M24" s="59">
        <f t="shared" ca="1" si="32"/>
        <v>2042.973</v>
      </c>
      <c r="N24" s="59">
        <f t="shared" ca="1" si="32"/>
        <v>2028.2819999999999</v>
      </c>
      <c r="O24" s="59">
        <f t="shared" ca="1" si="33"/>
        <v>2013.5909999999999</v>
      </c>
      <c r="P24" s="59">
        <f t="shared" ca="1" si="33"/>
        <v>1998.9</v>
      </c>
      <c r="Q24" s="59">
        <f t="shared" ca="1" si="33"/>
        <v>1986.134</v>
      </c>
      <c r="R24" s="59">
        <f t="shared" ca="1" si="33"/>
        <v>1973.3679999999999</v>
      </c>
      <c r="S24" s="59">
        <f t="shared" ca="1" si="33"/>
        <v>1960.6020000000001</v>
      </c>
      <c r="T24" s="59">
        <f t="shared" ca="1" si="33"/>
        <v>1947.837</v>
      </c>
      <c r="U24" s="59">
        <f t="shared" ca="1" si="33"/>
        <v>1935.0730000000001</v>
      </c>
      <c r="V24" s="59">
        <f t="shared" ca="1" si="33"/>
        <v>1922.309</v>
      </c>
      <c r="W24" s="59">
        <f t="shared" ca="1" si="33"/>
        <v>1909.5450000000001</v>
      </c>
      <c r="X24" s="59">
        <f t="shared" ca="1" si="33"/>
        <v>1896.7809999999999</v>
      </c>
      <c r="Y24" s="59">
        <f t="shared" ca="1" si="33"/>
        <v>1884.0170000000001</v>
      </c>
      <c r="Z24" s="59">
        <f t="shared" ca="1" si="33"/>
        <v>1871.2529999999999</v>
      </c>
      <c r="AA24" s="59">
        <f t="shared" ca="1" si="33"/>
        <v>1858.489</v>
      </c>
      <c r="AB24" s="59">
        <f t="shared" ca="1" si="33"/>
        <v>1845.7249999999999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42369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9"/>
      <c r="D6" s="170"/>
      <c r="E6" s="34">
        <f ca="1">E7-IF(MONTH(E7)=2,IF(OR(YEAR(E7)=2008,YEAR(E7)=2012,YEAR(E7)=2016),29,28),IF(OR(MONTH(E7)=4,MONTH(E7)=6,MONTH(E7)=9,MONTH(E7)=11),30,31))+1</f>
        <v>41640</v>
      </c>
      <c r="F6" s="35">
        <f t="shared" ref="F6:AB6" ca="1" si="0">F7-IF(MONTH(F7)=2,IF(OR(YEAR(F7)=2008,YEAR(F7)=2012,YEAR(F7)=2016),29,28),IF(OR(MONTH(F7)=4,MONTH(F7)=6,MONTH(F7)=9,MONTH(F7)=11),30,31))+1</f>
        <v>41671</v>
      </c>
      <c r="G6" s="35">
        <f t="shared" ca="1" si="0"/>
        <v>41699</v>
      </c>
      <c r="H6" s="35">
        <f t="shared" ca="1" si="0"/>
        <v>41730</v>
      </c>
      <c r="I6" s="35">
        <f t="shared" ca="1" si="0"/>
        <v>41760</v>
      </c>
      <c r="J6" s="35">
        <f t="shared" ca="1" si="0"/>
        <v>41791</v>
      </c>
      <c r="K6" s="35">
        <f t="shared" ca="1" si="0"/>
        <v>41821</v>
      </c>
      <c r="L6" s="35">
        <f t="shared" ca="1" si="0"/>
        <v>41852</v>
      </c>
      <c r="M6" s="35">
        <f t="shared" ca="1" si="0"/>
        <v>41883</v>
      </c>
      <c r="N6" s="35">
        <f t="shared" ca="1" si="0"/>
        <v>41913</v>
      </c>
      <c r="O6" s="35">
        <f t="shared" ca="1" si="0"/>
        <v>41944</v>
      </c>
      <c r="P6" s="35">
        <f t="shared" ca="1" si="0"/>
        <v>41974</v>
      </c>
      <c r="Q6" s="35">
        <f t="shared" ca="1" si="0"/>
        <v>42005</v>
      </c>
      <c r="R6" s="35">
        <f t="shared" ca="1" si="0"/>
        <v>42036</v>
      </c>
      <c r="S6" s="35">
        <f t="shared" ca="1" si="0"/>
        <v>42064</v>
      </c>
      <c r="T6" s="35">
        <f t="shared" ca="1" si="0"/>
        <v>42095</v>
      </c>
      <c r="U6" s="35">
        <f t="shared" ca="1" si="0"/>
        <v>42125</v>
      </c>
      <c r="V6" s="35">
        <f t="shared" ca="1" si="0"/>
        <v>42156</v>
      </c>
      <c r="W6" s="35">
        <f t="shared" ca="1" si="0"/>
        <v>42186</v>
      </c>
      <c r="X6" s="35">
        <f t="shared" ca="1" si="0"/>
        <v>42217</v>
      </c>
      <c r="Y6" s="35">
        <f t="shared" ca="1" si="0"/>
        <v>42248</v>
      </c>
      <c r="Z6" s="35">
        <f t="shared" ca="1" si="0"/>
        <v>42278</v>
      </c>
      <c r="AA6" s="35">
        <f t="shared" ca="1" si="0"/>
        <v>42309</v>
      </c>
      <c r="AB6" s="35">
        <f t="shared" ca="1" si="0"/>
        <v>42339</v>
      </c>
    </row>
    <row r="7" spans="1:30" s="29" customFormat="1" ht="15" customHeight="1" thickBot="1" x14ac:dyDescent="0.25">
      <c r="A7" s="21"/>
      <c r="B7" s="146"/>
      <c r="C7" s="171"/>
      <c r="D7" s="172"/>
      <c r="E7" s="36">
        <f t="shared" ref="E7:AA7" ca="1" si="1">F6-1</f>
        <v>41670</v>
      </c>
      <c r="F7" s="37">
        <f t="shared" ca="1" si="1"/>
        <v>41698</v>
      </c>
      <c r="G7" s="37">
        <f t="shared" ca="1" si="1"/>
        <v>41729</v>
      </c>
      <c r="H7" s="37">
        <f t="shared" ca="1" si="1"/>
        <v>41759</v>
      </c>
      <c r="I7" s="37">
        <f t="shared" ca="1" si="1"/>
        <v>41790</v>
      </c>
      <c r="J7" s="37">
        <f t="shared" ca="1" si="1"/>
        <v>41820</v>
      </c>
      <c r="K7" s="37">
        <f t="shared" ca="1" si="1"/>
        <v>41851</v>
      </c>
      <c r="L7" s="37">
        <f t="shared" ca="1" si="1"/>
        <v>41882</v>
      </c>
      <c r="M7" s="37">
        <f t="shared" ca="1" si="1"/>
        <v>41912</v>
      </c>
      <c r="N7" s="37">
        <f t="shared" ca="1" si="1"/>
        <v>41943</v>
      </c>
      <c r="O7" s="37">
        <f t="shared" ca="1" si="1"/>
        <v>41973</v>
      </c>
      <c r="P7" s="37">
        <f t="shared" ca="1" si="1"/>
        <v>42004</v>
      </c>
      <c r="Q7" s="37">
        <f t="shared" ca="1" si="1"/>
        <v>42035</v>
      </c>
      <c r="R7" s="37">
        <f t="shared" ca="1" si="1"/>
        <v>42063</v>
      </c>
      <c r="S7" s="37">
        <f t="shared" ca="1" si="1"/>
        <v>42094</v>
      </c>
      <c r="T7" s="37">
        <f t="shared" ca="1" si="1"/>
        <v>42124</v>
      </c>
      <c r="U7" s="37">
        <f t="shared" ca="1" si="1"/>
        <v>42155</v>
      </c>
      <c r="V7" s="37">
        <f t="shared" ca="1" si="1"/>
        <v>42185</v>
      </c>
      <c r="W7" s="37">
        <f t="shared" ca="1" si="1"/>
        <v>42216</v>
      </c>
      <c r="X7" s="37">
        <f t="shared" ca="1" si="1"/>
        <v>42247</v>
      </c>
      <c r="Y7" s="37">
        <f t="shared" ca="1" si="1"/>
        <v>42277</v>
      </c>
      <c r="Z7" s="37">
        <f t="shared" ca="1" si="1"/>
        <v>42308</v>
      </c>
      <c r="AA7" s="37">
        <f t="shared" ca="1" si="1"/>
        <v>42338</v>
      </c>
      <c r="AB7" s="37">
        <f ca="1">D3</f>
        <v>42369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41640</v>
      </c>
      <c r="F8" s="147">
        <f t="shared" ca="1" si="2"/>
        <v>41671</v>
      </c>
      <c r="G8" s="147">
        <f t="shared" ca="1" si="2"/>
        <v>41699</v>
      </c>
      <c r="H8" s="147">
        <f t="shared" ca="1" si="2"/>
        <v>41730</v>
      </c>
      <c r="I8" s="147">
        <f t="shared" ca="1" si="2"/>
        <v>41760</v>
      </c>
      <c r="J8" s="147">
        <f t="shared" ca="1" si="2"/>
        <v>41791</v>
      </c>
      <c r="K8" s="147">
        <f t="shared" ca="1" si="2"/>
        <v>41821</v>
      </c>
      <c r="L8" s="147">
        <f t="shared" ca="1" si="2"/>
        <v>41852</v>
      </c>
      <c r="M8" s="147">
        <f t="shared" ca="1" si="2"/>
        <v>41883</v>
      </c>
      <c r="N8" s="147">
        <f t="shared" ca="1" si="2"/>
        <v>41913</v>
      </c>
      <c r="O8" s="147">
        <f t="shared" ca="1" si="2"/>
        <v>41944</v>
      </c>
      <c r="P8" s="147">
        <f t="shared" ca="1" si="2"/>
        <v>41974</v>
      </c>
      <c r="Q8" s="147">
        <f t="shared" ca="1" si="2"/>
        <v>42005</v>
      </c>
      <c r="R8" s="147">
        <f t="shared" ca="1" si="2"/>
        <v>42036</v>
      </c>
      <c r="S8" s="147">
        <f t="shared" ca="1" si="2"/>
        <v>42064</v>
      </c>
      <c r="T8" s="147">
        <f t="shared" ca="1" si="2"/>
        <v>42095</v>
      </c>
      <c r="U8" s="147">
        <f t="shared" ca="1" si="2"/>
        <v>42125</v>
      </c>
      <c r="V8" s="147">
        <f t="shared" ca="1" si="2"/>
        <v>42156</v>
      </c>
      <c r="W8" s="147">
        <f t="shared" ca="1" si="2"/>
        <v>42186</v>
      </c>
      <c r="X8" s="147">
        <f t="shared" ca="1" si="2"/>
        <v>42217</v>
      </c>
      <c r="Y8" s="147">
        <f t="shared" ca="1" si="2"/>
        <v>42248</v>
      </c>
      <c r="Z8" s="147">
        <f t="shared" ca="1" si="2"/>
        <v>42278</v>
      </c>
      <c r="AA8" s="147">
        <f t="shared" ca="1" si="2"/>
        <v>42309</v>
      </c>
      <c r="AB8" s="147">
        <f t="shared" ca="1" si="2"/>
        <v>42339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6</v>
      </c>
      <c r="F9" s="44">
        <f t="shared" ca="1" si="3"/>
        <v>6</v>
      </c>
      <c r="G9" s="44">
        <f t="shared" ca="1" si="3"/>
        <v>6</v>
      </c>
      <c r="H9" s="44">
        <f t="shared" ca="1" si="3"/>
        <v>6</v>
      </c>
      <c r="I9" s="44">
        <f t="shared" ca="1" si="3"/>
        <v>6</v>
      </c>
      <c r="J9" s="44">
        <f t="shared" ca="1" si="3"/>
        <v>6</v>
      </c>
      <c r="K9" s="44">
        <f t="shared" ca="1" si="3"/>
        <v>6</v>
      </c>
      <c r="L9" s="44">
        <f t="shared" ca="1" si="3"/>
        <v>6</v>
      </c>
      <c r="M9" s="44">
        <f t="shared" ca="1" si="3"/>
        <v>6</v>
      </c>
      <c r="N9" s="44">
        <f t="shared" ca="1" si="3"/>
        <v>6</v>
      </c>
      <c r="O9" s="44">
        <f t="shared" ca="1" si="3"/>
        <v>6</v>
      </c>
      <c r="P9" s="44">
        <f t="shared" ca="1" si="3"/>
        <v>6</v>
      </c>
      <c r="Q9" s="44">
        <f t="shared" ca="1" si="3"/>
        <v>6</v>
      </c>
      <c r="R9" s="44">
        <f t="shared" ca="1" si="3"/>
        <v>6</v>
      </c>
      <c r="S9" s="44">
        <f t="shared" ca="1" si="3"/>
        <v>6</v>
      </c>
      <c r="T9" s="44">
        <f t="shared" ca="1" si="3"/>
        <v>6</v>
      </c>
      <c r="U9" s="44">
        <f t="shared" ca="1" si="3"/>
        <v>6</v>
      </c>
      <c r="V9" s="44">
        <f t="shared" ca="1" si="3"/>
        <v>6</v>
      </c>
      <c r="W9" s="44">
        <f t="shared" ca="1" si="3"/>
        <v>6</v>
      </c>
      <c r="X9" s="44">
        <f t="shared" ca="1" si="3"/>
        <v>6</v>
      </c>
      <c r="Y9" s="44">
        <f t="shared" ca="1" si="3"/>
        <v>6</v>
      </c>
      <c r="Z9" s="44">
        <f t="shared" ca="1" si="3"/>
        <v>6</v>
      </c>
      <c r="AA9" s="44">
        <f t="shared" ca="1" si="3"/>
        <v>6</v>
      </c>
      <c r="AB9" s="44">
        <f t="shared" ca="1" si="3"/>
        <v>6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240</v>
      </c>
      <c r="F10" s="44">
        <f t="shared" ca="1" si="3"/>
        <v>240</v>
      </c>
      <c r="G10" s="44">
        <f t="shared" ca="1" si="3"/>
        <v>240</v>
      </c>
      <c r="H10" s="44">
        <f t="shared" ca="1" si="3"/>
        <v>240</v>
      </c>
      <c r="I10" s="44">
        <f t="shared" ca="1" si="3"/>
        <v>240</v>
      </c>
      <c r="J10" s="44">
        <f t="shared" ca="1" si="3"/>
        <v>240</v>
      </c>
      <c r="K10" s="44">
        <f t="shared" ca="1" si="3"/>
        <v>240</v>
      </c>
      <c r="L10" s="44">
        <f t="shared" ca="1" si="3"/>
        <v>240</v>
      </c>
      <c r="M10" s="44">
        <f t="shared" ca="1" si="3"/>
        <v>240</v>
      </c>
      <c r="N10" s="44">
        <f t="shared" ca="1" si="3"/>
        <v>240</v>
      </c>
      <c r="O10" s="44">
        <f t="shared" ca="1" si="3"/>
        <v>240</v>
      </c>
      <c r="P10" s="44">
        <f t="shared" ca="1" si="3"/>
        <v>240</v>
      </c>
      <c r="Q10" s="44">
        <f ca="1">AbraPayroll(URL,Username,Password,$D10,Q$8)</f>
        <v>240</v>
      </c>
      <c r="R10" s="44">
        <f t="shared" ca="1" si="3"/>
        <v>240</v>
      </c>
      <c r="S10" s="44">
        <f t="shared" ca="1" si="3"/>
        <v>240</v>
      </c>
      <c r="T10" s="44">
        <f t="shared" ca="1" si="3"/>
        <v>240</v>
      </c>
      <c r="U10" s="44">
        <f t="shared" ca="1" si="3"/>
        <v>240</v>
      </c>
      <c r="V10" s="44">
        <f t="shared" ca="1" si="3"/>
        <v>240</v>
      </c>
      <c r="W10" s="44">
        <f t="shared" ca="1" si="3"/>
        <v>240</v>
      </c>
      <c r="X10" s="44">
        <f ca="1">AbraPayroll(URL,Username,Password,$D10,X$8)</f>
        <v>240</v>
      </c>
      <c r="Y10" s="44">
        <f t="shared" ca="1" si="3"/>
        <v>240</v>
      </c>
      <c r="Z10" s="44">
        <f t="shared" ca="1" si="3"/>
        <v>240</v>
      </c>
      <c r="AA10" s="44">
        <f t="shared" ca="1" si="3"/>
        <v>240</v>
      </c>
      <c r="AB10" s="44">
        <f t="shared" ca="1" si="3"/>
        <v>240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1056</v>
      </c>
      <c r="F11" s="44">
        <f t="shared" ca="1" si="4"/>
        <v>960</v>
      </c>
      <c r="G11" s="44">
        <f t="shared" ca="1" si="4"/>
        <v>1008</v>
      </c>
      <c r="H11" s="44">
        <f t="shared" ca="1" si="4"/>
        <v>1008</v>
      </c>
      <c r="I11" s="44">
        <f t="shared" ca="1" si="4"/>
        <v>960</v>
      </c>
      <c r="J11" s="44">
        <f t="shared" ca="1" si="4"/>
        <v>1008</v>
      </c>
      <c r="K11" s="44">
        <f t="shared" ca="1" si="4"/>
        <v>1104</v>
      </c>
      <c r="L11" s="44">
        <f t="shared" ca="1" si="4"/>
        <v>1008</v>
      </c>
      <c r="M11" s="44">
        <f t="shared" ca="1" si="4"/>
        <v>1056</v>
      </c>
      <c r="N11" s="44">
        <f t="shared" ca="1" si="4"/>
        <v>1056</v>
      </c>
      <c r="O11" s="44">
        <f t="shared" ref="O11:AB12" ca="1" si="5">AbraPayroll(URL,Username,Password,$D11,O$8)</f>
        <v>912</v>
      </c>
      <c r="P11" s="44">
        <f t="shared" ca="1" si="5"/>
        <v>960</v>
      </c>
      <c r="Q11" s="44">
        <f t="shared" ca="1" si="5"/>
        <v>1008</v>
      </c>
      <c r="R11" s="44">
        <f t="shared" ca="1" si="5"/>
        <v>960</v>
      </c>
      <c r="S11" s="44">
        <f t="shared" ca="1" si="5"/>
        <v>1056</v>
      </c>
      <c r="T11" s="44">
        <f t="shared" ca="1" si="5"/>
        <v>1008</v>
      </c>
      <c r="U11" s="44">
        <f t="shared" ca="1" si="5"/>
        <v>912</v>
      </c>
      <c r="V11" s="44">
        <f t="shared" ca="1" si="5"/>
        <v>1056</v>
      </c>
      <c r="W11" s="44">
        <f t="shared" ca="1" si="5"/>
        <v>1056</v>
      </c>
      <c r="X11" s="44">
        <f t="shared" ca="1" si="5"/>
        <v>1008</v>
      </c>
      <c r="Y11" s="44">
        <f t="shared" ca="1" si="5"/>
        <v>1008</v>
      </c>
      <c r="Z11" s="44">
        <f t="shared" ca="1" si="5"/>
        <v>1008</v>
      </c>
      <c r="AA11" s="44">
        <f t="shared" ca="1" si="5"/>
        <v>960</v>
      </c>
      <c r="AB11" s="44">
        <f t="shared" ca="1" si="5"/>
        <v>1008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1056</v>
      </c>
      <c r="F12" s="44">
        <f t="shared" ca="1" si="4"/>
        <v>960</v>
      </c>
      <c r="G12" s="44">
        <f t="shared" ca="1" si="4"/>
        <v>1008</v>
      </c>
      <c r="H12" s="44">
        <f t="shared" ca="1" si="4"/>
        <v>1008</v>
      </c>
      <c r="I12" s="44">
        <f t="shared" ca="1" si="4"/>
        <v>800</v>
      </c>
      <c r="J12" s="44">
        <f t="shared" ca="1" si="4"/>
        <v>1008</v>
      </c>
      <c r="K12" s="44">
        <f t="shared" ca="1" si="4"/>
        <v>1104</v>
      </c>
      <c r="L12" s="44">
        <f t="shared" ca="1" si="4"/>
        <v>1008</v>
      </c>
      <c r="M12" s="44">
        <f t="shared" ca="1" si="4"/>
        <v>1056</v>
      </c>
      <c r="N12" s="44">
        <f t="shared" ca="1" si="4"/>
        <v>1056</v>
      </c>
      <c r="O12" s="44">
        <f t="shared" ca="1" si="5"/>
        <v>912</v>
      </c>
      <c r="P12" s="44">
        <f t="shared" ca="1" si="5"/>
        <v>960</v>
      </c>
      <c r="Q12" s="44">
        <f t="shared" ca="1" si="5"/>
        <v>1008</v>
      </c>
      <c r="R12" s="44">
        <f t="shared" ca="1" si="5"/>
        <v>960</v>
      </c>
      <c r="S12" s="44">
        <f t="shared" ca="1" si="5"/>
        <v>1056</v>
      </c>
      <c r="T12" s="44">
        <f t="shared" ca="1" si="5"/>
        <v>1008</v>
      </c>
      <c r="U12" s="44">
        <f t="shared" ca="1" si="5"/>
        <v>912</v>
      </c>
      <c r="V12" s="44">
        <f t="shared" ca="1" si="5"/>
        <v>1056</v>
      </c>
      <c r="W12" s="44">
        <f t="shared" ca="1" si="5"/>
        <v>1056</v>
      </c>
      <c r="X12" s="44">
        <f t="shared" ca="1" si="5"/>
        <v>1008</v>
      </c>
      <c r="Y12" s="44">
        <f t="shared" ca="1" si="5"/>
        <v>1008</v>
      </c>
      <c r="Z12" s="44">
        <f t="shared" ca="1" si="5"/>
        <v>1008</v>
      </c>
      <c r="AA12" s="44">
        <f t="shared" ca="1" si="5"/>
        <v>960</v>
      </c>
      <c r="AB12" s="44">
        <f t="shared" ca="1" si="5"/>
        <v>1008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121.041</v>
      </c>
      <c r="F13" s="44">
        <f t="shared" ca="1" si="6"/>
        <v>124</v>
      </c>
      <c r="G13" s="44">
        <f t="shared" ca="1" si="6"/>
        <v>124</v>
      </c>
      <c r="H13" s="44">
        <f t="shared" ca="1" si="6"/>
        <v>124.187</v>
      </c>
      <c r="I13" s="44">
        <f t="shared" ca="1" si="6"/>
        <v>125.09099999999999</v>
      </c>
      <c r="J13" s="44">
        <f t="shared" ca="1" si="6"/>
        <v>124</v>
      </c>
      <c r="K13" s="44">
        <f t="shared" ca="1" si="6"/>
        <v>124</v>
      </c>
      <c r="L13" s="44">
        <f t="shared" ca="1" si="6"/>
        <v>124</v>
      </c>
      <c r="M13" s="44">
        <f t="shared" ca="1" si="6"/>
        <v>124</v>
      </c>
      <c r="N13" s="44">
        <f t="shared" ca="1" si="6"/>
        <v>124.248</v>
      </c>
      <c r="O13" s="44">
        <f t="shared" ca="1" si="6"/>
        <v>123.44</v>
      </c>
      <c r="P13" s="44">
        <f t="shared" ca="1" si="6"/>
        <v>124.73699999999999</v>
      </c>
      <c r="Q13" s="44">
        <f t="shared" ca="1" si="6"/>
        <v>124.011</v>
      </c>
      <c r="R13" s="44">
        <f t="shared" ca="1" si="6"/>
        <v>124</v>
      </c>
      <c r="S13" s="44">
        <f t="shared" ca="1" si="6"/>
        <v>124</v>
      </c>
      <c r="T13" s="44">
        <f t="shared" ca="1" si="6"/>
        <v>124.181</v>
      </c>
      <c r="U13" s="44">
        <f t="shared" ca="1" si="6"/>
        <v>123.825</v>
      </c>
      <c r="V13" s="44">
        <f t="shared" ca="1" si="6"/>
        <v>124</v>
      </c>
      <c r="W13" s="44">
        <f t="shared" ca="1" si="6"/>
        <v>124.33</v>
      </c>
      <c r="X13" s="44">
        <f t="shared" ca="1" si="6"/>
        <v>124</v>
      </c>
      <c r="Y13" s="44">
        <f t="shared" ca="1" si="6"/>
        <v>124.08499999999999</v>
      </c>
      <c r="Z13" s="44">
        <f t="shared" ca="1" si="6"/>
        <v>124.006</v>
      </c>
      <c r="AA13" s="44">
        <f t="shared" ca="1" si="6"/>
        <v>123.738</v>
      </c>
      <c r="AB13" s="44">
        <f t="shared" ca="1" si="6"/>
        <v>124.502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Josef Melichárek</cp:lastModifiedBy>
  <dcterms:created xsi:type="dcterms:W3CDTF">2019-11-11T10:36:50Z</dcterms:created>
  <dcterms:modified xsi:type="dcterms:W3CDTF">2019-11-13T07:32:23Z</dcterms:modified>
</cp:coreProperties>
</file>